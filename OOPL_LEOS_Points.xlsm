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failexius/Downloads/"/>
    </mc:Choice>
  </mc:AlternateContent>
  <xr:revisionPtr revIDLastSave="0" documentId="13_ncr:1_{B99239AB-A12D-1B4C-941E-56F07F728759}" xr6:coauthVersionLast="47" xr6:coauthVersionMax="47" xr10:uidLastSave="{00000000-0000-0000-0000-000000000000}"/>
  <bookViews>
    <workbookView xWindow="-28800" yWindow="16280" windowWidth="28800" windowHeight="25300" tabRatio="668" firstSheet="13" activeTab="15" xr2:uid="{00000000-000D-0000-FFFF-FFFF00000000}"/>
  </bookViews>
  <sheets>
    <sheet name="general" sheetId="16" r:id="rId1"/>
    <sheet name="KnowledgeLevels" sheetId="5" r:id="rId2"/>
    <sheet name="EVERYTHING" sheetId="8" r:id="rId3"/>
    <sheet name="OVERVIEW" sheetId="10" r:id="rId4"/>
    <sheet name="STATISTICS" sheetId="15" r:id="rId5"/>
    <sheet name="PRE_CONDITIONS" sheetId="13" r:id="rId6"/>
    <sheet name="LEOs" sheetId="1" r:id="rId7"/>
    <sheet name="LEOs_dependencies" sheetId="2" r:id="rId8"/>
    <sheet name="MLEOs" sheetId="3" r:id="rId9"/>
    <sheet name="MLEOs_dependencies" sheetId="9" r:id="rId10"/>
    <sheet name="MicroExercise" sheetId="4" r:id="rId11"/>
    <sheet name="MicroExercise_dependencies" sheetId="11" r:id="rId12"/>
    <sheet name="Exercises" sheetId="12" r:id="rId13"/>
    <sheet name="MLEOsv2" sheetId="20" r:id="rId14"/>
    <sheet name="Dependencies" sheetId="23" r:id="rId15"/>
    <sheet name="Grading" sheetId="17" r:id="rId16"/>
    <sheet name="Units" sheetId="18" r:id="rId17"/>
    <sheet name="Phases" sheetId="22" r:id="rId18"/>
  </sheets>
  <functionGroups builtInGroupCount="19"/>
  <calcPr calcId="191028"/>
  <pivotCaches>
    <pivotCache cacheId="0" r:id="rId19"/>
    <pivotCache cacheId="1" r:id="rId20"/>
    <pivotCache cacheId="8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23" l="1"/>
  <c r="G36" i="23"/>
  <c r="C100" i="23"/>
  <c r="G14" i="23"/>
  <c r="AS73" i="17"/>
  <c r="AS72" i="17"/>
  <c r="AS71" i="17"/>
  <c r="AS70" i="17"/>
  <c r="AS69" i="17"/>
  <c r="AS68" i="17" s="1"/>
  <c r="AS67" i="17"/>
  <c r="AS66" i="17"/>
  <c r="AS62" i="17"/>
  <c r="AS60" i="17"/>
  <c r="AS59" i="17"/>
  <c r="AS58" i="17"/>
  <c r="AS57" i="17"/>
  <c r="AS55" i="17"/>
  <c r="AS54" i="17"/>
  <c r="AS53" i="17"/>
  <c r="AS52" i="17"/>
  <c r="AS51" i="17"/>
  <c r="AS50" i="17"/>
  <c r="AS48" i="17"/>
  <c r="AS46" i="17"/>
  <c r="AS45" i="17"/>
  <c r="AS44" i="17"/>
  <c r="AS41" i="17"/>
  <c r="AS39" i="17"/>
  <c r="AS38" i="17"/>
  <c r="AS37" i="17"/>
  <c r="AS36" i="17"/>
  <c r="AS35" i="17"/>
  <c r="AS34" i="17"/>
  <c r="AS30" i="17"/>
  <c r="AS27" i="17"/>
  <c r="AS26" i="17"/>
  <c r="AS25" i="17"/>
  <c r="AS15" i="17"/>
  <c r="AQ73" i="17"/>
  <c r="AQ72" i="17"/>
  <c r="AQ71" i="17"/>
  <c r="AQ70" i="17"/>
  <c r="AQ69" i="17"/>
  <c r="AQ68" i="17" s="1"/>
  <c r="AQ67" i="17"/>
  <c r="AQ66" i="17"/>
  <c r="AQ62" i="17"/>
  <c r="AQ60" i="17"/>
  <c r="AQ59" i="17"/>
  <c r="AQ58" i="17"/>
  <c r="AQ57" i="17"/>
  <c r="AQ55" i="17"/>
  <c r="AQ54" i="17"/>
  <c r="AQ53" i="17"/>
  <c r="AQ52" i="17"/>
  <c r="AQ51" i="17"/>
  <c r="AQ50" i="17"/>
  <c r="AQ48" i="17"/>
  <c r="AQ46" i="17"/>
  <c r="AQ45" i="17"/>
  <c r="AQ44" i="17"/>
  <c r="AQ41" i="17"/>
  <c r="AQ39" i="17"/>
  <c r="AQ38" i="17"/>
  <c r="AQ37" i="17"/>
  <c r="AQ36" i="17"/>
  <c r="AQ35" i="17"/>
  <c r="AQ34" i="17"/>
  <c r="AQ30" i="17"/>
  <c r="AQ27" i="17"/>
  <c r="AQ26" i="17"/>
  <c r="AQ25" i="17"/>
  <c r="AQ15" i="17"/>
  <c r="AO73" i="17"/>
  <c r="AO72" i="17"/>
  <c r="AO71" i="17"/>
  <c r="AO70" i="17"/>
  <c r="AO69" i="17"/>
  <c r="AO68" i="17" s="1"/>
  <c r="AO67" i="17"/>
  <c r="AO66" i="17"/>
  <c r="AO62" i="17"/>
  <c r="AO60" i="17"/>
  <c r="AO59" i="17"/>
  <c r="AO58" i="17"/>
  <c r="AO57" i="17"/>
  <c r="AO55" i="17"/>
  <c r="AO54" i="17"/>
  <c r="AO53" i="17"/>
  <c r="AO52" i="17"/>
  <c r="AO51" i="17"/>
  <c r="AO50" i="17"/>
  <c r="AO48" i="17"/>
  <c r="AO46" i="17"/>
  <c r="AO45" i="17"/>
  <c r="AO44" i="17"/>
  <c r="AO41" i="17"/>
  <c r="AO39" i="17"/>
  <c r="AO38" i="17"/>
  <c r="AO37" i="17"/>
  <c r="AO36" i="17"/>
  <c r="AO35" i="17"/>
  <c r="AO34" i="17"/>
  <c r="AO30" i="17"/>
  <c r="AO27" i="17"/>
  <c r="AO26" i="17"/>
  <c r="AO25" i="17"/>
  <c r="AO15" i="17"/>
  <c r="AM73" i="17"/>
  <c r="AM72" i="17"/>
  <c r="AM71" i="17"/>
  <c r="AM70" i="17"/>
  <c r="AM69" i="17"/>
  <c r="AM67" i="17"/>
  <c r="AM66" i="17"/>
  <c r="AM62" i="17"/>
  <c r="AM60" i="17"/>
  <c r="AM59" i="17"/>
  <c r="AM58" i="17"/>
  <c r="AM57" i="17"/>
  <c r="AM55" i="17"/>
  <c r="AM54" i="17"/>
  <c r="AM53" i="17"/>
  <c r="AM52" i="17"/>
  <c r="AM51" i="17"/>
  <c r="AM50" i="17"/>
  <c r="AM48" i="17"/>
  <c r="AM46" i="17"/>
  <c r="AM45" i="17"/>
  <c r="AM44" i="17"/>
  <c r="AM41" i="17"/>
  <c r="AM39" i="17"/>
  <c r="AM38" i="17"/>
  <c r="AM37" i="17"/>
  <c r="AM36" i="17"/>
  <c r="AM35" i="17"/>
  <c r="AM34" i="17"/>
  <c r="AM30" i="17"/>
  <c r="AM27" i="17"/>
  <c r="AM26" i="17"/>
  <c r="AM25" i="17"/>
  <c r="AM15" i="17"/>
  <c r="AK73" i="17"/>
  <c r="AK72" i="17"/>
  <c r="AK71" i="17"/>
  <c r="AK70" i="17"/>
  <c r="AK69" i="17"/>
  <c r="AK67" i="17"/>
  <c r="AK66" i="17"/>
  <c r="AK62" i="17"/>
  <c r="AK60" i="17"/>
  <c r="AK59" i="17"/>
  <c r="AK58" i="17"/>
  <c r="AK57" i="17"/>
  <c r="AK55" i="17"/>
  <c r="AK54" i="17"/>
  <c r="AK53" i="17"/>
  <c r="AK52" i="17"/>
  <c r="AK51" i="17"/>
  <c r="AK50" i="17"/>
  <c r="AK48" i="17"/>
  <c r="AK46" i="17"/>
  <c r="AK45" i="17"/>
  <c r="AK44" i="17"/>
  <c r="AK41" i="17"/>
  <c r="AK39" i="17"/>
  <c r="AK38" i="17"/>
  <c r="AK37" i="17"/>
  <c r="AK36" i="17"/>
  <c r="AK35" i="17"/>
  <c r="AK34" i="17"/>
  <c r="AK30" i="17"/>
  <c r="AK27" i="17"/>
  <c r="AK26" i="17"/>
  <c r="AK25" i="17"/>
  <c r="AK15" i="17"/>
  <c r="AI73" i="17"/>
  <c r="AI72" i="17"/>
  <c r="AI71" i="17"/>
  <c r="AI70" i="17"/>
  <c r="AI69" i="17"/>
  <c r="AI68" i="17" s="1"/>
  <c r="AI67" i="17"/>
  <c r="AI66" i="17"/>
  <c r="AI62" i="17"/>
  <c r="AI60" i="17"/>
  <c r="AI59" i="17"/>
  <c r="AI58" i="17"/>
  <c r="AI57" i="17"/>
  <c r="AI55" i="17"/>
  <c r="AI54" i="17"/>
  <c r="AI53" i="17"/>
  <c r="AI52" i="17"/>
  <c r="AI51" i="17"/>
  <c r="AI50" i="17"/>
  <c r="AI48" i="17"/>
  <c r="AI46" i="17"/>
  <c r="AI45" i="17"/>
  <c r="AI44" i="17"/>
  <c r="AI41" i="17"/>
  <c r="AI39" i="17"/>
  <c r="AI38" i="17"/>
  <c r="AI37" i="17"/>
  <c r="AI36" i="17"/>
  <c r="AI35" i="17"/>
  <c r="AI34" i="17"/>
  <c r="AI30" i="17"/>
  <c r="AI27" i="17"/>
  <c r="AI26" i="17"/>
  <c r="AI25" i="17"/>
  <c r="AI15" i="17"/>
  <c r="AG73" i="17"/>
  <c r="AG72" i="17"/>
  <c r="AG71" i="17"/>
  <c r="AG70" i="17"/>
  <c r="AG69" i="17"/>
  <c r="AG68" i="17" s="1"/>
  <c r="AG67" i="17"/>
  <c r="AG66" i="17"/>
  <c r="AG62" i="17"/>
  <c r="AG60" i="17"/>
  <c r="AG59" i="17"/>
  <c r="AG58" i="17"/>
  <c r="AG57" i="17"/>
  <c r="AG55" i="17"/>
  <c r="AG54" i="17"/>
  <c r="AG53" i="17"/>
  <c r="AG52" i="17"/>
  <c r="AG51" i="17"/>
  <c r="AG50" i="17"/>
  <c r="AG48" i="17"/>
  <c r="AG46" i="17"/>
  <c r="AG45" i="17"/>
  <c r="AG44" i="17"/>
  <c r="AG41" i="17"/>
  <c r="AG39" i="17"/>
  <c r="AG38" i="17"/>
  <c r="AG37" i="17"/>
  <c r="AG36" i="17"/>
  <c r="AG35" i="17"/>
  <c r="AG34" i="17"/>
  <c r="AG30" i="17"/>
  <c r="AG27" i="17"/>
  <c r="AG26" i="17"/>
  <c r="AG25" i="17"/>
  <c r="AG15" i="17"/>
  <c r="AE73" i="17"/>
  <c r="AE72" i="17"/>
  <c r="AE71" i="17"/>
  <c r="AE70" i="17"/>
  <c r="AE69" i="17"/>
  <c r="AE68" i="17" s="1"/>
  <c r="AE67" i="17"/>
  <c r="AE66" i="17"/>
  <c r="AE62" i="17"/>
  <c r="AE60" i="17"/>
  <c r="AE59" i="17"/>
  <c r="AE58" i="17"/>
  <c r="AE57" i="17"/>
  <c r="AE55" i="17"/>
  <c r="AE54" i="17"/>
  <c r="AE53" i="17"/>
  <c r="AE52" i="17"/>
  <c r="AE51" i="17"/>
  <c r="AE50" i="17"/>
  <c r="AE48" i="17"/>
  <c r="AE46" i="17"/>
  <c r="AE45" i="17"/>
  <c r="AE44" i="17"/>
  <c r="AE41" i="17"/>
  <c r="AE39" i="17"/>
  <c r="AE38" i="17"/>
  <c r="AE37" i="17"/>
  <c r="AE36" i="17"/>
  <c r="AE35" i="17"/>
  <c r="AE34" i="17"/>
  <c r="AE30" i="17"/>
  <c r="AE27" i="17"/>
  <c r="AE26" i="17"/>
  <c r="AE25" i="17"/>
  <c r="AE15" i="17"/>
  <c r="AC73" i="17"/>
  <c r="AC72" i="17"/>
  <c r="AC71" i="17"/>
  <c r="AC70" i="17"/>
  <c r="AC69" i="17"/>
  <c r="AC67" i="17"/>
  <c r="AC66" i="17"/>
  <c r="AC62" i="17"/>
  <c r="AC60" i="17"/>
  <c r="AC59" i="17"/>
  <c r="AC58" i="17"/>
  <c r="AC57" i="17"/>
  <c r="AC55" i="17"/>
  <c r="AC54" i="17"/>
  <c r="AC53" i="17"/>
  <c r="AC52" i="17"/>
  <c r="AC51" i="17"/>
  <c r="AC50" i="17"/>
  <c r="AC48" i="17"/>
  <c r="AC46" i="17"/>
  <c r="AC45" i="17"/>
  <c r="AC44" i="17"/>
  <c r="AC41" i="17"/>
  <c r="AC39" i="17"/>
  <c r="AC38" i="17"/>
  <c r="AC37" i="17"/>
  <c r="AC36" i="17"/>
  <c r="AC35" i="17"/>
  <c r="AC34" i="17"/>
  <c r="AC30" i="17"/>
  <c r="AC27" i="17"/>
  <c r="AC26" i="17"/>
  <c r="AC25" i="17"/>
  <c r="AC15" i="17"/>
  <c r="AA73" i="17"/>
  <c r="AA72" i="17"/>
  <c r="AA71" i="17"/>
  <c r="AA70" i="17"/>
  <c r="AA69" i="17"/>
  <c r="AA67" i="17"/>
  <c r="AA66" i="17"/>
  <c r="AA62" i="17"/>
  <c r="AA60" i="17"/>
  <c r="AA59" i="17"/>
  <c r="AA58" i="17"/>
  <c r="AA57" i="17"/>
  <c r="AA55" i="17"/>
  <c r="AA54" i="17"/>
  <c r="AA53" i="17"/>
  <c r="AA52" i="17"/>
  <c r="AA51" i="17"/>
  <c r="AA50" i="17"/>
  <c r="AA48" i="17"/>
  <c r="AA46" i="17"/>
  <c r="AA45" i="17"/>
  <c r="AA44" i="17"/>
  <c r="AA41" i="17"/>
  <c r="AA39" i="17"/>
  <c r="AA38" i="17"/>
  <c r="AA37" i="17"/>
  <c r="AA36" i="17"/>
  <c r="AA35" i="17"/>
  <c r="AA34" i="17"/>
  <c r="AA30" i="17"/>
  <c r="AA27" i="17"/>
  <c r="AA26" i="17"/>
  <c r="AA25" i="17"/>
  <c r="AA15" i="17"/>
  <c r="Y73" i="17"/>
  <c r="Y72" i="17"/>
  <c r="Y71" i="17"/>
  <c r="Y70" i="17"/>
  <c r="Y69" i="17"/>
  <c r="Y68" i="17" s="1"/>
  <c r="Y67" i="17"/>
  <c r="Y66" i="17"/>
  <c r="Y62" i="17"/>
  <c r="Y60" i="17"/>
  <c r="Y59" i="17"/>
  <c r="Y58" i="17"/>
  <c r="Y57" i="17"/>
  <c r="Y55" i="17"/>
  <c r="Y54" i="17"/>
  <c r="Y53" i="17"/>
  <c r="Y52" i="17"/>
  <c r="Y51" i="17"/>
  <c r="Y50" i="17"/>
  <c r="Y48" i="17"/>
  <c r="Y46" i="17"/>
  <c r="Y45" i="17"/>
  <c r="Y44" i="17"/>
  <c r="Y41" i="17"/>
  <c r="Y39" i="17"/>
  <c r="Y38" i="17"/>
  <c r="Y37" i="17"/>
  <c r="Y36" i="17"/>
  <c r="Y35" i="17"/>
  <c r="Y34" i="17"/>
  <c r="Y30" i="17"/>
  <c r="Y27" i="17"/>
  <c r="Y26" i="17"/>
  <c r="Y25" i="17"/>
  <c r="Y15" i="17"/>
  <c r="W73" i="17"/>
  <c r="W72" i="17"/>
  <c r="W71" i="17"/>
  <c r="W70" i="17"/>
  <c r="W69" i="17"/>
  <c r="W67" i="17"/>
  <c r="W66" i="17"/>
  <c r="W62" i="17"/>
  <c r="W60" i="17"/>
  <c r="W59" i="17"/>
  <c r="W58" i="17"/>
  <c r="W57" i="17"/>
  <c r="W55" i="17"/>
  <c r="W54" i="17"/>
  <c r="W53" i="17"/>
  <c r="W52" i="17"/>
  <c r="W51" i="17"/>
  <c r="W50" i="17"/>
  <c r="W48" i="17"/>
  <c r="W46" i="17"/>
  <c r="W45" i="17"/>
  <c r="W44" i="17"/>
  <c r="W41" i="17"/>
  <c r="W39" i="17"/>
  <c r="W38" i="17"/>
  <c r="W37" i="17"/>
  <c r="W36" i="17"/>
  <c r="W35" i="17"/>
  <c r="W34" i="17"/>
  <c r="W30" i="17"/>
  <c r="W27" i="17"/>
  <c r="W26" i="17"/>
  <c r="W25" i="17"/>
  <c r="W15" i="17"/>
  <c r="U73" i="17"/>
  <c r="U72" i="17"/>
  <c r="U71" i="17"/>
  <c r="U70" i="17"/>
  <c r="U69" i="17"/>
  <c r="U68" i="17" s="1"/>
  <c r="U67" i="17"/>
  <c r="U66" i="17"/>
  <c r="U62" i="17"/>
  <c r="U60" i="17"/>
  <c r="U59" i="17"/>
  <c r="U58" i="17"/>
  <c r="U57" i="17"/>
  <c r="U55" i="17"/>
  <c r="U54" i="17"/>
  <c r="U53" i="17"/>
  <c r="U52" i="17"/>
  <c r="U51" i="17"/>
  <c r="U50" i="17"/>
  <c r="U48" i="17"/>
  <c r="U46" i="17"/>
  <c r="U45" i="17"/>
  <c r="U44" i="17"/>
  <c r="U41" i="17"/>
  <c r="U39" i="17"/>
  <c r="U38" i="17"/>
  <c r="U37" i="17"/>
  <c r="U36" i="17"/>
  <c r="U35" i="17"/>
  <c r="U34" i="17"/>
  <c r="U30" i="17"/>
  <c r="U27" i="17"/>
  <c r="U26" i="17"/>
  <c r="U25" i="17"/>
  <c r="U15" i="17"/>
  <c r="S73" i="17"/>
  <c r="S72" i="17"/>
  <c r="S71" i="17"/>
  <c r="S70" i="17"/>
  <c r="S69" i="17"/>
  <c r="S67" i="17"/>
  <c r="S66" i="17"/>
  <c r="S62" i="17"/>
  <c r="S60" i="17"/>
  <c r="S59" i="17"/>
  <c r="S58" i="17"/>
  <c r="S57" i="17"/>
  <c r="S55" i="17"/>
  <c r="S54" i="17"/>
  <c r="S53" i="17"/>
  <c r="S52" i="17"/>
  <c r="S51" i="17"/>
  <c r="S50" i="17"/>
  <c r="S48" i="17"/>
  <c r="S46" i="17"/>
  <c r="S45" i="17"/>
  <c r="S44" i="17"/>
  <c r="S41" i="17"/>
  <c r="S39" i="17"/>
  <c r="S38" i="17"/>
  <c r="S37" i="17"/>
  <c r="S36" i="17"/>
  <c r="S35" i="17"/>
  <c r="S34" i="17"/>
  <c r="S30" i="17"/>
  <c r="S27" i="17"/>
  <c r="S26" i="17"/>
  <c r="S25" i="17"/>
  <c r="S15" i="17"/>
  <c r="Q73" i="17"/>
  <c r="Q72" i="17"/>
  <c r="Q71" i="17"/>
  <c r="Q70" i="17"/>
  <c r="Q69" i="17"/>
  <c r="Q67" i="17"/>
  <c r="Q66" i="17"/>
  <c r="Q62" i="17"/>
  <c r="Q60" i="17"/>
  <c r="Q59" i="17"/>
  <c r="Q58" i="17"/>
  <c r="Q57" i="17"/>
  <c r="Q55" i="17"/>
  <c r="Q54" i="17"/>
  <c r="Q53" i="17"/>
  <c r="Q52" i="17"/>
  <c r="Q51" i="17"/>
  <c r="Q50" i="17"/>
  <c r="Q48" i="17"/>
  <c r="Q46" i="17"/>
  <c r="Q45" i="17"/>
  <c r="Q44" i="17"/>
  <c r="Q41" i="17"/>
  <c r="Q39" i="17"/>
  <c r="Q38" i="17"/>
  <c r="Q37" i="17"/>
  <c r="Q36" i="17"/>
  <c r="Q35" i="17"/>
  <c r="Q34" i="17"/>
  <c r="Q30" i="17"/>
  <c r="Q27" i="17"/>
  <c r="Q26" i="17"/>
  <c r="Q25" i="17"/>
  <c r="Q15" i="17"/>
  <c r="O73" i="17"/>
  <c r="O72" i="17"/>
  <c r="O71" i="17"/>
  <c r="O70" i="17"/>
  <c r="O69" i="17"/>
  <c r="O67" i="17"/>
  <c r="O66" i="17"/>
  <c r="O62" i="17"/>
  <c r="O60" i="17"/>
  <c r="O59" i="17"/>
  <c r="O58" i="17"/>
  <c r="O57" i="17"/>
  <c r="O55" i="17"/>
  <c r="O54" i="17"/>
  <c r="O53" i="17"/>
  <c r="O52" i="17"/>
  <c r="O51" i="17"/>
  <c r="O50" i="17"/>
  <c r="O48" i="17"/>
  <c r="O46" i="17"/>
  <c r="O45" i="17"/>
  <c r="O44" i="17"/>
  <c r="O41" i="17"/>
  <c r="O39" i="17"/>
  <c r="O38" i="17"/>
  <c r="O37" i="17"/>
  <c r="O36" i="17"/>
  <c r="O35" i="17"/>
  <c r="O34" i="17"/>
  <c r="O30" i="17"/>
  <c r="O27" i="17"/>
  <c r="O26" i="17"/>
  <c r="O25" i="17"/>
  <c r="O15" i="17"/>
  <c r="M73" i="17"/>
  <c r="M72" i="17"/>
  <c r="M71" i="17"/>
  <c r="M70" i="17"/>
  <c r="M69" i="17"/>
  <c r="M68" i="17" s="1"/>
  <c r="M67" i="17"/>
  <c r="M66" i="17"/>
  <c r="M62" i="17"/>
  <c r="M60" i="17"/>
  <c r="M59" i="17"/>
  <c r="M58" i="17"/>
  <c r="M57" i="17"/>
  <c r="M55" i="17"/>
  <c r="M54" i="17"/>
  <c r="M53" i="17"/>
  <c r="M52" i="17"/>
  <c r="M51" i="17"/>
  <c r="M50" i="17"/>
  <c r="M48" i="17"/>
  <c r="M46" i="17"/>
  <c r="M45" i="17"/>
  <c r="M44" i="17"/>
  <c r="M41" i="17"/>
  <c r="M39" i="17"/>
  <c r="M38" i="17"/>
  <c r="M37" i="17"/>
  <c r="M36" i="17"/>
  <c r="M35" i="17"/>
  <c r="M34" i="17"/>
  <c r="M30" i="17"/>
  <c r="M27" i="17"/>
  <c r="M26" i="17"/>
  <c r="M25" i="17"/>
  <c r="M15" i="17"/>
  <c r="K73" i="17"/>
  <c r="K72" i="17"/>
  <c r="K71" i="17"/>
  <c r="K70" i="17"/>
  <c r="K69" i="17"/>
  <c r="K68" i="17" s="1"/>
  <c r="K67" i="17"/>
  <c r="K66" i="17"/>
  <c r="K65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6" i="17"/>
  <c r="K45" i="17"/>
  <c r="K44" i="17"/>
  <c r="K42" i="17"/>
  <c r="K41" i="17"/>
  <c r="K39" i="17"/>
  <c r="K38" i="17"/>
  <c r="K37" i="17"/>
  <c r="K36" i="17"/>
  <c r="K35" i="17"/>
  <c r="K34" i="17"/>
  <c r="K33" i="17" s="1"/>
  <c r="K31" i="17"/>
  <c r="K30" i="17"/>
  <c r="K27" i="17"/>
  <c r="K26" i="17"/>
  <c r="K25" i="17"/>
  <c r="K24" i="17"/>
  <c r="K22" i="17"/>
  <c r="K20" i="17"/>
  <c r="K15" i="17"/>
  <c r="K14" i="17"/>
  <c r="F2" i="23"/>
  <c r="F4" i="23"/>
  <c r="F6" i="23"/>
  <c r="F8" i="23"/>
  <c r="F10" i="23"/>
  <c r="F12" i="23"/>
  <c r="E14" i="23"/>
  <c r="F16" i="23"/>
  <c r="F18" i="23"/>
  <c r="F20" i="23"/>
  <c r="F22" i="23"/>
  <c r="F24" i="23"/>
  <c r="F26" i="23"/>
  <c r="F28" i="23"/>
  <c r="F30" i="23"/>
  <c r="F32" i="23"/>
  <c r="F34" i="23"/>
  <c r="F38" i="23"/>
  <c r="F40" i="23"/>
  <c r="F42" i="23"/>
  <c r="F44" i="23"/>
  <c r="F46" i="23"/>
  <c r="F48" i="23"/>
  <c r="F50" i="23"/>
  <c r="F52" i="23"/>
  <c r="F54" i="23"/>
  <c r="F56" i="23"/>
  <c r="F58" i="23"/>
  <c r="F60" i="23"/>
  <c r="F62" i="23"/>
  <c r="F64" i="23"/>
  <c r="F66" i="23"/>
  <c r="F68" i="23"/>
  <c r="F70" i="23"/>
  <c r="F72" i="23"/>
  <c r="F74" i="23"/>
  <c r="F76" i="23"/>
  <c r="F78" i="23"/>
  <c r="F80" i="23"/>
  <c r="F82" i="23"/>
  <c r="F84" i="23"/>
  <c r="F86" i="23"/>
  <c r="F88" i="23"/>
  <c r="F90" i="23"/>
  <c r="F92" i="23"/>
  <c r="F94" i="23"/>
  <c r="F96" i="23"/>
  <c r="F98" i="23"/>
  <c r="F100" i="23"/>
  <c r="F102" i="23"/>
  <c r="F104" i="23"/>
  <c r="F106" i="23"/>
  <c r="F108" i="23"/>
  <c r="F110" i="23"/>
  <c r="F112" i="23"/>
  <c r="F114" i="23"/>
  <c r="F116" i="23"/>
  <c r="F118" i="23"/>
  <c r="F120" i="23"/>
  <c r="G18" i="23"/>
  <c r="G120" i="23"/>
  <c r="E120" i="23"/>
  <c r="D120" i="23"/>
  <c r="C120" i="23"/>
  <c r="G118" i="23"/>
  <c r="E118" i="23"/>
  <c r="D118" i="23"/>
  <c r="C118" i="23"/>
  <c r="G116" i="23"/>
  <c r="E116" i="23"/>
  <c r="D116" i="23"/>
  <c r="C116" i="23"/>
  <c r="G114" i="23"/>
  <c r="E114" i="23"/>
  <c r="D114" i="23"/>
  <c r="C114" i="23"/>
  <c r="G112" i="23"/>
  <c r="E112" i="23"/>
  <c r="D112" i="23"/>
  <c r="C112" i="23"/>
  <c r="G110" i="23"/>
  <c r="E110" i="23"/>
  <c r="D110" i="23"/>
  <c r="C110" i="23"/>
  <c r="G108" i="23"/>
  <c r="E108" i="23"/>
  <c r="D108" i="23"/>
  <c r="C108" i="23"/>
  <c r="G106" i="23"/>
  <c r="E106" i="23"/>
  <c r="D106" i="23"/>
  <c r="C106" i="23"/>
  <c r="G104" i="23"/>
  <c r="E104" i="23"/>
  <c r="D104" i="23"/>
  <c r="C104" i="23"/>
  <c r="G102" i="23"/>
  <c r="E102" i="23"/>
  <c r="D102" i="23"/>
  <c r="C102" i="23"/>
  <c r="G100" i="23"/>
  <c r="E100" i="23"/>
  <c r="D100" i="23"/>
  <c r="G98" i="23"/>
  <c r="E98" i="23"/>
  <c r="D98" i="23"/>
  <c r="C98" i="23"/>
  <c r="G96" i="23"/>
  <c r="E96" i="23"/>
  <c r="D96" i="23"/>
  <c r="C96" i="23"/>
  <c r="G94" i="23"/>
  <c r="E94" i="23"/>
  <c r="D94" i="23"/>
  <c r="C94" i="23"/>
  <c r="G92" i="23"/>
  <c r="E92" i="23"/>
  <c r="D92" i="23"/>
  <c r="C92" i="23"/>
  <c r="G90" i="23"/>
  <c r="E90" i="23"/>
  <c r="D90" i="23"/>
  <c r="C90" i="23"/>
  <c r="G88" i="23"/>
  <c r="E88" i="23"/>
  <c r="D88" i="23"/>
  <c r="C88" i="23"/>
  <c r="G86" i="23"/>
  <c r="E86" i="23"/>
  <c r="D86" i="23"/>
  <c r="C86" i="23"/>
  <c r="G84" i="23"/>
  <c r="E84" i="23"/>
  <c r="D84" i="23"/>
  <c r="C84" i="23"/>
  <c r="G82" i="23"/>
  <c r="E82" i="23"/>
  <c r="D82" i="23"/>
  <c r="C82" i="23"/>
  <c r="G80" i="23"/>
  <c r="E80" i="23"/>
  <c r="D80" i="23"/>
  <c r="C80" i="23"/>
  <c r="G78" i="23"/>
  <c r="E78" i="23"/>
  <c r="D78" i="23"/>
  <c r="C78" i="23"/>
  <c r="G76" i="23"/>
  <c r="E76" i="23"/>
  <c r="D76" i="23"/>
  <c r="C76" i="23"/>
  <c r="G74" i="23"/>
  <c r="E74" i="23"/>
  <c r="D74" i="23"/>
  <c r="C74" i="23"/>
  <c r="G72" i="23"/>
  <c r="E72" i="23"/>
  <c r="D72" i="23"/>
  <c r="C72" i="23"/>
  <c r="G70" i="23"/>
  <c r="E70" i="23"/>
  <c r="D70" i="23"/>
  <c r="C70" i="23"/>
  <c r="G68" i="23"/>
  <c r="E68" i="23"/>
  <c r="D68" i="23"/>
  <c r="C68" i="23"/>
  <c r="G66" i="23"/>
  <c r="E66" i="23"/>
  <c r="D66" i="23"/>
  <c r="C66" i="23"/>
  <c r="G64" i="23"/>
  <c r="E64" i="23"/>
  <c r="D64" i="23"/>
  <c r="C64" i="23"/>
  <c r="G62" i="23"/>
  <c r="E62" i="23"/>
  <c r="D62" i="23"/>
  <c r="C62" i="23"/>
  <c r="G60" i="23"/>
  <c r="E60" i="23"/>
  <c r="D60" i="23"/>
  <c r="C60" i="23"/>
  <c r="G58" i="23"/>
  <c r="E58" i="23"/>
  <c r="D58" i="23"/>
  <c r="C58" i="23"/>
  <c r="G56" i="23"/>
  <c r="E56" i="23"/>
  <c r="D56" i="23"/>
  <c r="C56" i="23"/>
  <c r="G54" i="23"/>
  <c r="E54" i="23"/>
  <c r="D54" i="23"/>
  <c r="C54" i="23"/>
  <c r="G52" i="23"/>
  <c r="E52" i="23"/>
  <c r="D52" i="23"/>
  <c r="C52" i="23"/>
  <c r="G50" i="23"/>
  <c r="E50" i="23"/>
  <c r="D50" i="23"/>
  <c r="C50" i="23"/>
  <c r="G48" i="23"/>
  <c r="E48" i="23"/>
  <c r="D48" i="23"/>
  <c r="C48" i="23"/>
  <c r="G46" i="23"/>
  <c r="E46" i="23"/>
  <c r="D46" i="23"/>
  <c r="C46" i="23"/>
  <c r="G44" i="23"/>
  <c r="E44" i="23"/>
  <c r="D44" i="23"/>
  <c r="C44" i="23"/>
  <c r="G42" i="23"/>
  <c r="E42" i="23"/>
  <c r="D42" i="23"/>
  <c r="C42" i="23"/>
  <c r="G40" i="23"/>
  <c r="E40" i="23"/>
  <c r="D40" i="23"/>
  <c r="C40" i="23"/>
  <c r="G38" i="23"/>
  <c r="E38" i="23"/>
  <c r="D38" i="23"/>
  <c r="C38" i="23"/>
  <c r="E36" i="23"/>
  <c r="D36" i="23"/>
  <c r="C36" i="23"/>
  <c r="G34" i="23"/>
  <c r="E34" i="23"/>
  <c r="D34" i="23"/>
  <c r="C34" i="23"/>
  <c r="G32" i="23"/>
  <c r="E32" i="23"/>
  <c r="D32" i="23"/>
  <c r="C32" i="23"/>
  <c r="G30" i="23"/>
  <c r="E30" i="23"/>
  <c r="D30" i="23"/>
  <c r="C30" i="23"/>
  <c r="G28" i="23"/>
  <c r="E28" i="23"/>
  <c r="D28" i="23"/>
  <c r="C28" i="23"/>
  <c r="G26" i="23"/>
  <c r="E26" i="23"/>
  <c r="D26" i="23"/>
  <c r="C26" i="23"/>
  <c r="G24" i="23"/>
  <c r="E24" i="23"/>
  <c r="D24" i="23"/>
  <c r="C24" i="23"/>
  <c r="G22" i="23"/>
  <c r="E22" i="23"/>
  <c r="D22" i="23"/>
  <c r="C22" i="23"/>
  <c r="G20" i="23"/>
  <c r="E20" i="23"/>
  <c r="D20" i="23"/>
  <c r="C20" i="23"/>
  <c r="E18" i="23"/>
  <c r="D18" i="23"/>
  <c r="C18" i="23"/>
  <c r="G16" i="23"/>
  <c r="E16" i="23"/>
  <c r="D16" i="23"/>
  <c r="C16" i="23"/>
  <c r="F14" i="23"/>
  <c r="D14" i="23"/>
  <c r="C14" i="23"/>
  <c r="G12" i="23"/>
  <c r="E12" i="23"/>
  <c r="D12" i="23"/>
  <c r="C12" i="23"/>
  <c r="G10" i="23"/>
  <c r="E10" i="23"/>
  <c r="D10" i="23"/>
  <c r="C10" i="23"/>
  <c r="G8" i="23"/>
  <c r="E8" i="23"/>
  <c r="D8" i="23"/>
  <c r="C8" i="23"/>
  <c r="G6" i="23"/>
  <c r="E6" i="23"/>
  <c r="D6" i="23"/>
  <c r="C6" i="23"/>
  <c r="G4" i="23"/>
  <c r="E4" i="23"/>
  <c r="D4" i="23"/>
  <c r="C4" i="23"/>
  <c r="E2" i="23"/>
  <c r="G2" i="23"/>
  <c r="D2" i="23"/>
  <c r="C2" i="23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2" i="9"/>
  <c r="K11" i="18"/>
  <c r="L11" i="18" s="1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14" i="17"/>
  <c r="J57" i="20"/>
  <c r="J58" i="20"/>
  <c r="J59" i="20"/>
  <c r="J60" i="20"/>
  <c r="J61" i="20"/>
  <c r="J29" i="20"/>
  <c r="J36" i="20"/>
  <c r="J105" i="20"/>
  <c r="I105" i="20"/>
  <c r="J104" i="20"/>
  <c r="I104" i="20"/>
  <c r="J103" i="20"/>
  <c r="I103" i="20"/>
  <c r="J102" i="20"/>
  <c r="I102" i="20"/>
  <c r="J101" i="20"/>
  <c r="I101" i="20"/>
  <c r="J100" i="20"/>
  <c r="I100" i="20"/>
  <c r="J99" i="20"/>
  <c r="I99" i="20"/>
  <c r="J98" i="20"/>
  <c r="I98" i="20"/>
  <c r="J97" i="20"/>
  <c r="I97" i="20"/>
  <c r="J96" i="20"/>
  <c r="I96" i="20"/>
  <c r="J95" i="20"/>
  <c r="I95" i="20"/>
  <c r="J94" i="20"/>
  <c r="I94" i="20"/>
  <c r="J93" i="20"/>
  <c r="I93" i="20"/>
  <c r="J92" i="20"/>
  <c r="I92" i="20"/>
  <c r="J91" i="20"/>
  <c r="I91" i="20"/>
  <c r="J90" i="20"/>
  <c r="I90" i="20"/>
  <c r="J89" i="20"/>
  <c r="I89" i="20"/>
  <c r="J88" i="20"/>
  <c r="I88" i="20"/>
  <c r="J87" i="20"/>
  <c r="I87" i="20"/>
  <c r="J86" i="20"/>
  <c r="I86" i="20"/>
  <c r="J85" i="20"/>
  <c r="I85" i="20"/>
  <c r="J84" i="20"/>
  <c r="I84" i="20"/>
  <c r="J83" i="20"/>
  <c r="I83" i="20"/>
  <c r="J82" i="20"/>
  <c r="I82" i="20"/>
  <c r="J81" i="20"/>
  <c r="I81" i="20"/>
  <c r="J80" i="20"/>
  <c r="I80" i="20"/>
  <c r="J79" i="20"/>
  <c r="I79" i="20"/>
  <c r="J78" i="20"/>
  <c r="I78" i="20"/>
  <c r="J77" i="20"/>
  <c r="I77" i="20"/>
  <c r="J76" i="20"/>
  <c r="I76" i="20"/>
  <c r="J75" i="20"/>
  <c r="I75" i="20"/>
  <c r="J74" i="20"/>
  <c r="I74" i="20"/>
  <c r="J73" i="20"/>
  <c r="I73" i="20"/>
  <c r="J72" i="20"/>
  <c r="I72" i="20"/>
  <c r="J71" i="20"/>
  <c r="I71" i="20"/>
  <c r="J70" i="20"/>
  <c r="I70" i="20"/>
  <c r="J69" i="20"/>
  <c r="I69" i="20"/>
  <c r="J68" i="20"/>
  <c r="I68" i="20"/>
  <c r="J67" i="20"/>
  <c r="I67" i="20"/>
  <c r="J66" i="20"/>
  <c r="I66" i="20"/>
  <c r="J65" i="20"/>
  <c r="I65" i="20"/>
  <c r="J64" i="20"/>
  <c r="I64" i="20"/>
  <c r="J63" i="20"/>
  <c r="I63" i="20"/>
  <c r="J62" i="20"/>
  <c r="I62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5" i="20"/>
  <c r="J34" i="20"/>
  <c r="J33" i="20"/>
  <c r="J32" i="20"/>
  <c r="J31" i="20"/>
  <c r="J30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G33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3" i="3"/>
  <c r="F34" i="3"/>
  <c r="F32" i="3"/>
  <c r="F30" i="3"/>
  <c r="F31" i="3"/>
  <c r="F35" i="3"/>
  <c r="F36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4" i="3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39" i="8"/>
  <c r="A240" i="8"/>
  <c r="A241" i="8"/>
  <c r="A242" i="8"/>
  <c r="A243" i="8"/>
  <c r="A244" i="8"/>
  <c r="F52" i="3"/>
  <c r="G52" i="3"/>
  <c r="F51" i="3"/>
  <c r="G51" i="3"/>
  <c r="F50" i="3"/>
  <c r="G50" i="3"/>
  <c r="F89" i="3"/>
  <c r="G89" i="3"/>
  <c r="F88" i="3"/>
  <c r="G88" i="3"/>
  <c r="D5" i="5"/>
  <c r="F87" i="3"/>
  <c r="G87" i="3"/>
  <c r="F86" i="3"/>
  <c r="G86" i="3"/>
  <c r="F85" i="3"/>
  <c r="G85" i="3"/>
  <c r="F84" i="3"/>
  <c r="G84" i="3"/>
  <c r="F83" i="3"/>
  <c r="G83" i="3"/>
  <c r="F82" i="3"/>
  <c r="G82" i="3"/>
  <c r="F81" i="3"/>
  <c r="G81" i="3"/>
  <c r="A234" i="8"/>
  <c r="A235" i="8"/>
  <c r="A236" i="8"/>
  <c r="A237" i="8"/>
  <c r="A238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B16" i="8"/>
  <c r="C16" i="8"/>
  <c r="D16" i="8"/>
  <c r="E16" i="8"/>
  <c r="F16" i="8"/>
  <c r="G16" i="8"/>
  <c r="B18" i="8"/>
  <c r="C18" i="8"/>
  <c r="D18" i="8"/>
  <c r="B37" i="8"/>
  <c r="C37" i="8"/>
  <c r="D37" i="8"/>
  <c r="B105" i="8"/>
  <c r="C105" i="8"/>
  <c r="D105" i="8"/>
  <c r="B118" i="8"/>
  <c r="C118" i="8"/>
  <c r="D118" i="8"/>
  <c r="B139" i="8"/>
  <c r="C139" i="8"/>
  <c r="D139" i="8"/>
  <c r="B142" i="8"/>
  <c r="C142" i="8"/>
  <c r="D142" i="8"/>
  <c r="B171" i="8"/>
  <c r="C171" i="8"/>
  <c r="D171" i="8"/>
  <c r="B172" i="8"/>
  <c r="C172" i="8"/>
  <c r="D172" i="8"/>
  <c r="B190" i="8"/>
  <c r="C190" i="8"/>
  <c r="D190" i="8"/>
  <c r="B208" i="8"/>
  <c r="C208" i="8"/>
  <c r="D208" i="8"/>
  <c r="F99" i="3"/>
  <c r="G99" i="3"/>
  <c r="F98" i="3"/>
  <c r="G98" i="3"/>
  <c r="F96" i="3"/>
  <c r="G96" i="3"/>
  <c r="F97" i="3"/>
  <c r="G97" i="3"/>
  <c r="F95" i="3"/>
  <c r="G95" i="3"/>
  <c r="F94" i="3"/>
  <c r="G94" i="3"/>
  <c r="F93" i="3"/>
  <c r="G93" i="3"/>
  <c r="F92" i="3"/>
  <c r="G92" i="3"/>
  <c r="F91" i="3"/>
  <c r="G91" i="3"/>
  <c r="F90" i="3"/>
  <c r="G90" i="3"/>
  <c r="B4" i="16"/>
  <c r="D4" i="16"/>
  <c r="D3" i="16"/>
  <c r="D10" i="16"/>
  <c r="D2" i="16"/>
  <c r="D6" i="16"/>
  <c r="D7" i="16"/>
  <c r="F77" i="3"/>
  <c r="G77" i="3"/>
  <c r="F76" i="3"/>
  <c r="G76" i="3"/>
  <c r="F75" i="3"/>
  <c r="G75" i="3"/>
  <c r="F74" i="3"/>
  <c r="G74" i="3"/>
  <c r="F105" i="3"/>
  <c r="G105" i="3"/>
  <c r="F58" i="3"/>
  <c r="G58" i="3"/>
  <c r="F57" i="3"/>
  <c r="G57" i="3"/>
  <c r="F73" i="3"/>
  <c r="G73" i="3"/>
  <c r="F72" i="3"/>
  <c r="G72" i="3"/>
  <c r="F71" i="3"/>
  <c r="G71" i="3"/>
  <c r="F70" i="3"/>
  <c r="G70" i="3"/>
  <c r="F66" i="3"/>
  <c r="G66" i="3"/>
  <c r="F37" i="3"/>
  <c r="F38" i="3"/>
  <c r="F39" i="3"/>
  <c r="F59" i="3"/>
  <c r="F60" i="3"/>
  <c r="F61" i="3"/>
  <c r="F62" i="3"/>
  <c r="F68" i="3"/>
  <c r="F63" i="3"/>
  <c r="F67" i="3"/>
  <c r="F69" i="3"/>
  <c r="F100" i="3"/>
  <c r="F101" i="3"/>
  <c r="F102" i="3"/>
  <c r="F103" i="3"/>
  <c r="F104" i="3"/>
  <c r="F65" i="3"/>
  <c r="G65" i="3"/>
  <c r="F64" i="3"/>
  <c r="G64" i="3"/>
  <c r="A2" i="8"/>
  <c r="F56" i="3"/>
  <c r="G56" i="3"/>
  <c r="F55" i="3"/>
  <c r="G55" i="3"/>
  <c r="F54" i="3"/>
  <c r="G54" i="3"/>
  <c r="F53" i="3"/>
  <c r="G53" i="3"/>
  <c r="F49" i="3"/>
  <c r="G49" i="3"/>
  <c r="F48" i="3"/>
  <c r="G48" i="3"/>
  <c r="F47" i="3"/>
  <c r="G47" i="3"/>
  <c r="F45" i="3"/>
  <c r="G45" i="3"/>
  <c r="F46" i="3"/>
  <c r="G46" i="3"/>
  <c r="F44" i="3"/>
  <c r="G44" i="3"/>
  <c r="F43" i="3"/>
  <c r="G43" i="3"/>
  <c r="F42" i="3"/>
  <c r="G42" i="3"/>
  <c r="F41" i="3"/>
  <c r="G41" i="3"/>
  <c r="F40" i="3"/>
  <c r="G40" i="3"/>
  <c r="G36" i="3"/>
  <c r="G35" i="3"/>
  <c r="G31" i="3"/>
  <c r="G30" i="3"/>
  <c r="G32" i="3"/>
  <c r="G37" i="3"/>
  <c r="G38" i="3"/>
  <c r="G39" i="3"/>
  <c r="G59" i="3"/>
  <c r="G60" i="3"/>
  <c r="G61" i="3"/>
  <c r="G62" i="3"/>
  <c r="G68" i="3"/>
  <c r="G63" i="3"/>
  <c r="G67" i="3"/>
  <c r="G69" i="3"/>
  <c r="G100" i="3"/>
  <c r="G101" i="3"/>
  <c r="G102" i="3"/>
  <c r="G103" i="3"/>
  <c r="G104" i="3"/>
  <c r="D2" i="2"/>
  <c r="D3" i="2"/>
  <c r="D4" i="2"/>
  <c r="D5" i="2"/>
  <c r="D6" i="2"/>
  <c r="D7" i="2"/>
  <c r="D8" i="2"/>
  <c r="D9" i="2"/>
  <c r="D10" i="2"/>
  <c r="D12" i="2"/>
  <c r="D11" i="2"/>
  <c r="D13" i="2"/>
  <c r="B21" i="8"/>
  <c r="B36" i="8"/>
  <c r="B35" i="8"/>
  <c r="B34" i="8"/>
  <c r="B33" i="8"/>
  <c r="B24" i="8"/>
  <c r="B19" i="8"/>
  <c r="B23" i="8"/>
  <c r="B27" i="8"/>
  <c r="B31" i="8"/>
  <c r="B22" i="8"/>
  <c r="B29" i="8"/>
  <c r="B30" i="8"/>
  <c r="B25" i="8"/>
  <c r="B26" i="8"/>
  <c r="B20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7" i="8"/>
  <c r="B28" i="8"/>
  <c r="C36" i="8"/>
  <c r="C35" i="8"/>
  <c r="C34" i="8"/>
  <c r="C33" i="8"/>
  <c r="C24" i="8"/>
  <c r="C19" i="8"/>
  <c r="C23" i="8"/>
  <c r="C27" i="8"/>
  <c r="C31" i="8"/>
  <c r="C32" i="8"/>
  <c r="C22" i="8"/>
  <c r="C29" i="8"/>
  <c r="C21" i="8"/>
  <c r="C30" i="8"/>
  <c r="C25" i="8"/>
  <c r="C26" i="8"/>
  <c r="C20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7" i="8"/>
  <c r="C28" i="8"/>
  <c r="D36" i="8"/>
  <c r="D35" i="8"/>
  <c r="D34" i="8"/>
  <c r="D33" i="8"/>
  <c r="D24" i="8"/>
  <c r="D19" i="8"/>
  <c r="D23" i="8"/>
  <c r="D27" i="8"/>
  <c r="D31" i="8"/>
  <c r="D32" i="8"/>
  <c r="D22" i="8"/>
  <c r="D29" i="8"/>
  <c r="D21" i="8"/>
  <c r="D30" i="8"/>
  <c r="D25" i="8"/>
  <c r="D26" i="8"/>
  <c r="D20" i="8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7" i="8"/>
  <c r="D28" i="8"/>
  <c r="E36" i="8"/>
  <c r="E35" i="8"/>
  <c r="E34" i="8"/>
  <c r="E17" i="8"/>
  <c r="F36" i="8"/>
  <c r="F35" i="8"/>
  <c r="F34" i="8"/>
  <c r="F17" i="8"/>
  <c r="G36" i="8"/>
  <c r="G35" i="8"/>
  <c r="G34" i="8"/>
  <c r="G17" i="8"/>
  <c r="D3" i="12"/>
  <c r="D4" i="12"/>
  <c r="D5" i="12"/>
  <c r="D6" i="12"/>
  <c r="D7" i="12"/>
  <c r="D2" i="12"/>
  <c r="D2" i="11"/>
  <c r="B50" i="8"/>
  <c r="F2" i="4"/>
  <c r="H139" i="8"/>
  <c r="H142" i="8"/>
  <c r="H105" i="8"/>
  <c r="H171" i="8"/>
  <c r="H172" i="8"/>
  <c r="H208" i="8"/>
  <c r="H2" i="4"/>
  <c r="H16" i="8"/>
  <c r="I139" i="8"/>
  <c r="J139" i="8"/>
  <c r="K139" i="8"/>
  <c r="I105" i="8"/>
  <c r="J105" i="8"/>
  <c r="K105" i="8"/>
  <c r="I171" i="8"/>
  <c r="J171" i="8"/>
  <c r="K171" i="8"/>
  <c r="I172" i="8"/>
  <c r="J172" i="8"/>
  <c r="K172" i="8"/>
  <c r="I208" i="8"/>
  <c r="J208" i="8"/>
  <c r="K208" i="8"/>
  <c r="B233" i="8"/>
  <c r="C233" i="8"/>
  <c r="D233" i="8"/>
  <c r="B232" i="8"/>
  <c r="C232" i="8"/>
  <c r="D232" i="8"/>
  <c r="B231" i="8"/>
  <c r="C231" i="8"/>
  <c r="D231" i="8"/>
  <c r="B230" i="8"/>
  <c r="C230" i="8"/>
  <c r="D230" i="8"/>
  <c r="B229" i="8"/>
  <c r="C229" i="8"/>
  <c r="D229" i="8"/>
  <c r="B228" i="8"/>
  <c r="C228" i="8"/>
  <c r="D228" i="8"/>
  <c r="B227" i="8"/>
  <c r="C227" i="8"/>
  <c r="D227" i="8"/>
  <c r="B226" i="8"/>
  <c r="C226" i="8"/>
  <c r="D226" i="8"/>
  <c r="B225" i="8"/>
  <c r="C225" i="8"/>
  <c r="D225" i="8"/>
  <c r="B224" i="8"/>
  <c r="C224" i="8"/>
  <c r="D224" i="8"/>
  <c r="B223" i="8"/>
  <c r="C223" i="8"/>
  <c r="D223" i="8"/>
  <c r="B222" i="8"/>
  <c r="C222" i="8"/>
  <c r="D222" i="8"/>
  <c r="B221" i="8"/>
  <c r="C221" i="8"/>
  <c r="D221" i="8"/>
  <c r="B220" i="8"/>
  <c r="C220" i="8"/>
  <c r="D220" i="8"/>
  <c r="B219" i="8"/>
  <c r="C219" i="8"/>
  <c r="D219" i="8"/>
  <c r="B218" i="8"/>
  <c r="C218" i="8"/>
  <c r="D218" i="8"/>
  <c r="B217" i="8"/>
  <c r="C217" i="8"/>
  <c r="D217" i="8"/>
  <c r="B216" i="8"/>
  <c r="C216" i="8"/>
  <c r="D216" i="8"/>
  <c r="B215" i="8"/>
  <c r="C215" i="8"/>
  <c r="D215" i="8"/>
  <c r="B214" i="8"/>
  <c r="C214" i="8"/>
  <c r="D214" i="8"/>
  <c r="B213" i="8"/>
  <c r="C213" i="8"/>
  <c r="D213" i="8"/>
  <c r="B212" i="8"/>
  <c r="C212" i="8"/>
  <c r="D212" i="8"/>
  <c r="B211" i="8"/>
  <c r="C211" i="8"/>
  <c r="D211" i="8"/>
  <c r="B210" i="8"/>
  <c r="C210" i="8"/>
  <c r="D210" i="8"/>
  <c r="B209" i="8"/>
  <c r="C209" i="8"/>
  <c r="D209" i="8"/>
  <c r="B238" i="8"/>
  <c r="C238" i="8"/>
  <c r="D238" i="8"/>
  <c r="B237" i="8"/>
  <c r="C237" i="8"/>
  <c r="D237" i="8"/>
  <c r="B236" i="8"/>
  <c r="C236" i="8"/>
  <c r="D236" i="8"/>
  <c r="B235" i="8"/>
  <c r="C235" i="8"/>
  <c r="D235" i="8"/>
  <c r="B234" i="8"/>
  <c r="C234" i="8"/>
  <c r="D234" i="8"/>
  <c r="B38" i="8"/>
  <c r="D39" i="8"/>
  <c r="D40" i="8"/>
  <c r="B41" i="8"/>
  <c r="B42" i="8"/>
  <c r="B43" i="8"/>
  <c r="D44" i="8"/>
  <c r="B45" i="8"/>
  <c r="B46" i="8"/>
  <c r="B49" i="8"/>
  <c r="B32" i="8"/>
  <c r="B2" i="8"/>
  <c r="D11" i="16"/>
  <c r="B156" i="8"/>
  <c r="C156" i="8"/>
  <c r="D156" i="8"/>
  <c r="B155" i="8"/>
  <c r="C155" i="8"/>
  <c r="D155" i="8"/>
  <c r="B154" i="8"/>
  <c r="C154" i="8"/>
  <c r="D154" i="8"/>
  <c r="B153" i="8"/>
  <c r="C153" i="8"/>
  <c r="D153" i="8"/>
  <c r="B152" i="8"/>
  <c r="C152" i="8"/>
  <c r="D152" i="8"/>
  <c r="B151" i="8"/>
  <c r="C151" i="8"/>
  <c r="D151" i="8"/>
  <c r="B150" i="8"/>
  <c r="C150" i="8"/>
  <c r="D150" i="8"/>
  <c r="B149" i="8"/>
  <c r="C149" i="8"/>
  <c r="D149" i="8"/>
  <c r="B148" i="8"/>
  <c r="C148" i="8"/>
  <c r="D148" i="8"/>
  <c r="B147" i="8"/>
  <c r="C147" i="8"/>
  <c r="D147" i="8"/>
  <c r="B146" i="8"/>
  <c r="C146" i="8"/>
  <c r="D146" i="8"/>
  <c r="B145" i="8"/>
  <c r="C145" i="8"/>
  <c r="D145" i="8"/>
  <c r="B144" i="8"/>
  <c r="C144" i="8"/>
  <c r="D144" i="8"/>
  <c r="B143" i="8"/>
  <c r="C143" i="8"/>
  <c r="D143" i="8"/>
  <c r="B141" i="8"/>
  <c r="C141" i="8"/>
  <c r="D141" i="8"/>
  <c r="B140" i="8"/>
  <c r="C140" i="8"/>
  <c r="D140" i="8"/>
  <c r="B138" i="8"/>
  <c r="C138" i="8"/>
  <c r="D138" i="8"/>
  <c r="B137" i="8"/>
  <c r="C137" i="8"/>
  <c r="D137" i="8"/>
  <c r="B136" i="8"/>
  <c r="C136" i="8"/>
  <c r="D136" i="8"/>
  <c r="B135" i="8"/>
  <c r="C135" i="8"/>
  <c r="D135" i="8"/>
  <c r="B134" i="8"/>
  <c r="C134" i="8"/>
  <c r="D134" i="8"/>
  <c r="B133" i="8"/>
  <c r="C133" i="8"/>
  <c r="D133" i="8"/>
  <c r="B168" i="8"/>
  <c r="C168" i="8"/>
  <c r="D168" i="8"/>
  <c r="B167" i="8"/>
  <c r="C167" i="8"/>
  <c r="D167" i="8"/>
  <c r="B166" i="8"/>
  <c r="C166" i="8"/>
  <c r="D166" i="8"/>
  <c r="B165" i="8"/>
  <c r="C165" i="8"/>
  <c r="D165" i="8"/>
  <c r="B164" i="8"/>
  <c r="C164" i="8"/>
  <c r="D164" i="8"/>
  <c r="B163" i="8"/>
  <c r="C163" i="8"/>
  <c r="D163" i="8"/>
  <c r="B162" i="8"/>
  <c r="C162" i="8"/>
  <c r="D162" i="8"/>
  <c r="B161" i="8"/>
  <c r="C161" i="8"/>
  <c r="D161" i="8"/>
  <c r="B160" i="8"/>
  <c r="C160" i="8"/>
  <c r="D160" i="8"/>
  <c r="B159" i="8"/>
  <c r="C159" i="8"/>
  <c r="D159" i="8"/>
  <c r="B158" i="8"/>
  <c r="C158" i="8"/>
  <c r="D158" i="8"/>
  <c r="B157" i="8"/>
  <c r="C157" i="8"/>
  <c r="D157" i="8"/>
  <c r="B170" i="8"/>
  <c r="C170" i="8"/>
  <c r="D170" i="8"/>
  <c r="B187" i="8"/>
  <c r="C187" i="8"/>
  <c r="D187" i="8"/>
  <c r="B186" i="8"/>
  <c r="C186" i="8"/>
  <c r="D186" i="8"/>
  <c r="B185" i="8"/>
  <c r="C185" i="8"/>
  <c r="D185" i="8"/>
  <c r="B184" i="8"/>
  <c r="C184" i="8"/>
  <c r="D184" i="8"/>
  <c r="B183" i="8"/>
  <c r="C183" i="8"/>
  <c r="D183" i="8"/>
  <c r="B182" i="8"/>
  <c r="C182" i="8"/>
  <c r="D182" i="8"/>
  <c r="B181" i="8"/>
  <c r="C181" i="8"/>
  <c r="D181" i="8"/>
  <c r="B180" i="8"/>
  <c r="C180" i="8"/>
  <c r="D180" i="8"/>
  <c r="B179" i="8"/>
  <c r="C179" i="8"/>
  <c r="D179" i="8"/>
  <c r="B178" i="8"/>
  <c r="C178" i="8"/>
  <c r="D178" i="8"/>
  <c r="B177" i="8"/>
  <c r="C177" i="8"/>
  <c r="D177" i="8"/>
  <c r="B176" i="8"/>
  <c r="C176" i="8"/>
  <c r="D176" i="8"/>
  <c r="B175" i="8"/>
  <c r="C175" i="8"/>
  <c r="D175" i="8"/>
  <c r="B174" i="8"/>
  <c r="C174" i="8"/>
  <c r="D174" i="8"/>
  <c r="B173" i="8"/>
  <c r="C173" i="8"/>
  <c r="D173" i="8"/>
  <c r="B169" i="8"/>
  <c r="C169" i="8"/>
  <c r="D169" i="8"/>
  <c r="B207" i="8"/>
  <c r="C207" i="8"/>
  <c r="D207" i="8"/>
  <c r="B206" i="8"/>
  <c r="C206" i="8"/>
  <c r="D206" i="8"/>
  <c r="B205" i="8"/>
  <c r="C205" i="8"/>
  <c r="D205" i="8"/>
  <c r="B204" i="8"/>
  <c r="C204" i="8"/>
  <c r="D204" i="8"/>
  <c r="B203" i="8"/>
  <c r="C203" i="8"/>
  <c r="D203" i="8"/>
  <c r="B202" i="8"/>
  <c r="C202" i="8"/>
  <c r="D202" i="8"/>
  <c r="B201" i="8"/>
  <c r="C201" i="8"/>
  <c r="D201" i="8"/>
  <c r="B200" i="8"/>
  <c r="C200" i="8"/>
  <c r="D200" i="8"/>
  <c r="B199" i="8"/>
  <c r="C199" i="8"/>
  <c r="D199" i="8"/>
  <c r="B198" i="8"/>
  <c r="C198" i="8"/>
  <c r="D198" i="8"/>
  <c r="B197" i="8"/>
  <c r="C197" i="8"/>
  <c r="D197" i="8"/>
  <c r="B196" i="8"/>
  <c r="C196" i="8"/>
  <c r="D196" i="8"/>
  <c r="B195" i="8"/>
  <c r="C195" i="8"/>
  <c r="D195" i="8"/>
  <c r="B194" i="8"/>
  <c r="C194" i="8"/>
  <c r="D194" i="8"/>
  <c r="B193" i="8"/>
  <c r="C193" i="8"/>
  <c r="D193" i="8"/>
  <c r="B192" i="8"/>
  <c r="C192" i="8"/>
  <c r="D192" i="8"/>
  <c r="B191" i="8"/>
  <c r="C191" i="8"/>
  <c r="D191" i="8"/>
  <c r="B189" i="8"/>
  <c r="C189" i="8"/>
  <c r="D189" i="8"/>
  <c r="B188" i="8"/>
  <c r="C188" i="8"/>
  <c r="D188" i="8"/>
  <c r="B104" i="8"/>
  <c r="C104" i="8"/>
  <c r="D104" i="8"/>
  <c r="B108" i="8"/>
  <c r="C108" i="8"/>
  <c r="D108" i="8"/>
  <c r="B107" i="8"/>
  <c r="C107" i="8"/>
  <c r="D107" i="8"/>
  <c r="B106" i="8"/>
  <c r="C106" i="8"/>
  <c r="D106" i="8"/>
  <c r="G6" i="3"/>
  <c r="G12" i="3"/>
  <c r="G11" i="3"/>
  <c r="G10" i="3"/>
  <c r="G9" i="3"/>
  <c r="G7" i="3"/>
  <c r="G8" i="3"/>
  <c r="G13" i="3"/>
  <c r="G15" i="3"/>
  <c r="G78" i="3"/>
  <c r="F78" i="3"/>
  <c r="G79" i="3"/>
  <c r="F79" i="3"/>
  <c r="G80" i="3"/>
  <c r="F80" i="3"/>
  <c r="B132" i="8"/>
  <c r="C132" i="8"/>
  <c r="D132" i="8"/>
  <c r="B131" i="8"/>
  <c r="C131" i="8"/>
  <c r="D131" i="8"/>
  <c r="B130" i="8"/>
  <c r="C130" i="8"/>
  <c r="D130" i="8"/>
  <c r="B129" i="8"/>
  <c r="C129" i="8"/>
  <c r="D129" i="8"/>
  <c r="B128" i="8"/>
  <c r="C128" i="8"/>
  <c r="D128" i="8"/>
  <c r="B127" i="8"/>
  <c r="C127" i="8"/>
  <c r="D127" i="8"/>
  <c r="B112" i="8"/>
  <c r="C112" i="8"/>
  <c r="D112" i="8"/>
  <c r="B111" i="8"/>
  <c r="C111" i="8"/>
  <c r="D111" i="8"/>
  <c r="B88" i="8"/>
  <c r="C88" i="8"/>
  <c r="D88" i="8"/>
  <c r="B87" i="8"/>
  <c r="C87" i="8"/>
  <c r="D87" i="8"/>
  <c r="B86" i="8"/>
  <c r="C86" i="8"/>
  <c r="D86" i="8"/>
  <c r="B85" i="8"/>
  <c r="C85" i="8"/>
  <c r="D85" i="8"/>
  <c r="B84" i="8"/>
  <c r="C84" i="8"/>
  <c r="D84" i="8"/>
  <c r="B83" i="8"/>
  <c r="C83" i="8"/>
  <c r="D83" i="8"/>
  <c r="B82" i="8"/>
  <c r="C82" i="8"/>
  <c r="D82" i="8"/>
  <c r="B81" i="8"/>
  <c r="C81" i="8"/>
  <c r="D81" i="8"/>
  <c r="B80" i="8"/>
  <c r="C80" i="8"/>
  <c r="D80" i="8"/>
  <c r="B79" i="8"/>
  <c r="C79" i="8"/>
  <c r="D79" i="8"/>
  <c r="B78" i="8"/>
  <c r="C78" i="8"/>
  <c r="D78" i="8"/>
  <c r="B77" i="8"/>
  <c r="C77" i="8"/>
  <c r="D77" i="8"/>
  <c r="B76" i="8"/>
  <c r="C76" i="8"/>
  <c r="D76" i="8"/>
  <c r="B75" i="8"/>
  <c r="C75" i="8"/>
  <c r="D75" i="8"/>
  <c r="B74" i="8"/>
  <c r="C74" i="8"/>
  <c r="D74" i="8"/>
  <c r="B73" i="8"/>
  <c r="C73" i="8"/>
  <c r="D73" i="8"/>
  <c r="B72" i="8"/>
  <c r="C72" i="8"/>
  <c r="D72" i="8"/>
  <c r="B71" i="8"/>
  <c r="C71" i="8"/>
  <c r="D71" i="8"/>
  <c r="B70" i="8"/>
  <c r="C70" i="8"/>
  <c r="D70" i="8"/>
  <c r="B69" i="8"/>
  <c r="C69" i="8"/>
  <c r="D69" i="8"/>
  <c r="B68" i="8"/>
  <c r="C68" i="8"/>
  <c r="D68" i="8"/>
  <c r="B67" i="8"/>
  <c r="C67" i="8"/>
  <c r="D67" i="8"/>
  <c r="B66" i="8"/>
  <c r="C66" i="8"/>
  <c r="D66" i="8"/>
  <c r="B65" i="8"/>
  <c r="C65" i="8"/>
  <c r="D65" i="8"/>
  <c r="B64" i="8"/>
  <c r="C64" i="8"/>
  <c r="D64" i="8"/>
  <c r="B63" i="8"/>
  <c r="C63" i="8"/>
  <c r="D63" i="8"/>
  <c r="B62" i="8"/>
  <c r="C62" i="8"/>
  <c r="D62" i="8"/>
  <c r="B61" i="8"/>
  <c r="C61" i="8"/>
  <c r="D61" i="8"/>
  <c r="B60" i="8"/>
  <c r="C60" i="8"/>
  <c r="D60" i="8"/>
  <c r="B59" i="8"/>
  <c r="C59" i="8"/>
  <c r="D59" i="8"/>
  <c r="B58" i="8"/>
  <c r="C58" i="8"/>
  <c r="D58" i="8"/>
  <c r="B57" i="8"/>
  <c r="C57" i="8"/>
  <c r="D57" i="8"/>
  <c r="B56" i="8"/>
  <c r="C56" i="8"/>
  <c r="D56" i="8"/>
  <c r="B55" i="8"/>
  <c r="C55" i="8"/>
  <c r="D55" i="8"/>
  <c r="B54" i="8"/>
  <c r="C54" i="8"/>
  <c r="D54" i="8"/>
  <c r="B53" i="8"/>
  <c r="C53" i="8"/>
  <c r="D53" i="8"/>
  <c r="B52" i="8"/>
  <c r="C52" i="8"/>
  <c r="D52" i="8"/>
  <c r="B51" i="8"/>
  <c r="C51" i="8"/>
  <c r="D51" i="8"/>
  <c r="B110" i="8"/>
  <c r="C110" i="8"/>
  <c r="D110" i="8"/>
  <c r="B109" i="8"/>
  <c r="C109" i="8"/>
  <c r="D109" i="8"/>
  <c r="B126" i="8"/>
  <c r="C126" i="8"/>
  <c r="D126" i="8"/>
  <c r="B125" i="8"/>
  <c r="C125" i="8"/>
  <c r="D125" i="8"/>
  <c r="B124" i="8"/>
  <c r="C124" i="8"/>
  <c r="D124" i="8"/>
  <c r="B123" i="8"/>
  <c r="C123" i="8"/>
  <c r="D123" i="8"/>
  <c r="B122" i="8"/>
  <c r="C122" i="8"/>
  <c r="D122" i="8"/>
  <c r="B121" i="8"/>
  <c r="C121" i="8"/>
  <c r="D121" i="8"/>
  <c r="B120" i="8"/>
  <c r="C120" i="8"/>
  <c r="D120" i="8"/>
  <c r="B119" i="8"/>
  <c r="C119" i="8"/>
  <c r="D119" i="8"/>
  <c r="B117" i="8"/>
  <c r="C117" i="8"/>
  <c r="D117" i="8"/>
  <c r="B116" i="8"/>
  <c r="C116" i="8"/>
  <c r="D116" i="8"/>
  <c r="B115" i="8"/>
  <c r="C115" i="8"/>
  <c r="D115" i="8"/>
  <c r="B114" i="8"/>
  <c r="C114" i="8"/>
  <c r="D114" i="8"/>
  <c r="B113" i="8"/>
  <c r="C113" i="8"/>
  <c r="D113" i="8"/>
  <c r="B103" i="8"/>
  <c r="C103" i="8"/>
  <c r="D103" i="8"/>
  <c r="B102" i="8"/>
  <c r="C102" i="8"/>
  <c r="D102" i="8"/>
  <c r="B101" i="8"/>
  <c r="C101" i="8"/>
  <c r="D101" i="8"/>
  <c r="B100" i="8"/>
  <c r="C100" i="8"/>
  <c r="D100" i="8"/>
  <c r="B99" i="8"/>
  <c r="C99" i="8"/>
  <c r="D99" i="8"/>
  <c r="B98" i="8"/>
  <c r="C98" i="8"/>
  <c r="D98" i="8"/>
  <c r="B97" i="8"/>
  <c r="C97" i="8"/>
  <c r="D97" i="8"/>
  <c r="B96" i="8"/>
  <c r="C96" i="8"/>
  <c r="D96" i="8"/>
  <c r="B95" i="8"/>
  <c r="C95" i="8"/>
  <c r="D95" i="8"/>
  <c r="B94" i="8"/>
  <c r="C94" i="8"/>
  <c r="D94" i="8"/>
  <c r="B93" i="8"/>
  <c r="C93" i="8"/>
  <c r="D93" i="8"/>
  <c r="B92" i="8"/>
  <c r="C92" i="8"/>
  <c r="D92" i="8"/>
  <c r="B91" i="8"/>
  <c r="C91" i="8"/>
  <c r="D91" i="8"/>
  <c r="B90" i="8"/>
  <c r="C90" i="8"/>
  <c r="D90" i="8"/>
  <c r="B89" i="8"/>
  <c r="C89" i="8"/>
  <c r="D89" i="8"/>
  <c r="G14" i="3"/>
  <c r="H36" i="8"/>
  <c r="H35" i="8"/>
  <c r="H34" i="8"/>
  <c r="H33" i="8"/>
  <c r="E24" i="8"/>
  <c r="E19" i="8"/>
  <c r="E23" i="8"/>
  <c r="E27" i="8"/>
  <c r="E31" i="8"/>
  <c r="E32" i="8"/>
  <c r="E22" i="8"/>
  <c r="E29" i="8"/>
  <c r="E21" i="8"/>
  <c r="E30" i="8"/>
  <c r="E26" i="8"/>
  <c r="E20" i="8"/>
  <c r="F24" i="8"/>
  <c r="F19" i="8"/>
  <c r="F23" i="8"/>
  <c r="F27" i="8"/>
  <c r="F31" i="8"/>
  <c r="F32" i="8"/>
  <c r="F22" i="8"/>
  <c r="F29" i="8"/>
  <c r="F21" i="8"/>
  <c r="F30" i="8"/>
  <c r="F26" i="8"/>
  <c r="F20" i="8"/>
  <c r="G24" i="8"/>
  <c r="G19" i="8"/>
  <c r="G23" i="8"/>
  <c r="G27" i="8"/>
  <c r="G31" i="8"/>
  <c r="G32" i="8"/>
  <c r="G22" i="8"/>
  <c r="G29" i="8"/>
  <c r="G21" i="8"/>
  <c r="G30" i="8"/>
  <c r="G26" i="8"/>
  <c r="G20" i="8"/>
  <c r="E14" i="8"/>
  <c r="E15" i="8"/>
  <c r="F14" i="8"/>
  <c r="F15" i="8"/>
  <c r="G14" i="8"/>
  <c r="G15" i="8"/>
  <c r="E2" i="8"/>
  <c r="E3" i="8"/>
  <c r="E4" i="8"/>
  <c r="E5" i="8"/>
  <c r="E6" i="8"/>
  <c r="E7" i="8"/>
  <c r="E8" i="8"/>
  <c r="E9" i="8"/>
  <c r="E10" i="8"/>
  <c r="E11" i="8"/>
  <c r="E12" i="8"/>
  <c r="E13" i="8"/>
  <c r="F2" i="8"/>
  <c r="F3" i="8"/>
  <c r="F4" i="8"/>
  <c r="F5" i="8"/>
  <c r="F6" i="8"/>
  <c r="F7" i="8"/>
  <c r="F8" i="8"/>
  <c r="F9" i="8"/>
  <c r="F10" i="8"/>
  <c r="F11" i="8"/>
  <c r="F12" i="8"/>
  <c r="F13" i="8"/>
  <c r="G2" i="8"/>
  <c r="G3" i="8"/>
  <c r="G4" i="8"/>
  <c r="G5" i="8"/>
  <c r="G6" i="8"/>
  <c r="G7" i="8"/>
  <c r="G8" i="8"/>
  <c r="G9" i="8"/>
  <c r="G10" i="8"/>
  <c r="G11" i="8"/>
  <c r="G12" i="8"/>
  <c r="G13" i="8"/>
  <c r="H8" i="8"/>
  <c r="J8" i="8"/>
  <c r="H9" i="8"/>
  <c r="J9" i="8"/>
  <c r="H10" i="8"/>
  <c r="J10" i="8"/>
  <c r="H11" i="8"/>
  <c r="J11" i="8"/>
  <c r="H12" i="8"/>
  <c r="J12" i="8"/>
  <c r="H13" i="8"/>
  <c r="J13" i="8"/>
  <c r="H14" i="8"/>
  <c r="J14" i="8"/>
  <c r="H15" i="8"/>
  <c r="J15" i="8"/>
  <c r="H17" i="8"/>
  <c r="J17" i="8"/>
  <c r="H25" i="8"/>
  <c r="J25" i="8"/>
  <c r="H28" i="8"/>
  <c r="J28" i="8"/>
  <c r="F2" i="12"/>
  <c r="F3" i="12"/>
  <c r="F4" i="12"/>
  <c r="F5" i="12"/>
  <c r="F6" i="12"/>
  <c r="F7" i="12"/>
  <c r="B47" i="8"/>
  <c r="D47" i="8"/>
  <c r="D48" i="8"/>
  <c r="C48" i="8"/>
  <c r="E39" i="8"/>
  <c r="G39" i="8"/>
  <c r="E40" i="8"/>
  <c r="G40" i="8"/>
  <c r="E44" i="8"/>
  <c r="G44" i="8"/>
  <c r="E48" i="8"/>
  <c r="G48" i="8"/>
  <c r="E47" i="8"/>
  <c r="G47" i="8"/>
  <c r="B39" i="8"/>
  <c r="C39" i="8"/>
  <c r="D42" i="8"/>
  <c r="C43" i="8"/>
  <c r="D43" i="8"/>
  <c r="C47" i="8"/>
  <c r="F39" i="8"/>
  <c r="F43" i="8"/>
  <c r="F47" i="8"/>
  <c r="F40" i="8"/>
  <c r="F44" i="8"/>
  <c r="F48" i="8"/>
  <c r="D38" i="8"/>
  <c r="G38" i="8"/>
  <c r="D49" i="8"/>
  <c r="G49" i="8"/>
  <c r="C40" i="8"/>
  <c r="C44" i="8"/>
  <c r="D45" i="8"/>
  <c r="G45" i="8"/>
  <c r="C41" i="8"/>
  <c r="C45" i="8"/>
  <c r="C49" i="8"/>
  <c r="D41" i="8"/>
  <c r="D46" i="8"/>
  <c r="G46" i="8"/>
  <c r="C38" i="8"/>
  <c r="C42" i="8"/>
  <c r="C46" i="8"/>
  <c r="C50" i="8"/>
  <c r="B40" i="8"/>
  <c r="B44" i="8"/>
  <c r="B48" i="8"/>
  <c r="D50" i="8"/>
  <c r="G50" i="8"/>
  <c r="H39" i="8"/>
  <c r="J39" i="8"/>
  <c r="H43" i="8"/>
  <c r="J43" i="8"/>
  <c r="H47" i="8"/>
  <c r="J47" i="8"/>
  <c r="H40" i="8"/>
  <c r="J40" i="8"/>
  <c r="H44" i="8"/>
  <c r="J44" i="8"/>
  <c r="H48" i="8"/>
  <c r="J48" i="8"/>
  <c r="H45" i="8"/>
  <c r="J45" i="8"/>
  <c r="H49" i="8"/>
  <c r="J49" i="8"/>
  <c r="H42" i="8"/>
  <c r="J42" i="8"/>
  <c r="I142" i="8"/>
  <c r="J142" i="8"/>
  <c r="K142" i="8"/>
  <c r="I16" i="8"/>
  <c r="J16" i="8"/>
  <c r="K16" i="8"/>
  <c r="E234" i="8"/>
  <c r="F234" i="8"/>
  <c r="G234" i="8"/>
  <c r="H234" i="8"/>
  <c r="E235" i="8"/>
  <c r="F235" i="8"/>
  <c r="G235" i="8"/>
  <c r="H235" i="8"/>
  <c r="E236" i="8"/>
  <c r="F236" i="8"/>
  <c r="G236" i="8"/>
  <c r="H236" i="8"/>
  <c r="E237" i="8"/>
  <c r="F237" i="8"/>
  <c r="G237" i="8"/>
  <c r="H237" i="8"/>
  <c r="E238" i="8"/>
  <c r="F238" i="8"/>
  <c r="G238" i="8"/>
  <c r="H238" i="8"/>
  <c r="E209" i="8"/>
  <c r="F209" i="8"/>
  <c r="G209" i="8"/>
  <c r="H209" i="8"/>
  <c r="E210" i="8"/>
  <c r="F210" i="8"/>
  <c r="G210" i="8"/>
  <c r="H210" i="8"/>
  <c r="E211" i="8"/>
  <c r="F211" i="8"/>
  <c r="G211" i="8"/>
  <c r="H211" i="8"/>
  <c r="E212" i="8"/>
  <c r="F212" i="8"/>
  <c r="G212" i="8"/>
  <c r="H212" i="8"/>
  <c r="E213" i="8"/>
  <c r="F213" i="8"/>
  <c r="G213" i="8"/>
  <c r="H213" i="8"/>
  <c r="E214" i="8"/>
  <c r="F214" i="8"/>
  <c r="G214" i="8"/>
  <c r="H214" i="8"/>
  <c r="E215" i="8"/>
  <c r="F215" i="8"/>
  <c r="G215" i="8"/>
  <c r="H215" i="8"/>
  <c r="E216" i="8"/>
  <c r="F216" i="8"/>
  <c r="G216" i="8"/>
  <c r="H216" i="8"/>
  <c r="E217" i="8"/>
  <c r="F217" i="8"/>
  <c r="G217" i="8"/>
  <c r="H217" i="8"/>
  <c r="E218" i="8"/>
  <c r="F218" i="8"/>
  <c r="G218" i="8"/>
  <c r="H218" i="8"/>
  <c r="E219" i="8"/>
  <c r="F219" i="8"/>
  <c r="G219" i="8"/>
  <c r="H219" i="8"/>
  <c r="E220" i="8"/>
  <c r="F220" i="8"/>
  <c r="G220" i="8"/>
  <c r="H220" i="8"/>
  <c r="E221" i="8"/>
  <c r="F221" i="8"/>
  <c r="G221" i="8"/>
  <c r="H221" i="8"/>
  <c r="E222" i="8"/>
  <c r="F222" i="8"/>
  <c r="G222" i="8"/>
  <c r="H222" i="8"/>
  <c r="E223" i="8"/>
  <c r="F223" i="8"/>
  <c r="G223" i="8"/>
  <c r="H223" i="8"/>
  <c r="E224" i="8"/>
  <c r="F224" i="8"/>
  <c r="G224" i="8"/>
  <c r="H224" i="8"/>
  <c r="E225" i="8"/>
  <c r="F225" i="8"/>
  <c r="G225" i="8"/>
  <c r="H225" i="8"/>
  <c r="E226" i="8"/>
  <c r="F226" i="8"/>
  <c r="G226" i="8"/>
  <c r="H226" i="8"/>
  <c r="E227" i="8"/>
  <c r="F227" i="8"/>
  <c r="G227" i="8"/>
  <c r="H227" i="8"/>
  <c r="E228" i="8"/>
  <c r="F228" i="8"/>
  <c r="G228" i="8"/>
  <c r="H228" i="8"/>
  <c r="E229" i="8"/>
  <c r="F229" i="8"/>
  <c r="G229" i="8"/>
  <c r="H229" i="8"/>
  <c r="E230" i="8"/>
  <c r="F230" i="8"/>
  <c r="G230" i="8"/>
  <c r="H230" i="8"/>
  <c r="E231" i="8"/>
  <c r="F231" i="8"/>
  <c r="G231" i="8"/>
  <c r="H231" i="8"/>
  <c r="E232" i="8"/>
  <c r="F232" i="8"/>
  <c r="G232" i="8"/>
  <c r="H232" i="8"/>
  <c r="E233" i="8"/>
  <c r="F233" i="8"/>
  <c r="G233" i="8"/>
  <c r="H233" i="8"/>
  <c r="E106" i="8"/>
  <c r="F106" i="8"/>
  <c r="G106" i="8"/>
  <c r="H106" i="8"/>
  <c r="E107" i="8"/>
  <c r="F107" i="8"/>
  <c r="G107" i="8"/>
  <c r="H107" i="8"/>
  <c r="E108" i="8"/>
  <c r="F108" i="8"/>
  <c r="G108" i="8"/>
  <c r="H108" i="8"/>
  <c r="E104" i="8"/>
  <c r="F104" i="8"/>
  <c r="G104" i="8"/>
  <c r="H104" i="8"/>
  <c r="E188" i="8"/>
  <c r="F188" i="8"/>
  <c r="G188" i="8"/>
  <c r="H188" i="8"/>
  <c r="E189" i="8"/>
  <c r="F189" i="8"/>
  <c r="G189" i="8"/>
  <c r="H189" i="8"/>
  <c r="E191" i="8"/>
  <c r="F191" i="8"/>
  <c r="G191" i="8"/>
  <c r="H191" i="8"/>
  <c r="E192" i="8"/>
  <c r="F192" i="8"/>
  <c r="G192" i="8"/>
  <c r="H192" i="8"/>
  <c r="E193" i="8"/>
  <c r="F193" i="8"/>
  <c r="G193" i="8"/>
  <c r="H193" i="8"/>
  <c r="E194" i="8"/>
  <c r="F194" i="8"/>
  <c r="G194" i="8"/>
  <c r="H194" i="8"/>
  <c r="E195" i="8"/>
  <c r="F195" i="8"/>
  <c r="G195" i="8"/>
  <c r="H195" i="8"/>
  <c r="E196" i="8"/>
  <c r="F196" i="8"/>
  <c r="G196" i="8"/>
  <c r="H196" i="8"/>
  <c r="E197" i="8"/>
  <c r="F197" i="8"/>
  <c r="G197" i="8"/>
  <c r="H197" i="8"/>
  <c r="E198" i="8"/>
  <c r="F198" i="8"/>
  <c r="G198" i="8"/>
  <c r="H198" i="8"/>
  <c r="E199" i="8"/>
  <c r="F199" i="8"/>
  <c r="G199" i="8"/>
  <c r="H199" i="8"/>
  <c r="E200" i="8"/>
  <c r="F200" i="8"/>
  <c r="G200" i="8"/>
  <c r="H200" i="8"/>
  <c r="E201" i="8"/>
  <c r="F201" i="8"/>
  <c r="G201" i="8"/>
  <c r="H201" i="8"/>
  <c r="E202" i="8"/>
  <c r="F202" i="8"/>
  <c r="G202" i="8"/>
  <c r="H202" i="8"/>
  <c r="E203" i="8"/>
  <c r="F203" i="8"/>
  <c r="G203" i="8"/>
  <c r="H203" i="8"/>
  <c r="E204" i="8"/>
  <c r="F204" i="8"/>
  <c r="G204" i="8"/>
  <c r="H204" i="8"/>
  <c r="E205" i="8"/>
  <c r="F205" i="8"/>
  <c r="G205" i="8"/>
  <c r="H205" i="8"/>
  <c r="E206" i="8"/>
  <c r="F206" i="8"/>
  <c r="G206" i="8"/>
  <c r="H206" i="8"/>
  <c r="E207" i="8"/>
  <c r="F207" i="8"/>
  <c r="G207" i="8"/>
  <c r="H207" i="8"/>
  <c r="E169" i="8"/>
  <c r="F169" i="8"/>
  <c r="G169" i="8"/>
  <c r="H169" i="8"/>
  <c r="E173" i="8"/>
  <c r="F173" i="8"/>
  <c r="G173" i="8"/>
  <c r="H173" i="8"/>
  <c r="E174" i="8"/>
  <c r="F174" i="8"/>
  <c r="G174" i="8"/>
  <c r="H174" i="8"/>
  <c r="E175" i="8"/>
  <c r="F175" i="8"/>
  <c r="G175" i="8"/>
  <c r="H175" i="8"/>
  <c r="E176" i="8"/>
  <c r="F176" i="8"/>
  <c r="G176" i="8"/>
  <c r="H176" i="8"/>
  <c r="E177" i="8"/>
  <c r="F177" i="8"/>
  <c r="G177" i="8"/>
  <c r="H177" i="8"/>
  <c r="E178" i="8"/>
  <c r="F178" i="8"/>
  <c r="G178" i="8"/>
  <c r="H178" i="8"/>
  <c r="E179" i="8"/>
  <c r="F179" i="8"/>
  <c r="G179" i="8"/>
  <c r="H179" i="8"/>
  <c r="E180" i="8"/>
  <c r="F180" i="8"/>
  <c r="G180" i="8"/>
  <c r="H180" i="8"/>
  <c r="E181" i="8"/>
  <c r="F181" i="8"/>
  <c r="G181" i="8"/>
  <c r="H181" i="8"/>
  <c r="E182" i="8"/>
  <c r="F182" i="8"/>
  <c r="G182" i="8"/>
  <c r="H182" i="8"/>
  <c r="E183" i="8"/>
  <c r="F183" i="8"/>
  <c r="G183" i="8"/>
  <c r="H183" i="8"/>
  <c r="E184" i="8"/>
  <c r="F184" i="8"/>
  <c r="G184" i="8"/>
  <c r="H184" i="8"/>
  <c r="E185" i="8"/>
  <c r="F185" i="8"/>
  <c r="G185" i="8"/>
  <c r="H185" i="8"/>
  <c r="E186" i="8"/>
  <c r="F186" i="8"/>
  <c r="G186" i="8"/>
  <c r="H186" i="8"/>
  <c r="E187" i="8"/>
  <c r="F187" i="8"/>
  <c r="G187" i="8"/>
  <c r="H187" i="8"/>
  <c r="E170" i="8"/>
  <c r="F170" i="8"/>
  <c r="G170" i="8"/>
  <c r="H170" i="8"/>
  <c r="E157" i="8"/>
  <c r="F157" i="8"/>
  <c r="G157" i="8"/>
  <c r="H157" i="8"/>
  <c r="E158" i="8"/>
  <c r="F158" i="8"/>
  <c r="G158" i="8"/>
  <c r="H158" i="8"/>
  <c r="E159" i="8"/>
  <c r="F159" i="8"/>
  <c r="G159" i="8"/>
  <c r="H159" i="8"/>
  <c r="E160" i="8"/>
  <c r="F160" i="8"/>
  <c r="G160" i="8"/>
  <c r="H160" i="8"/>
  <c r="E161" i="8"/>
  <c r="F161" i="8"/>
  <c r="G161" i="8"/>
  <c r="H161" i="8"/>
  <c r="E162" i="8"/>
  <c r="F162" i="8"/>
  <c r="G162" i="8"/>
  <c r="H162" i="8"/>
  <c r="E163" i="8"/>
  <c r="F163" i="8"/>
  <c r="G163" i="8"/>
  <c r="H163" i="8"/>
  <c r="E164" i="8"/>
  <c r="F164" i="8"/>
  <c r="G164" i="8"/>
  <c r="H164" i="8"/>
  <c r="E165" i="8"/>
  <c r="F165" i="8"/>
  <c r="G165" i="8"/>
  <c r="H165" i="8"/>
  <c r="E166" i="8"/>
  <c r="F166" i="8"/>
  <c r="G166" i="8"/>
  <c r="H166" i="8"/>
  <c r="E167" i="8"/>
  <c r="F167" i="8"/>
  <c r="G167" i="8"/>
  <c r="H167" i="8"/>
  <c r="E168" i="8"/>
  <c r="F168" i="8"/>
  <c r="G168" i="8"/>
  <c r="H168" i="8"/>
  <c r="E133" i="8"/>
  <c r="F133" i="8"/>
  <c r="G133" i="8"/>
  <c r="H133" i="8"/>
  <c r="E134" i="8"/>
  <c r="F134" i="8"/>
  <c r="G134" i="8"/>
  <c r="H134" i="8"/>
  <c r="E135" i="8"/>
  <c r="F135" i="8"/>
  <c r="G135" i="8"/>
  <c r="H135" i="8"/>
  <c r="E136" i="8"/>
  <c r="F136" i="8"/>
  <c r="G136" i="8"/>
  <c r="H136" i="8"/>
  <c r="E137" i="8"/>
  <c r="F137" i="8"/>
  <c r="G137" i="8"/>
  <c r="H137" i="8"/>
  <c r="E138" i="8"/>
  <c r="F138" i="8"/>
  <c r="G138" i="8"/>
  <c r="H138" i="8"/>
  <c r="E140" i="8"/>
  <c r="F140" i="8"/>
  <c r="G140" i="8"/>
  <c r="H140" i="8"/>
  <c r="E141" i="8"/>
  <c r="F141" i="8"/>
  <c r="G141" i="8"/>
  <c r="H141" i="8"/>
  <c r="E143" i="8"/>
  <c r="F143" i="8"/>
  <c r="G143" i="8"/>
  <c r="H143" i="8"/>
  <c r="E144" i="8"/>
  <c r="F144" i="8"/>
  <c r="G144" i="8"/>
  <c r="H144" i="8"/>
  <c r="E145" i="8"/>
  <c r="F145" i="8"/>
  <c r="G145" i="8"/>
  <c r="H145" i="8"/>
  <c r="E146" i="8"/>
  <c r="F146" i="8"/>
  <c r="G146" i="8"/>
  <c r="H146" i="8"/>
  <c r="E147" i="8"/>
  <c r="F147" i="8"/>
  <c r="G147" i="8"/>
  <c r="H147" i="8"/>
  <c r="E148" i="8"/>
  <c r="F148" i="8"/>
  <c r="G148" i="8"/>
  <c r="H148" i="8"/>
  <c r="E149" i="8"/>
  <c r="F149" i="8"/>
  <c r="G149" i="8"/>
  <c r="H149" i="8"/>
  <c r="E150" i="8"/>
  <c r="F150" i="8"/>
  <c r="G150" i="8"/>
  <c r="H150" i="8"/>
  <c r="E151" i="8"/>
  <c r="F151" i="8"/>
  <c r="G151" i="8"/>
  <c r="H151" i="8"/>
  <c r="E152" i="8"/>
  <c r="F152" i="8"/>
  <c r="G152" i="8"/>
  <c r="H152" i="8"/>
  <c r="E153" i="8"/>
  <c r="F153" i="8"/>
  <c r="G153" i="8"/>
  <c r="H153" i="8"/>
  <c r="E154" i="8"/>
  <c r="F154" i="8"/>
  <c r="G154" i="8"/>
  <c r="H154" i="8"/>
  <c r="E155" i="8"/>
  <c r="F155" i="8"/>
  <c r="G155" i="8"/>
  <c r="H155" i="8"/>
  <c r="E156" i="8"/>
  <c r="F156" i="8"/>
  <c r="G156" i="8"/>
  <c r="H156" i="8"/>
  <c r="G2" i="3"/>
  <c r="F2" i="3"/>
  <c r="G5" i="3"/>
  <c r="E111" i="8"/>
  <c r="F111" i="8"/>
  <c r="G111" i="8"/>
  <c r="H111" i="8"/>
  <c r="E112" i="8"/>
  <c r="F112" i="8"/>
  <c r="G112" i="8"/>
  <c r="H112" i="8"/>
  <c r="E127" i="8"/>
  <c r="F127" i="8"/>
  <c r="G127" i="8"/>
  <c r="H127" i="8"/>
  <c r="E128" i="8"/>
  <c r="F128" i="8"/>
  <c r="G128" i="8"/>
  <c r="H128" i="8"/>
  <c r="E129" i="8"/>
  <c r="F129" i="8"/>
  <c r="G129" i="8"/>
  <c r="H129" i="8"/>
  <c r="E130" i="8"/>
  <c r="F130" i="8"/>
  <c r="G130" i="8"/>
  <c r="H130" i="8"/>
  <c r="E131" i="8"/>
  <c r="F131" i="8"/>
  <c r="G131" i="8"/>
  <c r="H131" i="8"/>
  <c r="E132" i="8"/>
  <c r="F132" i="8"/>
  <c r="G132" i="8"/>
  <c r="H132" i="8"/>
  <c r="E89" i="8"/>
  <c r="F89" i="8"/>
  <c r="G89" i="8"/>
  <c r="H89" i="8"/>
  <c r="E90" i="8"/>
  <c r="F90" i="8"/>
  <c r="G90" i="8"/>
  <c r="H90" i="8"/>
  <c r="E91" i="8"/>
  <c r="F91" i="8"/>
  <c r="G91" i="8"/>
  <c r="H91" i="8"/>
  <c r="E92" i="8"/>
  <c r="F92" i="8"/>
  <c r="G92" i="8"/>
  <c r="H92" i="8"/>
  <c r="E93" i="8"/>
  <c r="F93" i="8"/>
  <c r="G93" i="8"/>
  <c r="H93" i="8"/>
  <c r="E94" i="8"/>
  <c r="F94" i="8"/>
  <c r="G94" i="8"/>
  <c r="H94" i="8"/>
  <c r="E95" i="8"/>
  <c r="F95" i="8"/>
  <c r="G95" i="8"/>
  <c r="H95" i="8"/>
  <c r="E96" i="8"/>
  <c r="F96" i="8"/>
  <c r="G96" i="8"/>
  <c r="H96" i="8"/>
  <c r="E97" i="8"/>
  <c r="F97" i="8"/>
  <c r="G97" i="8"/>
  <c r="H97" i="8"/>
  <c r="E98" i="8"/>
  <c r="F98" i="8"/>
  <c r="G98" i="8"/>
  <c r="H98" i="8"/>
  <c r="E99" i="8"/>
  <c r="F99" i="8"/>
  <c r="G99" i="8"/>
  <c r="H99" i="8"/>
  <c r="E100" i="8"/>
  <c r="F100" i="8"/>
  <c r="G100" i="8"/>
  <c r="H100" i="8"/>
  <c r="E101" i="8"/>
  <c r="F101" i="8"/>
  <c r="G101" i="8"/>
  <c r="H101" i="8"/>
  <c r="E102" i="8"/>
  <c r="F102" i="8"/>
  <c r="G102" i="8"/>
  <c r="H102" i="8"/>
  <c r="E103" i="8"/>
  <c r="F103" i="8"/>
  <c r="G103" i="8"/>
  <c r="H103" i="8"/>
  <c r="E113" i="8"/>
  <c r="F113" i="8"/>
  <c r="G113" i="8"/>
  <c r="H113" i="8"/>
  <c r="E114" i="8"/>
  <c r="F114" i="8"/>
  <c r="G114" i="8"/>
  <c r="H114" i="8"/>
  <c r="E115" i="8"/>
  <c r="F115" i="8"/>
  <c r="G115" i="8"/>
  <c r="H115" i="8"/>
  <c r="E116" i="8"/>
  <c r="F116" i="8"/>
  <c r="G116" i="8"/>
  <c r="H116" i="8"/>
  <c r="E117" i="8"/>
  <c r="F117" i="8"/>
  <c r="G117" i="8"/>
  <c r="H117" i="8"/>
  <c r="E119" i="8"/>
  <c r="F119" i="8"/>
  <c r="G119" i="8"/>
  <c r="H119" i="8"/>
  <c r="E120" i="8"/>
  <c r="F120" i="8"/>
  <c r="G120" i="8"/>
  <c r="H120" i="8"/>
  <c r="E121" i="8"/>
  <c r="F121" i="8"/>
  <c r="G121" i="8"/>
  <c r="H121" i="8"/>
  <c r="E122" i="8"/>
  <c r="F122" i="8"/>
  <c r="G122" i="8"/>
  <c r="H122" i="8"/>
  <c r="E123" i="8"/>
  <c r="F123" i="8"/>
  <c r="G123" i="8"/>
  <c r="H123" i="8"/>
  <c r="E124" i="8"/>
  <c r="F124" i="8"/>
  <c r="G124" i="8"/>
  <c r="H124" i="8"/>
  <c r="E125" i="8"/>
  <c r="F125" i="8"/>
  <c r="G125" i="8"/>
  <c r="H125" i="8"/>
  <c r="E126" i="8"/>
  <c r="F126" i="8"/>
  <c r="G126" i="8"/>
  <c r="H126" i="8"/>
  <c r="E109" i="8"/>
  <c r="F109" i="8"/>
  <c r="G109" i="8"/>
  <c r="H109" i="8"/>
  <c r="E110" i="8"/>
  <c r="F110" i="8"/>
  <c r="G110" i="8"/>
  <c r="H110" i="8"/>
  <c r="E51" i="8"/>
  <c r="F51" i="8"/>
  <c r="G51" i="8"/>
  <c r="H51" i="8"/>
  <c r="E52" i="8"/>
  <c r="F52" i="8"/>
  <c r="G52" i="8"/>
  <c r="H52" i="8"/>
  <c r="E53" i="8"/>
  <c r="F53" i="8"/>
  <c r="G53" i="8"/>
  <c r="H53" i="8"/>
  <c r="E54" i="8"/>
  <c r="F54" i="8"/>
  <c r="G54" i="8"/>
  <c r="H54" i="8"/>
  <c r="E55" i="8"/>
  <c r="F55" i="8"/>
  <c r="G55" i="8"/>
  <c r="H55" i="8"/>
  <c r="E56" i="8"/>
  <c r="F56" i="8"/>
  <c r="G56" i="8"/>
  <c r="H56" i="8"/>
  <c r="E57" i="8"/>
  <c r="F57" i="8"/>
  <c r="G57" i="8"/>
  <c r="H57" i="8"/>
  <c r="E58" i="8"/>
  <c r="F58" i="8"/>
  <c r="G58" i="8"/>
  <c r="H58" i="8"/>
  <c r="E59" i="8"/>
  <c r="F59" i="8"/>
  <c r="G59" i="8"/>
  <c r="H59" i="8"/>
  <c r="E60" i="8"/>
  <c r="F60" i="8"/>
  <c r="G60" i="8"/>
  <c r="H60" i="8"/>
  <c r="E61" i="8"/>
  <c r="F61" i="8"/>
  <c r="G61" i="8"/>
  <c r="H61" i="8"/>
  <c r="E62" i="8"/>
  <c r="F62" i="8"/>
  <c r="G62" i="8"/>
  <c r="H62" i="8"/>
  <c r="E63" i="8"/>
  <c r="F63" i="8"/>
  <c r="G63" i="8"/>
  <c r="H63" i="8"/>
  <c r="E64" i="8"/>
  <c r="F64" i="8"/>
  <c r="G64" i="8"/>
  <c r="H64" i="8"/>
  <c r="E65" i="8"/>
  <c r="F65" i="8"/>
  <c r="G65" i="8"/>
  <c r="H65" i="8"/>
  <c r="E66" i="8"/>
  <c r="F66" i="8"/>
  <c r="G66" i="8"/>
  <c r="H66" i="8"/>
  <c r="E67" i="8"/>
  <c r="F67" i="8"/>
  <c r="G67" i="8"/>
  <c r="H67" i="8"/>
  <c r="E68" i="8"/>
  <c r="F68" i="8"/>
  <c r="G68" i="8"/>
  <c r="H68" i="8"/>
  <c r="E69" i="8"/>
  <c r="F69" i="8"/>
  <c r="G69" i="8"/>
  <c r="H69" i="8"/>
  <c r="E70" i="8"/>
  <c r="F70" i="8"/>
  <c r="G70" i="8"/>
  <c r="H70" i="8"/>
  <c r="E71" i="8"/>
  <c r="F71" i="8"/>
  <c r="G71" i="8"/>
  <c r="H71" i="8"/>
  <c r="E72" i="8"/>
  <c r="F72" i="8"/>
  <c r="G72" i="8"/>
  <c r="H72" i="8"/>
  <c r="E73" i="8"/>
  <c r="F73" i="8"/>
  <c r="G73" i="8"/>
  <c r="H73" i="8"/>
  <c r="E74" i="8"/>
  <c r="F74" i="8"/>
  <c r="G74" i="8"/>
  <c r="H74" i="8"/>
  <c r="E75" i="8"/>
  <c r="F75" i="8"/>
  <c r="G75" i="8"/>
  <c r="H75" i="8"/>
  <c r="E76" i="8"/>
  <c r="F76" i="8"/>
  <c r="G76" i="8"/>
  <c r="H76" i="8"/>
  <c r="E77" i="8"/>
  <c r="F77" i="8"/>
  <c r="G77" i="8"/>
  <c r="H77" i="8"/>
  <c r="E78" i="8"/>
  <c r="F78" i="8"/>
  <c r="G78" i="8"/>
  <c r="H78" i="8"/>
  <c r="E79" i="8"/>
  <c r="F79" i="8"/>
  <c r="G79" i="8"/>
  <c r="H79" i="8"/>
  <c r="E80" i="8"/>
  <c r="F80" i="8"/>
  <c r="G80" i="8"/>
  <c r="H80" i="8"/>
  <c r="E81" i="8"/>
  <c r="F81" i="8"/>
  <c r="G81" i="8"/>
  <c r="H81" i="8"/>
  <c r="E82" i="8"/>
  <c r="F82" i="8"/>
  <c r="G82" i="8"/>
  <c r="H82" i="8"/>
  <c r="E83" i="8"/>
  <c r="F83" i="8"/>
  <c r="G83" i="8"/>
  <c r="H83" i="8"/>
  <c r="E84" i="8"/>
  <c r="F84" i="8"/>
  <c r="G84" i="8"/>
  <c r="H84" i="8"/>
  <c r="E85" i="8"/>
  <c r="F85" i="8"/>
  <c r="G85" i="8"/>
  <c r="H85" i="8"/>
  <c r="E86" i="8"/>
  <c r="F86" i="8"/>
  <c r="G86" i="8"/>
  <c r="H86" i="8"/>
  <c r="E87" i="8"/>
  <c r="F87" i="8"/>
  <c r="G87" i="8"/>
  <c r="H87" i="8"/>
  <c r="E88" i="8"/>
  <c r="F88" i="8"/>
  <c r="G88" i="8"/>
  <c r="H88" i="8"/>
  <c r="J33" i="8"/>
  <c r="I33" i="8"/>
  <c r="K33" i="8"/>
  <c r="J34" i="8"/>
  <c r="I34" i="8"/>
  <c r="K34" i="8"/>
  <c r="J35" i="8"/>
  <c r="I35" i="8"/>
  <c r="K35" i="8"/>
  <c r="J36" i="8"/>
  <c r="I36" i="8"/>
  <c r="K36" i="8"/>
  <c r="H7" i="8"/>
  <c r="J7" i="8"/>
  <c r="G4" i="3"/>
  <c r="H3" i="8"/>
  <c r="J3" i="8"/>
  <c r="G3" i="3"/>
  <c r="H24" i="8"/>
  <c r="H19" i="8"/>
  <c r="H23" i="8"/>
  <c r="H27" i="8"/>
  <c r="H31" i="8"/>
  <c r="H32" i="8"/>
  <c r="H22" i="8"/>
  <c r="H29" i="8"/>
  <c r="H21" i="8"/>
  <c r="H30" i="8"/>
  <c r="H26" i="8"/>
  <c r="H20" i="8"/>
  <c r="J20" i="8"/>
  <c r="I20" i="8"/>
  <c r="K20" i="8"/>
  <c r="J26" i="8"/>
  <c r="I26" i="8"/>
  <c r="K26" i="8"/>
  <c r="J30" i="8"/>
  <c r="I30" i="8"/>
  <c r="K30" i="8"/>
  <c r="J21" i="8"/>
  <c r="I21" i="8"/>
  <c r="K21" i="8"/>
  <c r="J29" i="8"/>
  <c r="I29" i="8"/>
  <c r="K29" i="8"/>
  <c r="J22" i="8"/>
  <c r="I22" i="8"/>
  <c r="K22" i="8"/>
  <c r="J32" i="8"/>
  <c r="I32" i="8"/>
  <c r="K32" i="8"/>
  <c r="J31" i="8"/>
  <c r="I31" i="8"/>
  <c r="K31" i="8"/>
  <c r="J27" i="8"/>
  <c r="I27" i="8"/>
  <c r="K27" i="8"/>
  <c r="J23" i="8"/>
  <c r="I23" i="8"/>
  <c r="K23" i="8"/>
  <c r="J19" i="8"/>
  <c r="I19" i="8"/>
  <c r="K19" i="8"/>
  <c r="J24" i="8"/>
  <c r="I24" i="8"/>
  <c r="K24" i="8"/>
  <c r="H2" i="8"/>
  <c r="J2" i="8"/>
  <c r="H6" i="8"/>
  <c r="J6" i="8"/>
  <c r="H4" i="8"/>
  <c r="J4" i="8"/>
  <c r="H5" i="8"/>
  <c r="J5" i="8"/>
  <c r="I28" i="8"/>
  <c r="K28" i="8"/>
  <c r="I25" i="8"/>
  <c r="K25" i="8"/>
  <c r="I17" i="8"/>
  <c r="K17" i="8"/>
  <c r="I15" i="8"/>
  <c r="K15" i="8"/>
  <c r="I14" i="8"/>
  <c r="K14" i="8"/>
  <c r="I13" i="8"/>
  <c r="K13" i="8"/>
  <c r="I12" i="8"/>
  <c r="K12" i="8"/>
  <c r="I11" i="8"/>
  <c r="K11" i="8"/>
  <c r="I10" i="8"/>
  <c r="K10" i="8"/>
  <c r="I9" i="8"/>
  <c r="K9" i="8"/>
  <c r="I8" i="8"/>
  <c r="K8" i="8"/>
  <c r="I7" i="8"/>
  <c r="K7" i="8"/>
  <c r="I3" i="8"/>
  <c r="K3" i="8"/>
  <c r="H41" i="8"/>
  <c r="J41" i="8"/>
  <c r="G41" i="8"/>
  <c r="E43" i="8"/>
  <c r="G43" i="8"/>
  <c r="E42" i="8"/>
  <c r="G42" i="8"/>
  <c r="F42" i="8"/>
  <c r="I43" i="8"/>
  <c r="K43" i="8"/>
  <c r="I45" i="8"/>
  <c r="K45" i="8"/>
  <c r="I44" i="8"/>
  <c r="K44" i="8"/>
  <c r="I39" i="8"/>
  <c r="K39" i="8"/>
  <c r="I49" i="8"/>
  <c r="K49" i="8"/>
  <c r="I41" i="8"/>
  <c r="K41" i="8"/>
  <c r="I40" i="8"/>
  <c r="K40" i="8"/>
  <c r="I42" i="8"/>
  <c r="K42" i="8"/>
  <c r="I47" i="8"/>
  <c r="K47" i="8"/>
  <c r="I48" i="8"/>
  <c r="K48" i="8"/>
  <c r="E45" i="8"/>
  <c r="F45" i="8"/>
  <c r="E38" i="8"/>
  <c r="F38" i="8"/>
  <c r="E50" i="8"/>
  <c r="F50" i="8"/>
  <c r="E46" i="8"/>
  <c r="F46" i="8"/>
  <c r="H38" i="8"/>
  <c r="J38" i="8"/>
  <c r="E41" i="8"/>
  <c r="F41" i="8"/>
  <c r="E49" i="8"/>
  <c r="F49" i="8"/>
  <c r="H46" i="8"/>
  <c r="J46" i="8"/>
  <c r="H50" i="8"/>
  <c r="J50" i="8"/>
  <c r="I233" i="8"/>
  <c r="J233" i="8"/>
  <c r="K233" i="8"/>
  <c r="I232" i="8"/>
  <c r="J232" i="8"/>
  <c r="K232" i="8"/>
  <c r="I231" i="8"/>
  <c r="J231" i="8"/>
  <c r="K231" i="8"/>
  <c r="I230" i="8"/>
  <c r="J230" i="8"/>
  <c r="K230" i="8"/>
  <c r="I229" i="8"/>
  <c r="J229" i="8"/>
  <c r="K229" i="8"/>
  <c r="I228" i="8"/>
  <c r="J228" i="8"/>
  <c r="K228" i="8"/>
  <c r="I227" i="8"/>
  <c r="J227" i="8"/>
  <c r="K227" i="8"/>
  <c r="I226" i="8"/>
  <c r="J226" i="8"/>
  <c r="K226" i="8"/>
  <c r="I225" i="8"/>
  <c r="J225" i="8"/>
  <c r="K225" i="8"/>
  <c r="I224" i="8"/>
  <c r="J224" i="8"/>
  <c r="K224" i="8"/>
  <c r="I223" i="8"/>
  <c r="J223" i="8"/>
  <c r="K223" i="8"/>
  <c r="I222" i="8"/>
  <c r="J222" i="8"/>
  <c r="K222" i="8"/>
  <c r="I221" i="8"/>
  <c r="J221" i="8"/>
  <c r="K221" i="8"/>
  <c r="I220" i="8"/>
  <c r="J220" i="8"/>
  <c r="K220" i="8"/>
  <c r="I219" i="8"/>
  <c r="J219" i="8"/>
  <c r="K219" i="8"/>
  <c r="I218" i="8"/>
  <c r="J218" i="8"/>
  <c r="K218" i="8"/>
  <c r="I217" i="8"/>
  <c r="J217" i="8"/>
  <c r="K217" i="8"/>
  <c r="I216" i="8"/>
  <c r="J216" i="8"/>
  <c r="K216" i="8"/>
  <c r="I215" i="8"/>
  <c r="J215" i="8"/>
  <c r="K215" i="8"/>
  <c r="I214" i="8"/>
  <c r="J214" i="8"/>
  <c r="K214" i="8"/>
  <c r="I213" i="8"/>
  <c r="J213" i="8"/>
  <c r="K213" i="8"/>
  <c r="I212" i="8"/>
  <c r="J212" i="8"/>
  <c r="K212" i="8"/>
  <c r="I211" i="8"/>
  <c r="J211" i="8"/>
  <c r="K211" i="8"/>
  <c r="I210" i="8"/>
  <c r="J210" i="8"/>
  <c r="K210" i="8"/>
  <c r="I209" i="8"/>
  <c r="J209" i="8"/>
  <c r="K209" i="8"/>
  <c r="I238" i="8"/>
  <c r="J238" i="8"/>
  <c r="K238" i="8"/>
  <c r="I237" i="8"/>
  <c r="J237" i="8"/>
  <c r="K237" i="8"/>
  <c r="I236" i="8"/>
  <c r="J236" i="8"/>
  <c r="K236" i="8"/>
  <c r="I235" i="8"/>
  <c r="J235" i="8"/>
  <c r="K235" i="8"/>
  <c r="I234" i="8"/>
  <c r="J234" i="8"/>
  <c r="K234" i="8"/>
  <c r="I156" i="8"/>
  <c r="J156" i="8"/>
  <c r="K156" i="8"/>
  <c r="I155" i="8"/>
  <c r="J155" i="8"/>
  <c r="K155" i="8"/>
  <c r="I154" i="8"/>
  <c r="J154" i="8"/>
  <c r="K154" i="8"/>
  <c r="I153" i="8"/>
  <c r="J153" i="8"/>
  <c r="K153" i="8"/>
  <c r="I152" i="8"/>
  <c r="J152" i="8"/>
  <c r="K152" i="8"/>
  <c r="I151" i="8"/>
  <c r="J151" i="8"/>
  <c r="K151" i="8"/>
  <c r="I150" i="8"/>
  <c r="J150" i="8"/>
  <c r="K150" i="8"/>
  <c r="I149" i="8"/>
  <c r="J149" i="8"/>
  <c r="K149" i="8"/>
  <c r="I148" i="8"/>
  <c r="J148" i="8"/>
  <c r="K148" i="8"/>
  <c r="I147" i="8"/>
  <c r="J147" i="8"/>
  <c r="K147" i="8"/>
  <c r="I146" i="8"/>
  <c r="J146" i="8"/>
  <c r="K146" i="8"/>
  <c r="I145" i="8"/>
  <c r="J145" i="8"/>
  <c r="K145" i="8"/>
  <c r="I144" i="8"/>
  <c r="J144" i="8"/>
  <c r="K144" i="8"/>
  <c r="I143" i="8"/>
  <c r="J143" i="8"/>
  <c r="K143" i="8"/>
  <c r="I141" i="8"/>
  <c r="J141" i="8"/>
  <c r="K141" i="8"/>
  <c r="I140" i="8"/>
  <c r="J140" i="8"/>
  <c r="K140" i="8"/>
  <c r="I138" i="8"/>
  <c r="J138" i="8"/>
  <c r="K138" i="8"/>
  <c r="I137" i="8"/>
  <c r="J137" i="8"/>
  <c r="K137" i="8"/>
  <c r="I136" i="8"/>
  <c r="J136" i="8"/>
  <c r="K136" i="8"/>
  <c r="I135" i="8"/>
  <c r="J135" i="8"/>
  <c r="K135" i="8"/>
  <c r="I134" i="8"/>
  <c r="J134" i="8"/>
  <c r="K134" i="8"/>
  <c r="I133" i="8"/>
  <c r="J133" i="8"/>
  <c r="K133" i="8"/>
  <c r="I168" i="8"/>
  <c r="J168" i="8"/>
  <c r="K168" i="8"/>
  <c r="I167" i="8"/>
  <c r="J167" i="8"/>
  <c r="K167" i="8"/>
  <c r="I166" i="8"/>
  <c r="J166" i="8"/>
  <c r="K166" i="8"/>
  <c r="I165" i="8"/>
  <c r="J165" i="8"/>
  <c r="K165" i="8"/>
  <c r="I164" i="8"/>
  <c r="J164" i="8"/>
  <c r="K164" i="8"/>
  <c r="I163" i="8"/>
  <c r="J163" i="8"/>
  <c r="K163" i="8"/>
  <c r="I162" i="8"/>
  <c r="J162" i="8"/>
  <c r="K162" i="8"/>
  <c r="I161" i="8"/>
  <c r="J161" i="8"/>
  <c r="K161" i="8"/>
  <c r="I160" i="8"/>
  <c r="J160" i="8"/>
  <c r="K160" i="8"/>
  <c r="I159" i="8"/>
  <c r="J159" i="8"/>
  <c r="K159" i="8"/>
  <c r="I158" i="8"/>
  <c r="J158" i="8"/>
  <c r="K158" i="8"/>
  <c r="I157" i="8"/>
  <c r="J157" i="8"/>
  <c r="K157" i="8"/>
  <c r="I170" i="8"/>
  <c r="J170" i="8"/>
  <c r="K170" i="8"/>
  <c r="I187" i="8"/>
  <c r="J187" i="8"/>
  <c r="K187" i="8"/>
  <c r="I186" i="8"/>
  <c r="J186" i="8"/>
  <c r="K186" i="8"/>
  <c r="I185" i="8"/>
  <c r="J185" i="8"/>
  <c r="K185" i="8"/>
  <c r="I184" i="8"/>
  <c r="J184" i="8"/>
  <c r="K184" i="8"/>
  <c r="I183" i="8"/>
  <c r="J183" i="8"/>
  <c r="K183" i="8"/>
  <c r="I182" i="8"/>
  <c r="J182" i="8"/>
  <c r="K182" i="8"/>
  <c r="I181" i="8"/>
  <c r="J181" i="8"/>
  <c r="K181" i="8"/>
  <c r="I180" i="8"/>
  <c r="J180" i="8"/>
  <c r="K180" i="8"/>
  <c r="I179" i="8"/>
  <c r="J179" i="8"/>
  <c r="K179" i="8"/>
  <c r="I178" i="8"/>
  <c r="J178" i="8"/>
  <c r="K178" i="8"/>
  <c r="I177" i="8"/>
  <c r="J177" i="8"/>
  <c r="K177" i="8"/>
  <c r="I176" i="8"/>
  <c r="J176" i="8"/>
  <c r="K176" i="8"/>
  <c r="I175" i="8"/>
  <c r="J175" i="8"/>
  <c r="K175" i="8"/>
  <c r="I174" i="8"/>
  <c r="J174" i="8"/>
  <c r="K174" i="8"/>
  <c r="I173" i="8"/>
  <c r="J173" i="8"/>
  <c r="K173" i="8"/>
  <c r="I169" i="8"/>
  <c r="J169" i="8"/>
  <c r="K169" i="8"/>
  <c r="I207" i="8"/>
  <c r="J207" i="8"/>
  <c r="K207" i="8"/>
  <c r="I206" i="8"/>
  <c r="J206" i="8"/>
  <c r="K206" i="8"/>
  <c r="I205" i="8"/>
  <c r="J205" i="8"/>
  <c r="K205" i="8"/>
  <c r="I204" i="8"/>
  <c r="J204" i="8"/>
  <c r="K204" i="8"/>
  <c r="I203" i="8"/>
  <c r="J203" i="8"/>
  <c r="K203" i="8"/>
  <c r="I202" i="8"/>
  <c r="J202" i="8"/>
  <c r="K202" i="8"/>
  <c r="I201" i="8"/>
  <c r="J201" i="8"/>
  <c r="K201" i="8"/>
  <c r="I200" i="8"/>
  <c r="J200" i="8"/>
  <c r="K200" i="8"/>
  <c r="I199" i="8"/>
  <c r="J199" i="8"/>
  <c r="K199" i="8"/>
  <c r="I198" i="8"/>
  <c r="J198" i="8"/>
  <c r="K198" i="8"/>
  <c r="I197" i="8"/>
  <c r="J197" i="8"/>
  <c r="K197" i="8"/>
  <c r="I196" i="8"/>
  <c r="J196" i="8"/>
  <c r="K196" i="8"/>
  <c r="I195" i="8"/>
  <c r="J195" i="8"/>
  <c r="K195" i="8"/>
  <c r="I194" i="8"/>
  <c r="J194" i="8"/>
  <c r="K194" i="8"/>
  <c r="I193" i="8"/>
  <c r="J193" i="8"/>
  <c r="K193" i="8"/>
  <c r="I192" i="8"/>
  <c r="J192" i="8"/>
  <c r="K192" i="8"/>
  <c r="I191" i="8"/>
  <c r="J191" i="8"/>
  <c r="K191" i="8"/>
  <c r="I189" i="8"/>
  <c r="J189" i="8"/>
  <c r="K189" i="8"/>
  <c r="I188" i="8"/>
  <c r="J188" i="8"/>
  <c r="K188" i="8"/>
  <c r="I104" i="8"/>
  <c r="J104" i="8"/>
  <c r="K104" i="8"/>
  <c r="I108" i="8"/>
  <c r="J108" i="8"/>
  <c r="K108" i="8"/>
  <c r="I107" i="8"/>
  <c r="J107" i="8"/>
  <c r="K107" i="8"/>
  <c r="I106" i="8"/>
  <c r="J106" i="8"/>
  <c r="K106" i="8"/>
  <c r="I132" i="8"/>
  <c r="J132" i="8"/>
  <c r="K132" i="8"/>
  <c r="I131" i="8"/>
  <c r="J131" i="8"/>
  <c r="K131" i="8"/>
  <c r="I130" i="8"/>
  <c r="J130" i="8"/>
  <c r="K130" i="8"/>
  <c r="I129" i="8"/>
  <c r="J129" i="8"/>
  <c r="K129" i="8"/>
  <c r="I128" i="8"/>
  <c r="J128" i="8"/>
  <c r="K128" i="8"/>
  <c r="I127" i="8"/>
  <c r="J127" i="8"/>
  <c r="K127" i="8"/>
  <c r="I112" i="8"/>
  <c r="J112" i="8"/>
  <c r="K112" i="8"/>
  <c r="I111" i="8"/>
  <c r="J111" i="8"/>
  <c r="K111" i="8"/>
  <c r="I88" i="8"/>
  <c r="J88" i="8"/>
  <c r="K88" i="8"/>
  <c r="I87" i="8"/>
  <c r="J87" i="8"/>
  <c r="K87" i="8"/>
  <c r="I86" i="8"/>
  <c r="J86" i="8"/>
  <c r="K86" i="8"/>
  <c r="I85" i="8"/>
  <c r="J85" i="8"/>
  <c r="K85" i="8"/>
  <c r="I84" i="8"/>
  <c r="J84" i="8"/>
  <c r="K84" i="8"/>
  <c r="I83" i="8"/>
  <c r="J83" i="8"/>
  <c r="K83" i="8"/>
  <c r="I82" i="8"/>
  <c r="J82" i="8"/>
  <c r="K82" i="8"/>
  <c r="I81" i="8"/>
  <c r="J81" i="8"/>
  <c r="K81" i="8"/>
  <c r="I80" i="8"/>
  <c r="J80" i="8"/>
  <c r="K80" i="8"/>
  <c r="I79" i="8"/>
  <c r="J79" i="8"/>
  <c r="K79" i="8"/>
  <c r="I78" i="8"/>
  <c r="J78" i="8"/>
  <c r="K78" i="8"/>
  <c r="I77" i="8"/>
  <c r="J77" i="8"/>
  <c r="K77" i="8"/>
  <c r="I76" i="8"/>
  <c r="J76" i="8"/>
  <c r="K76" i="8"/>
  <c r="I75" i="8"/>
  <c r="J75" i="8"/>
  <c r="K75" i="8"/>
  <c r="I74" i="8"/>
  <c r="J74" i="8"/>
  <c r="K74" i="8"/>
  <c r="I73" i="8"/>
  <c r="J73" i="8"/>
  <c r="K73" i="8"/>
  <c r="I72" i="8"/>
  <c r="J72" i="8"/>
  <c r="K72" i="8"/>
  <c r="I71" i="8"/>
  <c r="J71" i="8"/>
  <c r="K71" i="8"/>
  <c r="I70" i="8"/>
  <c r="J70" i="8"/>
  <c r="K70" i="8"/>
  <c r="I69" i="8"/>
  <c r="J69" i="8"/>
  <c r="K69" i="8"/>
  <c r="I68" i="8"/>
  <c r="J68" i="8"/>
  <c r="K68" i="8"/>
  <c r="I67" i="8"/>
  <c r="J67" i="8"/>
  <c r="K67" i="8"/>
  <c r="I66" i="8"/>
  <c r="J66" i="8"/>
  <c r="K66" i="8"/>
  <c r="I65" i="8"/>
  <c r="J65" i="8"/>
  <c r="K65" i="8"/>
  <c r="I64" i="8"/>
  <c r="J64" i="8"/>
  <c r="K64" i="8"/>
  <c r="I63" i="8"/>
  <c r="J63" i="8"/>
  <c r="K63" i="8"/>
  <c r="I62" i="8"/>
  <c r="J62" i="8"/>
  <c r="K62" i="8"/>
  <c r="I61" i="8"/>
  <c r="J61" i="8"/>
  <c r="K61" i="8"/>
  <c r="I60" i="8"/>
  <c r="J60" i="8"/>
  <c r="K60" i="8"/>
  <c r="I59" i="8"/>
  <c r="J59" i="8"/>
  <c r="K59" i="8"/>
  <c r="I58" i="8"/>
  <c r="J58" i="8"/>
  <c r="K58" i="8"/>
  <c r="I57" i="8"/>
  <c r="J57" i="8"/>
  <c r="K57" i="8"/>
  <c r="I56" i="8"/>
  <c r="J56" i="8"/>
  <c r="K56" i="8"/>
  <c r="I55" i="8"/>
  <c r="J55" i="8"/>
  <c r="K55" i="8"/>
  <c r="I54" i="8"/>
  <c r="J54" i="8"/>
  <c r="K54" i="8"/>
  <c r="I53" i="8"/>
  <c r="J53" i="8"/>
  <c r="K53" i="8"/>
  <c r="I52" i="8"/>
  <c r="J52" i="8"/>
  <c r="K52" i="8"/>
  <c r="I51" i="8"/>
  <c r="J51" i="8"/>
  <c r="K51" i="8"/>
  <c r="I110" i="8"/>
  <c r="J110" i="8"/>
  <c r="K110" i="8"/>
  <c r="I109" i="8"/>
  <c r="J109" i="8"/>
  <c r="K109" i="8"/>
  <c r="I126" i="8"/>
  <c r="J126" i="8"/>
  <c r="K126" i="8"/>
  <c r="I125" i="8"/>
  <c r="J125" i="8"/>
  <c r="K125" i="8"/>
  <c r="I124" i="8"/>
  <c r="J124" i="8"/>
  <c r="K124" i="8"/>
  <c r="I123" i="8"/>
  <c r="J123" i="8"/>
  <c r="K123" i="8"/>
  <c r="I122" i="8"/>
  <c r="J122" i="8"/>
  <c r="K122" i="8"/>
  <c r="I121" i="8"/>
  <c r="J121" i="8"/>
  <c r="K121" i="8"/>
  <c r="I120" i="8"/>
  <c r="J120" i="8"/>
  <c r="K120" i="8"/>
  <c r="I119" i="8"/>
  <c r="J119" i="8"/>
  <c r="K119" i="8"/>
  <c r="I117" i="8"/>
  <c r="J117" i="8"/>
  <c r="K117" i="8"/>
  <c r="I116" i="8"/>
  <c r="J116" i="8"/>
  <c r="K116" i="8"/>
  <c r="I115" i="8"/>
  <c r="J115" i="8"/>
  <c r="K115" i="8"/>
  <c r="I114" i="8"/>
  <c r="J114" i="8"/>
  <c r="K114" i="8"/>
  <c r="I113" i="8"/>
  <c r="J113" i="8"/>
  <c r="K113" i="8"/>
  <c r="I103" i="8"/>
  <c r="J103" i="8"/>
  <c r="K103" i="8"/>
  <c r="I102" i="8"/>
  <c r="J102" i="8"/>
  <c r="K102" i="8"/>
  <c r="I101" i="8"/>
  <c r="J101" i="8"/>
  <c r="K101" i="8"/>
  <c r="I100" i="8"/>
  <c r="J100" i="8"/>
  <c r="K100" i="8"/>
  <c r="I99" i="8"/>
  <c r="J99" i="8"/>
  <c r="K99" i="8"/>
  <c r="I98" i="8"/>
  <c r="J98" i="8"/>
  <c r="K98" i="8"/>
  <c r="I97" i="8"/>
  <c r="J97" i="8"/>
  <c r="K97" i="8"/>
  <c r="I96" i="8"/>
  <c r="J96" i="8"/>
  <c r="K96" i="8"/>
  <c r="I95" i="8"/>
  <c r="J95" i="8"/>
  <c r="K95" i="8"/>
  <c r="I94" i="8"/>
  <c r="J94" i="8"/>
  <c r="K94" i="8"/>
  <c r="I93" i="8"/>
  <c r="J93" i="8"/>
  <c r="K93" i="8"/>
  <c r="I92" i="8"/>
  <c r="J92" i="8"/>
  <c r="K92" i="8"/>
  <c r="I91" i="8"/>
  <c r="J91" i="8"/>
  <c r="K91" i="8"/>
  <c r="I90" i="8"/>
  <c r="J90" i="8"/>
  <c r="K90" i="8"/>
  <c r="I89" i="8"/>
  <c r="J89" i="8"/>
  <c r="K89" i="8"/>
  <c r="I5" i="8"/>
  <c r="K5" i="8"/>
  <c r="I4" i="8"/>
  <c r="K4" i="8"/>
  <c r="I6" i="8"/>
  <c r="K6" i="8"/>
  <c r="I2" i="8"/>
  <c r="K2" i="8"/>
  <c r="I50" i="8"/>
  <c r="K50" i="8"/>
  <c r="I46" i="8"/>
  <c r="K46" i="8"/>
  <c r="I38" i="8"/>
  <c r="K38" i="8"/>
  <c r="AE43" i="17" l="1"/>
  <c r="AS43" i="17"/>
  <c r="S68" i="17"/>
  <c r="AO43" i="17"/>
  <c r="AI43" i="17"/>
  <c r="W43" i="17"/>
  <c r="AM68" i="17"/>
  <c r="AQ43" i="17"/>
  <c r="Y43" i="17"/>
  <c r="AC68" i="17"/>
  <c r="AG43" i="17"/>
  <c r="M22" i="17"/>
  <c r="AK68" i="17"/>
  <c r="AA68" i="17"/>
  <c r="Q68" i="17"/>
  <c r="AS64" i="17"/>
  <c r="AQ64" i="17"/>
  <c r="AO64" i="17"/>
  <c r="AM64" i="17"/>
  <c r="AK64" i="17"/>
  <c r="AI64" i="17"/>
  <c r="AG64" i="17"/>
  <c r="AE64" i="17"/>
  <c r="AC64" i="17"/>
  <c r="AA64" i="17"/>
  <c r="Y64" i="17"/>
  <c r="W64" i="17"/>
  <c r="U64" i="17"/>
  <c r="S64" i="17"/>
  <c r="Q64" i="17"/>
  <c r="O64" i="17"/>
  <c r="M64" i="17"/>
  <c r="K64" i="17"/>
  <c r="AS63" i="17"/>
  <c r="AQ63" i="17"/>
  <c r="AO63" i="17"/>
  <c r="AM63" i="17"/>
  <c r="AK63" i="17"/>
  <c r="AI63" i="17"/>
  <c r="AG63" i="17"/>
  <c r="AE63" i="17"/>
  <c r="AC63" i="17"/>
  <c r="AA63" i="17"/>
  <c r="Y63" i="17"/>
  <c r="W63" i="17"/>
  <c r="U63" i="17"/>
  <c r="S63" i="17"/>
  <c r="Q63" i="17"/>
  <c r="O63" i="17"/>
  <c r="M63" i="17"/>
  <c r="AS56" i="17"/>
  <c r="AQ56" i="17"/>
  <c r="AO56" i="17"/>
  <c r="AM56" i="17"/>
  <c r="AK56" i="17"/>
  <c r="AI56" i="17"/>
  <c r="AG56" i="17"/>
  <c r="AE56" i="17"/>
  <c r="AC56" i="17"/>
  <c r="AA56" i="17"/>
  <c r="Y56" i="17"/>
  <c r="W56" i="17"/>
  <c r="U56" i="17"/>
  <c r="S56" i="17"/>
  <c r="Q56" i="17"/>
  <c r="O56" i="17"/>
  <c r="M56" i="17"/>
  <c r="AS49" i="17"/>
  <c r="AQ49" i="17"/>
  <c r="AO49" i="17"/>
  <c r="AM49" i="17"/>
  <c r="AK49" i="17"/>
  <c r="AI49" i="17"/>
  <c r="AG49" i="17"/>
  <c r="AE49" i="17"/>
  <c r="AC49" i="17"/>
  <c r="AA49" i="17"/>
  <c r="Y49" i="17"/>
  <c r="W49" i="17"/>
  <c r="U49" i="17"/>
  <c r="S49" i="17"/>
  <c r="Q49" i="17"/>
  <c r="O49" i="17"/>
  <c r="M49" i="17"/>
  <c r="AS47" i="17"/>
  <c r="AQ47" i="17"/>
  <c r="AO47" i="17"/>
  <c r="AM47" i="17"/>
  <c r="AK47" i="17"/>
  <c r="AI47" i="17"/>
  <c r="AG47" i="17"/>
  <c r="AE47" i="17"/>
  <c r="AC47" i="17"/>
  <c r="AA47" i="17"/>
  <c r="Y47" i="17"/>
  <c r="W47" i="17"/>
  <c r="U47" i="17"/>
  <c r="S47" i="17"/>
  <c r="Q47" i="17"/>
  <c r="O47" i="17"/>
  <c r="M47" i="17"/>
  <c r="K47" i="17"/>
  <c r="AS40" i="17"/>
  <c r="AS24" i="17" s="1"/>
  <c r="AQ40" i="17"/>
  <c r="AQ24" i="17" s="1"/>
  <c r="AO40" i="17"/>
  <c r="AO24" i="17" s="1"/>
  <c r="AM40" i="17"/>
  <c r="AM24" i="17" s="1"/>
  <c r="AK40" i="17"/>
  <c r="AK24" i="17" s="1"/>
  <c r="AI40" i="17"/>
  <c r="AI24" i="17" s="1"/>
  <c r="AG40" i="17"/>
  <c r="AG24" i="17" s="1"/>
  <c r="AE40" i="17"/>
  <c r="AE24" i="17" s="1"/>
  <c r="AC40" i="17"/>
  <c r="AC24" i="17" s="1"/>
  <c r="AA40" i="17"/>
  <c r="AA24" i="17" s="1"/>
  <c r="Y40" i="17"/>
  <c r="Y24" i="17" s="1"/>
  <c r="W40" i="17"/>
  <c r="W24" i="17" s="1"/>
  <c r="U40" i="17"/>
  <c r="U24" i="17" s="1"/>
  <c r="S40" i="17"/>
  <c r="S24" i="17" s="1"/>
  <c r="Q40" i="17"/>
  <c r="Q24" i="17" s="1"/>
  <c r="O40" i="17"/>
  <c r="O24" i="17" s="1"/>
  <c r="M40" i="17"/>
  <c r="M24" i="17" s="1"/>
  <c r="K40" i="17"/>
  <c r="AS33" i="17"/>
  <c r="AS32" i="17" s="1"/>
  <c r="AQ33" i="17"/>
  <c r="AQ32" i="17" s="1"/>
  <c r="AO33" i="17"/>
  <c r="AO32" i="17" s="1"/>
  <c r="AM33" i="17"/>
  <c r="AM32" i="17" s="1"/>
  <c r="AK33" i="17"/>
  <c r="AK32" i="17" s="1"/>
  <c r="AI33" i="17"/>
  <c r="AI32" i="17" s="1"/>
  <c r="AG33" i="17"/>
  <c r="AG32" i="17" s="1"/>
  <c r="AE33" i="17"/>
  <c r="AE32" i="17" s="1"/>
  <c r="AC33" i="17"/>
  <c r="AC32" i="17" s="1"/>
  <c r="AA33" i="17"/>
  <c r="Y33" i="17"/>
  <c r="Y32" i="17" s="1"/>
  <c r="W33" i="17"/>
  <c r="W32" i="17" s="1"/>
  <c r="U33" i="17"/>
  <c r="U32" i="17" s="1"/>
  <c r="S33" i="17"/>
  <c r="S32" i="17" s="1"/>
  <c r="Q33" i="17"/>
  <c r="O33" i="17"/>
  <c r="M33" i="17"/>
  <c r="K32" i="17"/>
  <c r="K29" i="17" s="1"/>
  <c r="K28" i="17" s="1"/>
  <c r="K23" i="17"/>
  <c r="AS22" i="17"/>
  <c r="AS21" i="17" s="1"/>
  <c r="AQ22" i="17"/>
  <c r="AO22" i="17"/>
  <c r="AO21" i="17" s="1"/>
  <c r="AM22" i="17"/>
  <c r="AK22" i="17"/>
  <c r="AI22" i="17"/>
  <c r="AG22" i="17"/>
  <c r="AE22" i="17"/>
  <c r="AC22" i="17"/>
  <c r="AA22" i="17"/>
  <c r="Y22" i="17"/>
  <c r="W22" i="17"/>
  <c r="U22" i="17"/>
  <c r="S22" i="17"/>
  <c r="Q22" i="17"/>
  <c r="O22" i="17"/>
  <c r="U43" i="17"/>
  <c r="W68" i="17"/>
  <c r="K43" i="17"/>
  <c r="K21" i="17" s="1"/>
  <c r="M43" i="17"/>
  <c r="O43" i="17"/>
  <c r="O68" i="17"/>
  <c r="Q43" i="17"/>
  <c r="S43" i="17"/>
  <c r="AA43" i="17"/>
  <c r="AC43" i="17"/>
  <c r="AK43" i="17"/>
  <c r="AM43" i="17"/>
  <c r="I73" i="17"/>
  <c r="G73" i="17"/>
  <c r="I72" i="17"/>
  <c r="G72" i="17"/>
  <c r="I71" i="17"/>
  <c r="G71" i="17"/>
  <c r="I70" i="17"/>
  <c r="G70" i="17"/>
  <c r="I69" i="17"/>
  <c r="I68" i="17" s="1"/>
  <c r="G69" i="17"/>
  <c r="G68" i="17" s="1"/>
  <c r="I67" i="17"/>
  <c r="G67" i="17"/>
  <c r="I66" i="17"/>
  <c r="G66" i="17"/>
  <c r="G63" i="17"/>
  <c r="I62" i="17"/>
  <c r="G62" i="17"/>
  <c r="G64" i="17" s="1"/>
  <c r="G61" i="17"/>
  <c r="I60" i="17"/>
  <c r="G60" i="17"/>
  <c r="I59" i="17"/>
  <c r="G59" i="17"/>
  <c r="I58" i="17"/>
  <c r="G58" i="17"/>
  <c r="I57" i="17"/>
  <c r="G57" i="17"/>
  <c r="I55" i="17"/>
  <c r="I47" i="17" s="1"/>
  <c r="G55" i="17"/>
  <c r="G47" i="17" s="1"/>
  <c r="I54" i="17"/>
  <c r="G54" i="17"/>
  <c r="I53" i="17"/>
  <c r="G53" i="17"/>
  <c r="I52" i="17"/>
  <c r="G52" i="17"/>
  <c r="I51" i="17"/>
  <c r="G51" i="17"/>
  <c r="I50" i="17"/>
  <c r="G50" i="17"/>
  <c r="G49" i="17"/>
  <c r="I48" i="17"/>
  <c r="G48" i="17"/>
  <c r="I46" i="17"/>
  <c r="G46" i="17"/>
  <c r="I45" i="17"/>
  <c r="G45" i="17"/>
  <c r="I44" i="17"/>
  <c r="G44" i="17"/>
  <c r="I41" i="17"/>
  <c r="I40" i="17" s="1"/>
  <c r="G41" i="17"/>
  <c r="G40" i="17" s="1"/>
  <c r="I39" i="17"/>
  <c r="G39" i="17"/>
  <c r="I38" i="17"/>
  <c r="G38" i="17"/>
  <c r="I37" i="17"/>
  <c r="G37" i="17"/>
  <c r="I36" i="17"/>
  <c r="I49" i="17" s="1"/>
  <c r="G36" i="17"/>
  <c r="I35" i="17"/>
  <c r="G35" i="17"/>
  <c r="I34" i="17"/>
  <c r="I33" i="17" s="1"/>
  <c r="G34" i="17"/>
  <c r="G33" i="17" s="1"/>
  <c r="G32" i="17" s="1"/>
  <c r="I30" i="17"/>
  <c r="G30" i="17"/>
  <c r="I27" i="17"/>
  <c r="G27" i="17"/>
  <c r="I26" i="17"/>
  <c r="G26" i="17"/>
  <c r="G22" i="17" s="1"/>
  <c r="I25" i="17"/>
  <c r="G25" i="17"/>
  <c r="I15" i="17"/>
  <c r="G15" i="17"/>
  <c r="B244" i="8"/>
  <c r="C244" i="8"/>
  <c r="D244" i="8"/>
  <c r="B243" i="8"/>
  <c r="C243" i="8"/>
  <c r="D243" i="8"/>
  <c r="B242" i="8"/>
  <c r="C242" i="8"/>
  <c r="D242" i="8"/>
  <c r="B241" i="8"/>
  <c r="C241" i="8"/>
  <c r="D241" i="8"/>
  <c r="B240" i="8"/>
  <c r="C240" i="8"/>
  <c r="D240" i="8"/>
  <c r="B239" i="8"/>
  <c r="C239" i="8"/>
  <c r="D239" i="8"/>
  <c r="B260" i="8"/>
  <c r="C260" i="8"/>
  <c r="D260" i="8"/>
  <c r="L260" i="8"/>
  <c r="B259" i="8"/>
  <c r="C259" i="8"/>
  <c r="D259" i="8"/>
  <c r="L259" i="8"/>
  <c r="B258" i="8"/>
  <c r="C258" i="8"/>
  <c r="D258" i="8"/>
  <c r="L258" i="8"/>
  <c r="B257" i="8"/>
  <c r="C257" i="8"/>
  <c r="D257" i="8"/>
  <c r="L257" i="8"/>
  <c r="B256" i="8"/>
  <c r="C256" i="8"/>
  <c r="D256" i="8"/>
  <c r="L256" i="8"/>
  <c r="B255" i="8"/>
  <c r="C255" i="8"/>
  <c r="D255" i="8"/>
  <c r="L255" i="8"/>
  <c r="B254" i="8"/>
  <c r="C254" i="8"/>
  <c r="D254" i="8"/>
  <c r="L254" i="8"/>
  <c r="B253" i="8"/>
  <c r="C253" i="8"/>
  <c r="D253" i="8"/>
  <c r="L253" i="8"/>
  <c r="B252" i="8"/>
  <c r="C252" i="8"/>
  <c r="D252" i="8"/>
  <c r="B251" i="8"/>
  <c r="C251" i="8"/>
  <c r="D251" i="8"/>
  <c r="B250" i="8"/>
  <c r="C250" i="8"/>
  <c r="D250" i="8"/>
  <c r="B249" i="8"/>
  <c r="C249" i="8"/>
  <c r="D249" i="8"/>
  <c r="B248" i="8"/>
  <c r="C248" i="8"/>
  <c r="D248" i="8"/>
  <c r="B247" i="8"/>
  <c r="C247" i="8"/>
  <c r="D247" i="8"/>
  <c r="B246" i="8"/>
  <c r="C246" i="8"/>
  <c r="D246" i="8"/>
  <c r="B245" i="8"/>
  <c r="C245" i="8"/>
  <c r="D245" i="8"/>
  <c r="L96" i="8"/>
  <c r="E18" i="8"/>
  <c r="F18" i="8"/>
  <c r="G18" i="8"/>
  <c r="H18" i="8"/>
  <c r="E37" i="8"/>
  <c r="F37" i="8"/>
  <c r="G37" i="8"/>
  <c r="H37" i="8"/>
  <c r="E33" i="8"/>
  <c r="E25" i="8"/>
  <c r="E28" i="8"/>
  <c r="F33" i="8"/>
  <c r="F25" i="8"/>
  <c r="F28" i="8"/>
  <c r="G33" i="8"/>
  <c r="G25" i="8"/>
  <c r="G28" i="8"/>
  <c r="L95" i="8"/>
  <c r="L94" i="8"/>
  <c r="L75" i="8"/>
  <c r="L2" i="8"/>
  <c r="L93" i="8"/>
  <c r="L92" i="8"/>
  <c r="L91" i="8"/>
  <c r="L90" i="8"/>
  <c r="L88" i="8"/>
  <c r="L87" i="8"/>
  <c r="L86" i="8"/>
  <c r="L85" i="8"/>
  <c r="L84" i="8"/>
  <c r="L83" i="8"/>
  <c r="L82" i="8"/>
  <c r="L81" i="8"/>
  <c r="L74" i="8"/>
  <c r="L73" i="8"/>
  <c r="L72" i="8"/>
  <c r="L71" i="8"/>
  <c r="L70" i="8"/>
  <c r="L69" i="8"/>
  <c r="L68" i="8"/>
  <c r="L66" i="8"/>
  <c r="L65" i="8"/>
  <c r="L63" i="8"/>
  <c r="L62" i="8"/>
  <c r="L61" i="8"/>
  <c r="L60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8" i="8"/>
  <c r="L37" i="8"/>
  <c r="L36" i="8"/>
  <c r="L35" i="8"/>
  <c r="L34" i="8"/>
  <c r="L33" i="8"/>
  <c r="L31" i="8"/>
  <c r="L30" i="8"/>
  <c r="L29" i="8"/>
  <c r="L28" i="8"/>
  <c r="L27" i="8"/>
  <c r="L26" i="8"/>
  <c r="L25" i="8"/>
  <c r="L24" i="8"/>
  <c r="L22" i="8"/>
  <c r="L21" i="8"/>
  <c r="L20" i="8"/>
  <c r="L19" i="8"/>
  <c r="L18" i="8"/>
  <c r="L17" i="8"/>
  <c r="L16" i="8"/>
  <c r="L14" i="8"/>
  <c r="L13" i="8"/>
  <c r="L12" i="8"/>
  <c r="L11" i="8"/>
  <c r="L10" i="8"/>
  <c r="L8" i="8"/>
  <c r="L7" i="8"/>
  <c r="L6" i="8"/>
  <c r="L5" i="8"/>
  <c r="L4" i="8"/>
  <c r="L3" i="8"/>
  <c r="L80" i="8"/>
  <c r="L78" i="8"/>
  <c r="L77" i="8"/>
  <c r="L76" i="8"/>
  <c r="L79" i="8"/>
  <c r="J2" i="4"/>
  <c r="E2" i="4"/>
  <c r="L97" i="8"/>
  <c r="L99" i="8"/>
  <c r="L101" i="8"/>
  <c r="L102" i="8"/>
  <c r="L103" i="8"/>
  <c r="L104" i="8"/>
  <c r="L105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2" i="8"/>
  <c r="L123" i="8"/>
  <c r="L126" i="8"/>
  <c r="L127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4" i="8"/>
  <c r="L149" i="8"/>
  <c r="L150" i="8"/>
  <c r="L151" i="8"/>
  <c r="L152" i="8"/>
  <c r="L153" i="8"/>
  <c r="L154" i="8"/>
  <c r="L155" i="8"/>
  <c r="L156" i="8"/>
  <c r="L157" i="8"/>
  <c r="L158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E105" i="8"/>
  <c r="F105" i="8"/>
  <c r="G105" i="8"/>
  <c r="E118" i="8"/>
  <c r="F118" i="8"/>
  <c r="G118" i="8"/>
  <c r="E139" i="8"/>
  <c r="F139" i="8"/>
  <c r="G139" i="8"/>
  <c r="E142" i="8"/>
  <c r="F142" i="8"/>
  <c r="G142" i="8"/>
  <c r="E171" i="8"/>
  <c r="F171" i="8"/>
  <c r="G171" i="8"/>
  <c r="E172" i="8"/>
  <c r="F172" i="8"/>
  <c r="G172" i="8"/>
  <c r="E190" i="8"/>
  <c r="F190" i="8"/>
  <c r="G190" i="8"/>
  <c r="E208" i="8"/>
  <c r="F208" i="8"/>
  <c r="G208" i="8"/>
  <c r="H118" i="8"/>
  <c r="H190" i="8"/>
  <c r="G2" i="4"/>
  <c r="G65" i="17" l="1"/>
  <c r="AE21" i="17"/>
  <c r="G56" i="17"/>
  <c r="G42" i="17"/>
  <c r="G24" i="17"/>
  <c r="G31" i="17"/>
  <c r="G29" i="17" s="1"/>
  <c r="G28" i="17" s="1"/>
  <c r="G23" i="17"/>
  <c r="G14" i="17" s="1"/>
  <c r="G20" i="17"/>
  <c r="AA31" i="17"/>
  <c r="U31" i="17"/>
  <c r="U29" i="17" s="1"/>
  <c r="U28" i="17" s="1"/>
  <c r="AQ21" i="17"/>
  <c r="AC42" i="17"/>
  <c r="M21" i="17"/>
  <c r="AI21" i="17"/>
  <c r="O42" i="17"/>
  <c r="M42" i="17"/>
  <c r="AS42" i="17"/>
  <c r="S42" i="17"/>
  <c r="Y21" i="17"/>
  <c r="Y31" i="17"/>
  <c r="Y29" i="17" s="1"/>
  <c r="Y28" i="17" s="1"/>
  <c r="I56" i="17"/>
  <c r="Q42" i="17"/>
  <c r="AQ42" i="17"/>
  <c r="AM31" i="17"/>
  <c r="AM29" i="17" s="1"/>
  <c r="AM28" i="17" s="1"/>
  <c r="AO31" i="17"/>
  <c r="AO29" i="17" s="1"/>
  <c r="AO28" i="17" s="1"/>
  <c r="AE31" i="17"/>
  <c r="AE29" i="17" s="1"/>
  <c r="AE28" i="17" s="1"/>
  <c r="W42" i="17"/>
  <c r="Y42" i="17"/>
  <c r="AG31" i="17"/>
  <c r="AG29" i="17" s="1"/>
  <c r="AG28" i="17" s="1"/>
  <c r="AA42" i="17"/>
  <c r="AC31" i="17"/>
  <c r="AC29" i="17" s="1"/>
  <c r="AC28" i="17" s="1"/>
  <c r="M31" i="17"/>
  <c r="U42" i="17"/>
  <c r="O31" i="17"/>
  <c r="Q31" i="17"/>
  <c r="AK42" i="17"/>
  <c r="AM21" i="17"/>
  <c r="AK21" i="17"/>
  <c r="AO42" i="17"/>
  <c r="AM42" i="17"/>
  <c r="AI31" i="17"/>
  <c r="AI29" i="17" s="1"/>
  <c r="AI28" i="17" s="1"/>
  <c r="AK31" i="17"/>
  <c r="AK29" i="17" s="1"/>
  <c r="AK28" i="17" s="1"/>
  <c r="Q32" i="17"/>
  <c r="AQ31" i="17"/>
  <c r="AQ29" i="17" s="1"/>
  <c r="AQ28" i="17" s="1"/>
  <c r="AA21" i="17"/>
  <c r="AA32" i="17"/>
  <c r="AE42" i="17"/>
  <c r="AG42" i="17"/>
  <c r="AG21" i="17"/>
  <c r="AI42" i="17"/>
  <c r="S31" i="17"/>
  <c r="S29" i="17" s="1"/>
  <c r="S28" i="17" s="1"/>
  <c r="O32" i="17"/>
  <c r="W31" i="17"/>
  <c r="W29" i="17" s="1"/>
  <c r="W28" i="17" s="1"/>
  <c r="AC21" i="17"/>
  <c r="W21" i="17"/>
  <c r="AS31" i="17"/>
  <c r="AS29" i="17" s="1"/>
  <c r="AS28" i="17" s="1"/>
  <c r="U21" i="17"/>
  <c r="I43" i="17"/>
  <c r="M32" i="17"/>
  <c r="I63" i="17"/>
  <c r="I42" i="17" s="1"/>
  <c r="I64" i="17"/>
  <c r="I24" i="17"/>
  <c r="I32" i="17"/>
  <c r="I22" i="17"/>
  <c r="O21" i="17"/>
  <c r="S21" i="17"/>
  <c r="Q21" i="17"/>
  <c r="K18" i="17"/>
  <c r="K16" i="17" s="1"/>
  <c r="K19" i="17"/>
  <c r="K17" i="17" s="1"/>
  <c r="G43" i="17"/>
  <c r="G21" i="17" s="1"/>
  <c r="G18" i="17" s="1"/>
  <c r="G16" i="17" s="1"/>
  <c r="L238" i="8"/>
  <c r="L239" i="8"/>
  <c r="E245" i="8"/>
  <c r="F245" i="8"/>
  <c r="G245" i="8"/>
  <c r="H245" i="8"/>
  <c r="E246" i="8"/>
  <c r="F246" i="8"/>
  <c r="G246" i="8"/>
  <c r="H246" i="8"/>
  <c r="E247" i="8"/>
  <c r="F247" i="8"/>
  <c r="G247" i="8"/>
  <c r="H247" i="8"/>
  <c r="E248" i="8"/>
  <c r="F248" i="8"/>
  <c r="G248" i="8"/>
  <c r="H248" i="8"/>
  <c r="E249" i="8"/>
  <c r="F249" i="8"/>
  <c r="G249" i="8"/>
  <c r="H249" i="8"/>
  <c r="E250" i="8"/>
  <c r="F250" i="8"/>
  <c r="G250" i="8"/>
  <c r="H250" i="8"/>
  <c r="E251" i="8"/>
  <c r="F251" i="8"/>
  <c r="G251" i="8"/>
  <c r="H251" i="8"/>
  <c r="E252" i="8"/>
  <c r="F252" i="8"/>
  <c r="G252" i="8"/>
  <c r="H252" i="8"/>
  <c r="E253" i="8"/>
  <c r="F253" i="8"/>
  <c r="G253" i="8"/>
  <c r="H253" i="8"/>
  <c r="E254" i="8"/>
  <c r="F254" i="8"/>
  <c r="G254" i="8"/>
  <c r="H254" i="8"/>
  <c r="E255" i="8"/>
  <c r="F255" i="8"/>
  <c r="G255" i="8"/>
  <c r="H255" i="8"/>
  <c r="E256" i="8"/>
  <c r="F256" i="8"/>
  <c r="G256" i="8"/>
  <c r="H256" i="8"/>
  <c r="E257" i="8"/>
  <c r="F257" i="8"/>
  <c r="G257" i="8"/>
  <c r="H257" i="8"/>
  <c r="E258" i="8"/>
  <c r="F258" i="8"/>
  <c r="G258" i="8"/>
  <c r="H258" i="8"/>
  <c r="E259" i="8"/>
  <c r="F259" i="8"/>
  <c r="G259" i="8"/>
  <c r="H259" i="8"/>
  <c r="E260" i="8"/>
  <c r="F260" i="8"/>
  <c r="G260" i="8"/>
  <c r="H260" i="8"/>
  <c r="E239" i="8"/>
  <c r="F239" i="8"/>
  <c r="G239" i="8"/>
  <c r="H239" i="8"/>
  <c r="E240" i="8"/>
  <c r="F240" i="8"/>
  <c r="G240" i="8"/>
  <c r="H240" i="8"/>
  <c r="E241" i="8"/>
  <c r="F241" i="8"/>
  <c r="G241" i="8"/>
  <c r="H241" i="8"/>
  <c r="E242" i="8"/>
  <c r="F242" i="8"/>
  <c r="G242" i="8"/>
  <c r="H242" i="8"/>
  <c r="E243" i="8"/>
  <c r="F243" i="8"/>
  <c r="G243" i="8"/>
  <c r="H243" i="8"/>
  <c r="E244" i="8"/>
  <c r="F244" i="8"/>
  <c r="G244" i="8"/>
  <c r="H244" i="8"/>
  <c r="L148" i="8"/>
  <c r="L147" i="8"/>
  <c r="L146" i="8"/>
  <c r="L145" i="8"/>
  <c r="L224" i="8"/>
  <c r="L174" i="8"/>
  <c r="I37" i="8"/>
  <c r="J37" i="8"/>
  <c r="K37" i="8"/>
  <c r="I18" i="8"/>
  <c r="J18" i="8"/>
  <c r="K18" i="8"/>
  <c r="L173" i="8"/>
  <c r="L89" i="8"/>
  <c r="L67" i="8"/>
  <c r="L39" i="8"/>
  <c r="L15" i="8"/>
  <c r="L9" i="8"/>
  <c r="L159" i="8"/>
  <c r="L143" i="8"/>
  <c r="L128" i="8"/>
  <c r="L125" i="8"/>
  <c r="L124" i="8"/>
  <c r="L64" i="8"/>
  <c r="L121" i="8"/>
  <c r="L32" i="8"/>
  <c r="L106" i="8"/>
  <c r="L100" i="8"/>
  <c r="L59" i="8"/>
  <c r="L23" i="8"/>
  <c r="L98" i="8"/>
  <c r="L225" i="8"/>
  <c r="I190" i="8"/>
  <c r="J190" i="8"/>
  <c r="K190" i="8"/>
  <c r="I118" i="8"/>
  <c r="J118" i="8"/>
  <c r="K118" i="8"/>
  <c r="AA29" i="17" l="1"/>
  <c r="AA28" i="17" s="1"/>
  <c r="I31" i="17"/>
  <c r="I29" i="17" s="1"/>
  <c r="I28" i="17" s="1"/>
  <c r="M29" i="17"/>
  <c r="M28" i="17" s="1"/>
  <c r="I21" i="17"/>
  <c r="Q29" i="17"/>
  <c r="Q28" i="17" s="1"/>
  <c r="O29" i="17"/>
  <c r="O28" i="17" s="1"/>
  <c r="K7" i="17"/>
  <c r="K4" i="17"/>
  <c r="K6" i="17"/>
  <c r="K8" i="17"/>
  <c r="K5" i="17"/>
  <c r="G19" i="17"/>
  <c r="G17" i="17" s="1"/>
  <c r="I244" i="8"/>
  <c r="J244" i="8"/>
  <c r="K244" i="8"/>
  <c r="I243" i="8"/>
  <c r="J243" i="8"/>
  <c r="K243" i="8"/>
  <c r="I242" i="8"/>
  <c r="J242" i="8"/>
  <c r="K242" i="8"/>
  <c r="I241" i="8"/>
  <c r="J241" i="8"/>
  <c r="K241" i="8"/>
  <c r="I240" i="8"/>
  <c r="J240" i="8"/>
  <c r="K240" i="8"/>
  <c r="I239" i="8"/>
  <c r="J239" i="8"/>
  <c r="K239" i="8"/>
  <c r="I260" i="8"/>
  <c r="J260" i="8"/>
  <c r="K260" i="8"/>
  <c r="I259" i="8"/>
  <c r="J259" i="8"/>
  <c r="K259" i="8"/>
  <c r="I258" i="8"/>
  <c r="J258" i="8"/>
  <c r="K258" i="8"/>
  <c r="I257" i="8"/>
  <c r="J257" i="8"/>
  <c r="K257" i="8"/>
  <c r="I256" i="8"/>
  <c r="J256" i="8"/>
  <c r="K256" i="8"/>
  <c r="I255" i="8"/>
  <c r="J255" i="8"/>
  <c r="K255" i="8"/>
  <c r="I254" i="8"/>
  <c r="J254" i="8"/>
  <c r="K254" i="8"/>
  <c r="I253" i="8"/>
  <c r="J253" i="8"/>
  <c r="K253" i="8"/>
  <c r="I252" i="8"/>
  <c r="J252" i="8"/>
  <c r="K252" i="8"/>
  <c r="I251" i="8"/>
  <c r="J251" i="8"/>
  <c r="K251" i="8"/>
  <c r="I250" i="8"/>
  <c r="J250" i="8"/>
  <c r="K250" i="8"/>
  <c r="I249" i="8"/>
  <c r="J249" i="8"/>
  <c r="K249" i="8"/>
  <c r="I248" i="8"/>
  <c r="J248" i="8"/>
  <c r="K248" i="8"/>
  <c r="I247" i="8"/>
  <c r="J247" i="8"/>
  <c r="K247" i="8"/>
  <c r="I246" i="8"/>
  <c r="J246" i="8"/>
  <c r="K246" i="8"/>
  <c r="I245" i="8"/>
  <c r="J245" i="8"/>
  <c r="K245" i="8"/>
  <c r="G8" i="17" l="1"/>
  <c r="K9" i="17"/>
  <c r="K10" i="17" s="1"/>
  <c r="G4" i="17"/>
  <c r="G5" i="17"/>
  <c r="G6" i="17"/>
  <c r="G7" i="17"/>
  <c r="G9" i="17" l="1"/>
  <c r="G10" i="17" s="1"/>
  <c r="S61" i="17"/>
  <c r="S23" i="17" s="1"/>
  <c r="U61" i="17"/>
  <c r="U23" i="17" s="1"/>
  <c r="I61" i="17"/>
  <c r="I23" i="17" s="1"/>
  <c r="M61" i="17"/>
  <c r="M23" i="17" s="1"/>
  <c r="AG61" i="17"/>
  <c r="AG23" i="17" s="1"/>
  <c r="AS61" i="17"/>
  <c r="AS23" i="17" s="1"/>
  <c r="Q61" i="17"/>
  <c r="Q23" i="17" s="1"/>
  <c r="W61" i="17"/>
  <c r="W23" i="17" s="1"/>
  <c r="Y61" i="17"/>
  <c r="Y23" i="17" s="1"/>
  <c r="Y19" i="17" s="1"/>
  <c r="Y17" i="17" s="1"/>
  <c r="AA61" i="17"/>
  <c r="AA23" i="17" s="1"/>
  <c r="AA18" i="17" s="1"/>
  <c r="AA16" i="17" s="1"/>
  <c r="AC61" i="17"/>
  <c r="AC23" i="17" s="1"/>
  <c r="AC19" i="17" s="1"/>
  <c r="AC17" i="17" s="1"/>
  <c r="AE61" i="17"/>
  <c r="AE23" i="17" s="1"/>
  <c r="AI61" i="17"/>
  <c r="AI23" i="17" s="1"/>
  <c r="AI19" i="17" s="1"/>
  <c r="AI17" i="17" s="1"/>
  <c r="AK61" i="17"/>
  <c r="AK23" i="17" s="1"/>
  <c r="AM61" i="17"/>
  <c r="AM23" i="17" s="1"/>
  <c r="AM14" i="17" s="1"/>
  <c r="AO61" i="17"/>
  <c r="AO23" i="17" s="1"/>
  <c r="AO19" i="17" s="1"/>
  <c r="AO17" i="17" s="1"/>
  <c r="AQ61" i="17"/>
  <c r="AQ23" i="17" s="1"/>
  <c r="O61" i="17"/>
  <c r="O23" i="17" s="1"/>
  <c r="O19" i="17" s="1"/>
  <c r="O17" i="17" s="1"/>
  <c r="AI14" i="17" l="1"/>
  <c r="AE19" i="17"/>
  <c r="AE17" i="17" s="1"/>
  <c r="AE14" i="17"/>
  <c r="AE20" i="17"/>
  <c r="AE65" i="17" s="1"/>
  <c r="AA20" i="17"/>
  <c r="AA65" i="17" s="1"/>
  <c r="AA19" i="17"/>
  <c r="AA17" i="17" s="1"/>
  <c r="AK18" i="17"/>
  <c r="AK16" i="17" s="1"/>
  <c r="AK14" i="17"/>
  <c r="AK20" i="17"/>
  <c r="AK65" i="17" s="1"/>
  <c r="AK19" i="17"/>
  <c r="AK17" i="17" s="1"/>
  <c r="AQ18" i="17"/>
  <c r="AQ16" i="17" s="1"/>
  <c r="AQ19" i="17"/>
  <c r="AQ17" i="17" s="1"/>
  <c r="AO20" i="17"/>
  <c r="AO65" i="17" s="1"/>
  <c r="AM18" i="17"/>
  <c r="AM16" i="17" s="1"/>
  <c r="AI18" i="17"/>
  <c r="AI16" i="17" s="1"/>
  <c r="AE18" i="17"/>
  <c r="AE16" i="17" s="1"/>
  <c r="AA14" i="17"/>
  <c r="W18" i="17"/>
  <c r="W16" i="17" s="1"/>
  <c r="W19" i="17"/>
  <c r="W17" i="17" s="1"/>
  <c r="W14" i="17"/>
  <c r="W20" i="17"/>
  <c r="W65" i="17" s="1"/>
  <c r="AG18" i="17"/>
  <c r="AG16" i="17" s="1"/>
  <c r="AG19" i="17"/>
  <c r="AG17" i="17" s="1"/>
  <c r="AG14" i="17"/>
  <c r="AG20" i="17"/>
  <c r="AG65" i="17" s="1"/>
  <c r="U18" i="17"/>
  <c r="U16" i="17" s="1"/>
  <c r="U19" i="17"/>
  <c r="U17" i="17" s="1"/>
  <c r="U14" i="17"/>
  <c r="U20" i="17"/>
  <c r="U65" i="17" s="1"/>
  <c r="AO18" i="17"/>
  <c r="AO16" i="17" s="1"/>
  <c r="AM19" i="17"/>
  <c r="AM17" i="17" s="1"/>
  <c r="Q19" i="17"/>
  <c r="Q17" i="17" s="1"/>
  <c r="Q18" i="17"/>
  <c r="Q16" i="17" s="1"/>
  <c r="Q14" i="17"/>
  <c r="Q20" i="17"/>
  <c r="Q65" i="17" s="1"/>
  <c r="M18" i="17"/>
  <c r="M16" i="17" s="1"/>
  <c r="M19" i="17"/>
  <c r="M17" i="17" s="1"/>
  <c r="M14" i="17"/>
  <c r="M20" i="17"/>
  <c r="M65" i="17" s="1"/>
  <c r="S19" i="17"/>
  <c r="S17" i="17" s="1"/>
  <c r="S18" i="17"/>
  <c r="S16" i="17" s="1"/>
  <c r="S14" i="17"/>
  <c r="S20" i="17"/>
  <c r="S65" i="17" s="1"/>
  <c r="O18" i="17"/>
  <c r="O16" i="17" s="1"/>
  <c r="AQ14" i="17"/>
  <c r="O20" i="17"/>
  <c r="O65" i="17" s="1"/>
  <c r="O14" i="17"/>
  <c r="AQ20" i="17"/>
  <c r="AQ65" i="17" s="1"/>
  <c r="AO14" i="17"/>
  <c r="AM20" i="17"/>
  <c r="AM65" i="17" s="1"/>
  <c r="AI20" i="17"/>
  <c r="AC18" i="17"/>
  <c r="AC16" i="17" s="1"/>
  <c r="AC14" i="17"/>
  <c r="AC20" i="17"/>
  <c r="AC65" i="17" s="1"/>
  <c r="Y18" i="17"/>
  <c r="Y16" i="17" s="1"/>
  <c r="Y14" i="17"/>
  <c r="Y20" i="17"/>
  <c r="Y65" i="17" s="1"/>
  <c r="AS19" i="17"/>
  <c r="AS17" i="17" s="1"/>
  <c r="AS18" i="17"/>
  <c r="AS16" i="17" s="1"/>
  <c r="AS14" i="17"/>
  <c r="AS20" i="17"/>
  <c r="AS65" i="17" s="1"/>
  <c r="I18" i="17"/>
  <c r="I16" i="17" s="1"/>
  <c r="I20" i="17"/>
  <c r="I65" i="17" s="1"/>
  <c r="I14" i="17"/>
  <c r="I19" i="17"/>
  <c r="I17" i="17" s="1"/>
  <c r="AE5" i="17" l="1"/>
  <c r="AE4" i="17"/>
  <c r="AE7" i="17"/>
  <c r="AE8" i="17"/>
  <c r="AE10" i="17" s="1"/>
  <c r="AE6" i="17"/>
  <c r="AI65" i="17"/>
  <c r="AI6" i="17" s="1"/>
  <c r="AM5" i="17"/>
  <c r="AS6" i="17"/>
  <c r="AS5" i="17"/>
  <c r="AS7" i="17"/>
  <c r="AS4" i="17"/>
  <c r="AS8" i="17"/>
  <c r="AS10" i="17" s="1"/>
  <c r="AQ4" i="17"/>
  <c r="AQ6" i="17"/>
  <c r="AQ8" i="17"/>
  <c r="AQ10" i="17" s="1"/>
  <c r="AQ7" i="17"/>
  <c r="AQ5" i="17"/>
  <c r="S5" i="17"/>
  <c r="S7" i="17"/>
  <c r="S4" i="17"/>
  <c r="S6" i="17"/>
  <c r="S8" i="17"/>
  <c r="S10" i="17" s="1"/>
  <c r="U4" i="17"/>
  <c r="U6" i="17"/>
  <c r="U8" i="17"/>
  <c r="U10" i="17" s="1"/>
  <c r="U5" i="17"/>
  <c r="U7" i="17"/>
  <c r="AM4" i="17"/>
  <c r="Y5" i="17"/>
  <c r="Y7" i="17"/>
  <c r="Y4" i="17"/>
  <c r="Y6" i="17"/>
  <c r="Y8" i="17"/>
  <c r="Y10" i="17" s="1"/>
  <c r="AC4" i="17"/>
  <c r="AC6" i="17"/>
  <c r="AC8" i="17"/>
  <c r="AC10" i="17" s="1"/>
  <c r="AC5" i="17"/>
  <c r="AC7" i="17"/>
  <c r="O7" i="17"/>
  <c r="O6" i="17"/>
  <c r="O4" i="17"/>
  <c r="O5" i="17"/>
  <c r="O8" i="17"/>
  <c r="O10" i="17" s="1"/>
  <c r="M6" i="17"/>
  <c r="M4" i="17"/>
  <c r="M8" i="17"/>
  <c r="M10" i="17" s="1"/>
  <c r="M5" i="17"/>
  <c r="M7" i="17"/>
  <c r="AG8" i="17"/>
  <c r="AG10" i="17" s="1"/>
  <c r="AG5" i="17"/>
  <c r="AG6" i="17"/>
  <c r="AG4" i="17"/>
  <c r="AG7" i="17"/>
  <c r="AM8" i="17"/>
  <c r="AM10" i="17" s="1"/>
  <c r="AM7" i="17"/>
  <c r="I8" i="17"/>
  <c r="I6" i="17"/>
  <c r="I5" i="17"/>
  <c r="I4" i="17"/>
  <c r="I7" i="17"/>
  <c r="AO4" i="17"/>
  <c r="AO5" i="17"/>
  <c r="AO8" i="17"/>
  <c r="AO10" i="17" s="1"/>
  <c r="AO7" i="17"/>
  <c r="AO6" i="17"/>
  <c r="Q5" i="17"/>
  <c r="Q6" i="17"/>
  <c r="Q4" i="17"/>
  <c r="Q7" i="17"/>
  <c r="Q8" i="17"/>
  <c r="Q10" i="17" s="1"/>
  <c r="W4" i="17"/>
  <c r="W6" i="17"/>
  <c r="W8" i="17"/>
  <c r="W10" i="17" s="1"/>
  <c r="W5" i="17"/>
  <c r="W7" i="17"/>
  <c r="AA8" i="17"/>
  <c r="AA10" i="17" s="1"/>
  <c r="AA5" i="17"/>
  <c r="AA7" i="17"/>
  <c r="AA4" i="17"/>
  <c r="AA6" i="17"/>
  <c r="AK4" i="17"/>
  <c r="AK7" i="17"/>
  <c r="AK6" i="17"/>
  <c r="AK8" i="17"/>
  <c r="AK10" i="17" s="1"/>
  <c r="AK5" i="17"/>
  <c r="AM6" i="17"/>
  <c r="AE9" i="17" l="1"/>
  <c r="AI7" i="17"/>
  <c r="AA9" i="17"/>
  <c r="AI8" i="17"/>
  <c r="AI10" i="17" s="1"/>
  <c r="AI5" i="17"/>
  <c r="AI4" i="17"/>
  <c r="AS9" i="17"/>
  <c r="Q9" i="17"/>
  <c r="I9" i="17"/>
  <c r="I10" i="17" s="1"/>
  <c r="Y9" i="17"/>
  <c r="AG9" i="17"/>
  <c r="M9" i="17"/>
  <c r="W9" i="17"/>
  <c r="AO9" i="17"/>
  <c r="AQ9" i="17"/>
  <c r="O9" i="17"/>
  <c r="U9" i="17"/>
  <c r="AK9" i="17"/>
  <c r="AC9" i="17"/>
  <c r="AM9" i="17"/>
  <c r="S9" i="17"/>
  <c r="AI9" i="17" l="1"/>
</calcChain>
</file>

<file path=xl/sharedStrings.xml><?xml version="1.0" encoding="utf-8"?>
<sst xmlns="http://schemas.openxmlformats.org/spreadsheetml/2006/main" count="2803" uniqueCount="422">
  <si>
    <t>h</t>
  </si>
  <si>
    <t>weeks</t>
  </si>
  <si>
    <t>ECTS</t>
  </si>
  <si>
    <t>per week</t>
  </si>
  <si>
    <t>einheiten</t>
  </si>
  <si>
    <t>self-study</t>
  </si>
  <si>
    <t>self-study per week</t>
  </si>
  <si>
    <t>total ME</t>
  </si>
  <si>
    <t>total ME per week</t>
  </si>
  <si>
    <t>hrs per ME</t>
  </si>
  <si>
    <t>ID</t>
  </si>
  <si>
    <t>description</t>
  </si>
  <si>
    <t>numeric_level</t>
  </si>
  <si>
    <t>time</t>
  </si>
  <si>
    <t>APPLY_TO_NEW</t>
  </si>
  <si>
    <t>apply to new</t>
  </si>
  <si>
    <t>APPLY_TO_SIMILAR</t>
  </si>
  <si>
    <t>apply to similar</t>
  </si>
  <si>
    <t>COMPREHEND</t>
  </si>
  <si>
    <t>comprehend</t>
  </si>
  <si>
    <t>KNOW_TERMS</t>
  </si>
  <si>
    <t>know terms</t>
  </si>
  <si>
    <t>REPRODUCE</t>
  </si>
  <si>
    <t>reproduce</t>
  </si>
  <si>
    <t>ME_ID</t>
  </si>
  <si>
    <t>ME_shortName</t>
  </si>
  <si>
    <t>ME_description</t>
  </si>
  <si>
    <t>MLEO_ID</t>
  </si>
  <si>
    <t>MLEO_shortName</t>
  </si>
  <si>
    <t>MLEO_description</t>
  </si>
  <si>
    <t>MLEO_Level</t>
  </si>
  <si>
    <t>LEO</t>
  </si>
  <si>
    <t>LEO_shortName</t>
  </si>
  <si>
    <t>Column1</t>
  </si>
  <si>
    <t>LEO_description</t>
  </si>
  <si>
    <t>Row Labels</t>
  </si>
  <si>
    <t>Count of ME_ID</t>
  </si>
  <si>
    <t>Sum of time</t>
  </si>
  <si>
    <t>#VALUE!</t>
  </si>
  <si>
    <t>BASIC_CLASSES</t>
  </si>
  <si>
    <t>Grand Total</t>
  </si>
  <si>
    <t>Parent</t>
  </si>
  <si>
    <t>(All)</t>
  </si>
  <si>
    <t>Count of ID</t>
  </si>
  <si>
    <t>knowledge level</t>
  </si>
  <si>
    <t>Parent_ShortName</t>
  </si>
  <si>
    <t>TESTING</t>
  </si>
  <si>
    <t>shortName</t>
  </si>
  <si>
    <t>PRE_00</t>
  </si>
  <si>
    <t>PRE_01</t>
  </si>
  <si>
    <t>order</t>
  </si>
  <si>
    <t>week</t>
  </si>
  <si>
    <t>LEO_00</t>
  </si>
  <si>
    <t>identify, design, and implement simple classes.</t>
  </si>
  <si>
    <t>LEO_01</t>
  </si>
  <si>
    <t>CLASSES</t>
  </si>
  <si>
    <t>identify, design, and implement families of interacting simple classes.</t>
  </si>
  <si>
    <t>LEO_02</t>
  </si>
  <si>
    <t>BASIC_INHERITANCE</t>
  </si>
  <si>
    <t>identify, design, and implement simple subclasses.</t>
  </si>
  <si>
    <t>LEO_03</t>
  </si>
  <si>
    <t>INHERITANCE</t>
  </si>
  <si>
    <t>identify, design, and implement simple class hierarchies.</t>
  </si>
  <si>
    <t>LEO_04</t>
  </si>
  <si>
    <t>ABSTRACT_INTERFACE</t>
  </si>
  <si>
    <t>identify and design abstract classes and  and implement abstract classes and interfaces.</t>
  </si>
  <si>
    <t>LEO_05</t>
  </si>
  <si>
    <t>COLLECTIONS_GENERICS</t>
  </si>
  <si>
    <t>store, sort, and filter data using collections.</t>
  </si>
  <si>
    <t>LEO_06</t>
  </si>
  <si>
    <t>EXCEPTIONS</t>
  </si>
  <si>
    <t>create, throw and handle exceptions.</t>
  </si>
  <si>
    <t>LEO_07</t>
  </si>
  <si>
    <t>FILE_IO</t>
  </si>
  <si>
    <t xml:space="preserve">export/import data to/from files in text based formats. </t>
  </si>
  <si>
    <t>LEO_08</t>
  </si>
  <si>
    <t>implement simple unit tests.</t>
  </si>
  <si>
    <t>LEO_10</t>
  </si>
  <si>
    <t>CLASS_DIAGRAM</t>
  </si>
  <si>
    <t>identify and model participating classes of a given problem.</t>
  </si>
  <si>
    <t>LEO_11</t>
  </si>
  <si>
    <t>SEQUENCE_DIAGRAM</t>
  </si>
  <si>
    <t>model processes and interactions of a given problem.</t>
  </si>
  <si>
    <t>from</t>
  </si>
  <si>
    <t>to</t>
  </si>
  <si>
    <t>type</t>
  </si>
  <si>
    <t>textual relation</t>
  </si>
  <si>
    <t>requires</t>
  </si>
  <si>
    <t>LEO_09</t>
  </si>
  <si>
    <t>URL</t>
  </si>
  <si>
    <t>comments Lena</t>
  </si>
  <si>
    <t>MLEO_00_01</t>
  </si>
  <si>
    <t>PRIMITIVE_TYPE_ATTRIBUTES</t>
  </si>
  <si>
    <t>implement primitive type attributes.</t>
  </si>
  <si>
    <t>MLEO_00_02</t>
  </si>
  <si>
    <t>STRING_REPRESENTATIONS</t>
  </si>
  <si>
    <t>create a String representation of an object with a method.</t>
  </si>
  <si>
    <t>MLEO_00_03</t>
  </si>
  <si>
    <t>PRIMITIVE_TYPE_DIRECT_GETTER</t>
  </si>
  <si>
    <t>implement a direct getter for a primitive type member.</t>
  </si>
  <si>
    <t>?</t>
  </si>
  <si>
    <t>MLEO_00_04</t>
  </si>
  <si>
    <t>PRIMITIVE_TYPE_DIRECT_SETTER</t>
  </si>
  <si>
    <t>implement a direct setter for a primitive type member observing class invariants.</t>
  </si>
  <si>
    <t>MLEO_00_05</t>
  </si>
  <si>
    <t>PRIMITIVE_TYPE_GETTER</t>
  </si>
  <si>
    <t>implement a general getter for a primitive type member.</t>
  </si>
  <si>
    <t>zusammengesetzt aus vorhandenen Daten</t>
  </si>
  <si>
    <t>MLEO_00_06</t>
  </si>
  <si>
    <t>PRIMITIVE_TYPE_SETTER</t>
  </si>
  <si>
    <t>implement a general setter for a primitive type member observing class invariants.</t>
  </si>
  <si>
    <t>MLEO_00_07</t>
  </si>
  <si>
    <t>REFERENCE_TYPE_ATTRIBUTES</t>
  </si>
  <si>
    <t>implement reference type attributes.</t>
  </si>
  <si>
    <t>MLEO_00_08</t>
  </si>
  <si>
    <t>SIMPLE_METHODS</t>
  </si>
  <si>
    <t>implement simple methods of a class.</t>
  </si>
  <si>
    <t>MLEO_00_09</t>
  </si>
  <si>
    <t>OVERLOAD_METHODS</t>
  </si>
  <si>
    <t>implement overloaded methods.</t>
  </si>
  <si>
    <t>MLEO_00_10</t>
  </si>
  <si>
    <t>COMPARE_METHOD</t>
  </si>
  <si>
    <t>implement simple methods for comparison of objects of the same class.</t>
  </si>
  <si>
    <t>Wäre nach oder mit Vererbung leichter zu vereinbaren (Comparable, ...). Oder stellst du dir da sowas vor wie: boolean isSame(DataType other)?</t>
  </si>
  <si>
    <t>MLEO_00_11</t>
  </si>
  <si>
    <t>PRIVATE_METHODS</t>
  </si>
  <si>
    <t>implement private helper methods.</t>
  </si>
  <si>
    <t>MLEO_00_12</t>
  </si>
  <si>
    <t>ENTITY_CLASSES</t>
  </si>
  <si>
    <t>implement simple entity classes.</t>
  </si>
  <si>
    <t>MLEO_00_13</t>
  </si>
  <si>
    <t>CONTROLLER_CLASSES</t>
  </si>
  <si>
    <t>implement simple controller classes.</t>
  </si>
  <si>
    <t>MLEO_00_14</t>
  </si>
  <si>
    <t>AGGREGATE_BASIC_CLASSES</t>
  </si>
  <si>
    <t>aggregate arrays of basic classes.</t>
  </si>
  <si>
    <t>MLEO_00_15</t>
  </si>
  <si>
    <t>USE_BASIC_CLASSES</t>
  </si>
  <si>
    <t>use basic classes to manage data and control logic.</t>
  </si>
  <si>
    <t>Unterschied zu classes?</t>
  </si>
  <si>
    <t>1. Einheit mit 15 LEOs vielleicht ein bisschen in zB 2. Einheit verschieben, da in der ersten Einheit auch die LV vorgestellt wird</t>
  </si>
  <si>
    <t>MLEO_01_01</t>
  </si>
  <si>
    <t>STANDARD_CONSTRUCTOR</t>
  </si>
  <si>
    <t>implement standard constructors.</t>
  </si>
  <si>
    <t>MLEO_01_02</t>
  </si>
  <si>
    <t>CUSTOM_CONSTRUCTOR</t>
  </si>
  <si>
    <t>implement custom constructors.</t>
  </si>
  <si>
    <t>MLEO_01_03</t>
  </si>
  <si>
    <t>CONSTRUCTOR_CALL</t>
  </si>
  <si>
    <t>implement constructors calling other constructors.</t>
  </si>
  <si>
    <t>MLEO_01_04</t>
  </si>
  <si>
    <t>SHALLOW_COPY</t>
  </si>
  <si>
    <t>implement shallow copy constructors.</t>
  </si>
  <si>
    <t>MLEO_01_05</t>
  </si>
  <si>
    <t>DEEP_COPY</t>
  </si>
  <si>
    <t>implement deep copy constructors.</t>
  </si>
  <si>
    <t>MLEO_01_06</t>
  </si>
  <si>
    <t>DEFENSIVE_GETTER_SETTER</t>
  </si>
  <si>
    <t>implement and use defensive getters and setters.</t>
  </si>
  <si>
    <t>MLEO_01_07</t>
  </si>
  <si>
    <t>METHOD_CHAINING</t>
  </si>
  <si>
    <t>implement and use chainable methods.</t>
  </si>
  <si>
    <t>MLEO_01_08</t>
  </si>
  <si>
    <t>STATIC_FINAL_MEMBERS</t>
  </si>
  <si>
    <t>implement and use static and final attributes and methods.</t>
  </si>
  <si>
    <t>final methods erst ab Vererbung</t>
  </si>
  <si>
    <t>MLEO_01_09</t>
  </si>
  <si>
    <t>JAVA_DATE</t>
  </si>
  <si>
    <t>use the java Date class.</t>
  </si>
  <si>
    <t>MLEO_01_10</t>
  </si>
  <si>
    <t>IMPLEMENT_AGGREGATION_COMPOSITION</t>
  </si>
  <si>
    <t>implement aggregation and composition relation.</t>
  </si>
  <si>
    <t>MLEO_01_11</t>
  </si>
  <si>
    <t>USE_CLASSES</t>
  </si>
  <si>
    <t>use classes to manage data and control logic.</t>
  </si>
  <si>
    <t>Unterschied zu Basic Classes?</t>
  </si>
  <si>
    <t>MLEO_02_01</t>
  </si>
  <si>
    <t>EXTEND_CLASSES</t>
  </si>
  <si>
    <t>extend base classes.</t>
  </si>
  <si>
    <t>MLEO_02_02</t>
  </si>
  <si>
    <t>OVERRIDE</t>
  </si>
  <si>
    <t>override methods in sub classes.</t>
  </si>
  <si>
    <t>MLEO_02_03</t>
  </si>
  <si>
    <t>CLASS_OBJECT_METHODS</t>
  </si>
  <si>
    <t>override Object methods.</t>
  </si>
  <si>
    <t>MLEO_02_04</t>
  </si>
  <si>
    <t>APPLY_BASIC_POLYMORPHISM</t>
  </si>
  <si>
    <t>apply polymorphism with simple sublcasses.</t>
  </si>
  <si>
    <t>MLEO_02_05</t>
  </si>
  <si>
    <t>CALL_SUPER_METHODS</t>
  </si>
  <si>
    <t>use super class implementations of methods (also in overridden methods)-</t>
  </si>
  <si>
    <t>MLEO_03_01</t>
  </si>
  <si>
    <t>SUPERCONSTRUCTOR</t>
  </si>
  <si>
    <t>use super constructors in constructors.</t>
  </si>
  <si>
    <t>MLEO_03_02</t>
  </si>
  <si>
    <t>CONVERSION_CONSTRUCTOR</t>
  </si>
  <si>
    <t>implement conversion constructors.</t>
  </si>
  <si>
    <t>MLEO_03_03</t>
  </si>
  <si>
    <t>ENUMERATIONS</t>
  </si>
  <si>
    <t>implement enumeration types.</t>
  </si>
  <si>
    <t>MLEO_03_04</t>
  </si>
  <si>
    <t>APPLY_POLYMORPHISM</t>
  </si>
  <si>
    <t>apply polymorphism with simple class hierarchies.</t>
  </si>
  <si>
    <t>unterschied zu Sub classes?</t>
  </si>
  <si>
    <t>MLEO_04_01</t>
  </si>
  <si>
    <t>ABSTRACT_CLASS</t>
  </si>
  <si>
    <t>implement abstract classes.</t>
  </si>
  <si>
    <t>MLEO_04_02</t>
  </si>
  <si>
    <t>COMPARABLE</t>
  </si>
  <si>
    <t>implement given interfaces.</t>
  </si>
  <si>
    <t>hier compare hinzufügen (MLEO_00_10)? implement wie in myClass implements thisInterface oder implement wie in public interface myInterface {...}</t>
  </si>
  <si>
    <t>MLEO_06_01</t>
  </si>
  <si>
    <t>GENERIC_LISTS</t>
  </si>
  <si>
    <t>use suitable generic lists from the Java Collection Framework to store, manage and sort data.</t>
  </si>
  <si>
    <t>MLEO_06_02</t>
  </si>
  <si>
    <t>GENERIC_MAPS</t>
  </si>
  <si>
    <t>use suitable generic maps form the Java Collection Framework to store and manage data.</t>
  </si>
  <si>
    <t>MLEO_06_03</t>
  </si>
  <si>
    <t>ONE_TO_N</t>
  </si>
  <si>
    <t>implement 1:n relations with Collections.</t>
  </si>
  <si>
    <t>MLEO_06_04</t>
  </si>
  <si>
    <t>N_TO_M</t>
  </si>
  <si>
    <t>implement n:m relations Collections.</t>
  </si>
  <si>
    <t>MLEO_06_05</t>
  </si>
  <si>
    <t>CUSTOM_CONTAINER</t>
  </si>
  <si>
    <t xml:space="preserve">implement custom data containers that support insert, read, delete, and edit operations as well as sorting and filtering. </t>
  </si>
  <si>
    <t>MLEO_08_01</t>
  </si>
  <si>
    <t>WRITE_TEXTUAL_DATA</t>
  </si>
  <si>
    <t>export data in text-based formats with correct exception handling.</t>
  </si>
  <si>
    <t>MLEO_08_02</t>
  </si>
  <si>
    <t>READ_TEXTUAL_DATA</t>
  </si>
  <si>
    <t>import data in csv format with correct exception handling.</t>
  </si>
  <si>
    <t>MLEO_09_01</t>
  </si>
  <si>
    <t>UNIT_TEST_METHOD</t>
  </si>
  <si>
    <t>design, write and execute tests for a single method in a class using a unit test framework.</t>
  </si>
  <si>
    <t>MLEO_09_02</t>
  </si>
  <si>
    <t>UNIT_TEST</t>
  </si>
  <si>
    <t>design, write and execute unit tests using a unit test framework.</t>
  </si>
  <si>
    <t>MLEO_10_01</t>
  </si>
  <si>
    <t>IDENTIFY_CLASSES</t>
  </si>
  <si>
    <t>identify participating classes based on a problem statement.</t>
  </si>
  <si>
    <t>MLEO_10_02</t>
  </si>
  <si>
    <t>IDENTIFY_MEMBERS</t>
  </si>
  <si>
    <t>identify attributes and operations of classes with visibility, types, and initial values.</t>
  </si>
  <si>
    <t>MLEO_10_03</t>
  </si>
  <si>
    <t>IDENTIFY_GENERALIZATION</t>
  </si>
  <si>
    <t>identify generalization associations between participating classes.</t>
  </si>
  <si>
    <t>MLEO_10_04</t>
  </si>
  <si>
    <t>IDENTIFY_ASSOCIATIONS</t>
  </si>
  <si>
    <t>identify associations with roles and multiplicities between participating classes.</t>
  </si>
  <si>
    <t>MLEO_10_05</t>
  </si>
  <si>
    <t>IDENTIFY_AGGREGATIONS</t>
  </si>
  <si>
    <t>identify aggregation associations between participating classes including aggregation and composition.</t>
  </si>
  <si>
    <t>MLEO_11_01</t>
  </si>
  <si>
    <t>IDENTIFY_ACTORS</t>
  </si>
  <si>
    <t>identify actors based on a problem statement.</t>
  </si>
  <si>
    <t>MLEO_11_02</t>
  </si>
  <si>
    <t>IDENTIFY_MESSAGES</t>
  </si>
  <si>
    <t>identify messages and message types.</t>
  </si>
  <si>
    <t>MLEO_11_03</t>
  </si>
  <si>
    <t>IDENTIFY_ACTIVATIONS</t>
  </si>
  <si>
    <t>identify lifelines and activations.</t>
  </si>
  <si>
    <t>MLEO_11_04</t>
  </si>
  <si>
    <t>IDENTIFY_FRAGMENTS</t>
  </si>
  <si>
    <t>identify fragments and fragment types.</t>
  </si>
  <si>
    <t>implies</t>
  </si>
  <si>
    <t>MLEO</t>
  </si>
  <si>
    <t>decription</t>
  </si>
  <si>
    <t>MLEO_shortNAme</t>
  </si>
  <si>
    <t>MLEO_LEVEL</t>
  </si>
  <si>
    <t>LEO_ID</t>
  </si>
  <si>
    <t>hrs</t>
  </si>
  <si>
    <t>ME_00_01_00</t>
  </si>
  <si>
    <t>dummyME</t>
  </si>
  <si>
    <t>E</t>
  </si>
  <si>
    <t>E_01_01</t>
  </si>
  <si>
    <t>asd</t>
  </si>
  <si>
    <t>LE Block</t>
  </si>
  <si>
    <t>MUST</t>
  </si>
  <si>
    <t>MLEO_01_12</t>
  </si>
  <si>
    <t>MLEO_01_13</t>
  </si>
  <si>
    <t>MLEO_01_14</t>
  </si>
  <si>
    <t>MLEO_02_06</t>
  </si>
  <si>
    <t>MLEO_01_15</t>
  </si>
  <si>
    <t>JAVA_LOCALDATE</t>
  </si>
  <si>
    <t>use the java LocalDate class.</t>
  </si>
  <si>
    <t>MLEO_01_16</t>
  </si>
  <si>
    <t>INTERFACE</t>
  </si>
  <si>
    <t>create and use an interface</t>
  </si>
  <si>
    <t>MLEO_04_03</t>
  </si>
  <si>
    <t>apply polymorphism with simple class hierarchies (&gt; 2 subclasses).</t>
  </si>
  <si>
    <t>MLEO_05_01</t>
  </si>
  <si>
    <t>MLEO_05_02</t>
  </si>
  <si>
    <t>MLEO_05_03</t>
  </si>
  <si>
    <t>MLEO_05_04</t>
  </si>
  <si>
    <t>MLEO_05_05</t>
  </si>
  <si>
    <t>STREAMS_LAMBDAS_AND_METHOD_REFERENCES</t>
  </si>
  <si>
    <t>use streams, lambdas and method references to work with collections.</t>
  </si>
  <si>
    <t>MLEO_05_06</t>
  </si>
  <si>
    <t>implement custom data containers that support insert, read, delete, and edit operations as well as sorting and filtering.</t>
  </si>
  <si>
    <t>EXCEPTION_TYPES</t>
  </si>
  <si>
    <t>able to create and throw checked and unchecked exceptions.</t>
  </si>
  <si>
    <t>CUSTOM_EXCEPTION</t>
  </si>
  <si>
    <t>implement custom exception.</t>
  </si>
  <si>
    <t>THROW_EXCEPTION</t>
  </si>
  <si>
    <t>throw new exception.</t>
  </si>
  <si>
    <t>HANDLE_EXCEPTION</t>
  </si>
  <si>
    <t>handle exception correctly.</t>
  </si>
  <si>
    <t>MLEO_07_01</t>
  </si>
  <si>
    <t>MLEO_07_02</t>
  </si>
  <si>
    <t>Title</t>
  </si>
  <si>
    <t>Implied by</t>
  </si>
  <si>
    <t>-</t>
  </si>
  <si>
    <t>STREAMS_AND_LAMBDAS</t>
  </si>
  <si>
    <t>Auswertung</t>
  </si>
  <si>
    <t>max Punkte</t>
  </si>
  <si>
    <t>Name</t>
  </si>
  <si>
    <t>%</t>
  </si>
  <si>
    <t>Grade</t>
  </si>
  <si>
    <t>value</t>
  </si>
  <si>
    <t>r</t>
  </si>
  <si>
    <t>pr</t>
  </si>
  <si>
    <t>nr</t>
  </si>
  <si>
    <t>o</t>
  </si>
  <si>
    <t>MUST &lt; partially reached ? 5 : %</t>
  </si>
  <si>
    <t>Note</t>
  </si>
  <si>
    <t>Legende:
nr... not reached
pr...partially reached
r...reached
o...open</t>
  </si>
  <si>
    <t>MLEO ID</t>
  </si>
  <si>
    <t>ab
LE Block</t>
  </si>
  <si>
    <t>read-only</t>
  </si>
  <si>
    <t>edit</t>
  </si>
  <si>
    <r>
      <rPr>
        <b/>
        <sz val="10"/>
        <color rgb="FFFFFFFF"/>
        <rFont val="Roboto"/>
      </rPr>
      <t xml:space="preserve">result </t>
    </r>
    <r>
      <rPr>
        <b/>
        <sz val="10"/>
        <color rgb="FFFFC000"/>
        <rFont val="Roboto"/>
      </rPr>
      <t>read-only</t>
    </r>
  </si>
  <si>
    <t>x</t>
  </si>
  <si>
    <t>Oral Exam Dates</t>
  </si>
  <si>
    <t>1st</t>
  </si>
  <si>
    <t>2nd</t>
  </si>
  <si>
    <t>3rd</t>
  </si>
  <si>
    <t>BB</t>
  </si>
  <si>
    <t>#</t>
  </si>
  <si>
    <t>LEs</t>
  </si>
  <si>
    <t>min</t>
  </si>
  <si>
    <t>Art</t>
  </si>
  <si>
    <t>Themenblock</t>
  </si>
  <si>
    <t>Themen</t>
  </si>
  <si>
    <t>Theorie/Exam/Lab</t>
  </si>
  <si>
    <t>Basic classes</t>
  </si>
  <si>
    <t>Classes</t>
  </si>
  <si>
    <t>Prüfungszeit</t>
  </si>
  <si>
    <t>Basic inheritance</t>
  </si>
  <si>
    <t>Studis pro Stunde</t>
  </si>
  <si>
    <t>Abstract/Interface &amp; Inheritance</t>
  </si>
  <si>
    <t>Zeit pro Studi</t>
  </si>
  <si>
    <t>Collections</t>
  </si>
  <si>
    <t>2 Studis gleichzeitig</t>
  </si>
  <si>
    <t>60 slots</t>
  </si>
  <si>
    <t xml:space="preserve"> =&gt; jede/r ca 3 mal</t>
  </si>
  <si>
    <t>10 Einheiten</t>
  </si>
  <si>
    <t>Generics</t>
  </si>
  <si>
    <t>90 min Recap freiwillig</t>
  </si>
  <si>
    <t>Exceptions</t>
  </si>
  <si>
    <t>180 min Finale Überprüfung</t>
  </si>
  <si>
    <t>File IO</t>
  </si>
  <si>
    <t>Testing</t>
  </si>
  <si>
    <t>Sequenzdiagramm</t>
  </si>
  <si>
    <t>Recap</t>
  </si>
  <si>
    <t>Exam</t>
  </si>
  <si>
    <t>Finale Überprüfung</t>
  </si>
  <si>
    <t>2. Termin im September</t>
  </si>
  <si>
    <t>3. Termin Oktober</t>
  </si>
  <si>
    <t>4. Termin November (max 15.)</t>
  </si>
  <si>
    <t>VZ</t>
  </si>
  <si>
    <t>Theorie</t>
  </si>
  <si>
    <t>Im Regelfall eine Woche Zeit zwische Theorie und Exam eines Themas</t>
  </si>
  <si>
    <t>Exam/Lab</t>
  </si>
  <si>
    <t>git commit push github von FH, jede woche sollte gepushed werden</t>
  </si>
  <si>
    <t>3 mal Level 1 nicht abgeben =&gt; 2. Antritt</t>
  </si>
  <si>
    <t>Level 1</t>
  </si>
  <si>
    <t>Level 2</t>
  </si>
  <si>
    <t>Level 3</t>
  </si>
  <si>
    <t>Kind</t>
  </si>
  <si>
    <t>Topic</t>
  </si>
  <si>
    <t>Workout</t>
  </si>
  <si>
    <t>Phase 1</t>
  </si>
  <si>
    <t>apidocs</t>
  </si>
  <si>
    <t>Person</t>
  </si>
  <si>
    <t>CD</t>
  </si>
  <si>
    <t>StrengtheningExercise</t>
  </si>
  <si>
    <t>ACs</t>
  </si>
  <si>
    <t>AerobicExercise</t>
  </si>
  <si>
    <t>Phase 2</t>
  </si>
  <si>
    <t>StrengtheningExercise/AerobicExercise</t>
  </si>
  <si>
    <t>CD/ACs</t>
  </si>
  <si>
    <t>WorkoutSession/Main</t>
  </si>
  <si>
    <t>Phase 3</t>
  </si>
  <si>
    <t>ExerciseVolume</t>
  </si>
  <si>
    <t>Phase 4</t>
  </si>
  <si>
    <t>apidocs/CD</t>
  </si>
  <si>
    <t>Person/StrengthExercise</t>
  </si>
  <si>
    <t>James App</t>
  </si>
  <si>
    <t>all but Main</t>
  </si>
  <si>
    <t>Main 
+ create class diagram</t>
  </si>
  <si>
    <t>apidocs
ACs</t>
  </si>
  <si>
    <t>JamesSystem
Account, CheckingAccount, SavingsAccount, Main</t>
  </si>
  <si>
    <t>Address, Person, Customer, Main
Adapt CD</t>
  </si>
  <si>
    <t>MyList
MyLinkedList</t>
  </si>
  <si>
    <t>Use Custom container (MyLinkedList)
Adapt CD</t>
  </si>
  <si>
    <t>Customer, Account</t>
  </si>
  <si>
    <t>IllegalOverdraftLimitException, CheckingAccount, TermnotReachedException, TermSavingsAccount, Main</t>
  </si>
  <si>
    <t>Phase 5</t>
  </si>
  <si>
    <t>write
class diagram</t>
  </si>
  <si>
    <t>read
class diagram</t>
  </si>
  <si>
    <t>Phase 6</t>
  </si>
  <si>
    <t>CheckingAccountTest</t>
  </si>
  <si>
    <t>JamesAppTest</t>
  </si>
  <si>
    <t>Phase 7</t>
  </si>
  <si>
    <t>sequence diagram</t>
  </si>
  <si>
    <t>Gesamtergebnis</t>
  </si>
  <si>
    <t>(Mehrere Elemente)</t>
  </si>
  <si>
    <t>stud2</t>
  </si>
  <si>
    <t>stud3</t>
  </si>
  <si>
    <t>apply polymorphism with simple custom subclasses.</t>
  </si>
  <si>
    <t>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</si>
</sst>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sz val="10"/>
      <color rgb="FF434343"/>
      <name val="Roboto"/>
      <charset val="1"/>
    </font>
    <font>
      <sz val="10"/>
      <color rgb="FF000000"/>
      <name val="Roboto"/>
      <charset val="1"/>
    </font>
    <font>
      <sz val="10"/>
      <color rgb="FF000000"/>
      <name val="Arial"/>
      <family val="2"/>
    </font>
    <font>
      <b/>
      <sz val="10"/>
      <color rgb="FFFFFFFF"/>
      <name val="Roboto"/>
      <charset val="1"/>
    </font>
    <font>
      <sz val="9"/>
      <color theme="1"/>
      <name val="Arial"/>
      <family val="2"/>
    </font>
    <font>
      <b/>
      <sz val="10"/>
      <color rgb="FFFFFFFF"/>
      <name val="Roboto"/>
    </font>
    <font>
      <b/>
      <sz val="10"/>
      <color rgb="FFFFC000"/>
      <name val="Roboto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535F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9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3E4791"/>
      </bottom>
      <diagonal/>
    </border>
    <border>
      <left style="thin">
        <color rgb="FF000000"/>
      </left>
      <right style="thin">
        <color rgb="FF3E4791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535FC1"/>
      </right>
      <top style="thin">
        <color rgb="FFCCCCCC"/>
      </top>
      <bottom style="thin">
        <color rgb="FF3E4791"/>
      </bottom>
      <diagonal/>
    </border>
    <border>
      <left style="thin">
        <color rgb="FFCCCCCC"/>
      </left>
      <right style="thin">
        <color rgb="FFFFFFFF"/>
      </right>
      <top style="thin">
        <color rgb="FFCCCCCC"/>
      </top>
      <bottom style="thin">
        <color rgb="FFC9DAF8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9DAF8"/>
      </bottom>
      <diagonal/>
    </border>
    <border>
      <left style="thin">
        <color rgb="FFCCCCCC"/>
      </left>
      <right style="thin">
        <color rgb="FFC9DAF8"/>
      </right>
      <top style="thin">
        <color rgb="FFCCCCCC"/>
      </top>
      <bottom style="thin">
        <color rgb="FFC9DAF8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/>
      <top style="thin">
        <color rgb="FFCCCCCC"/>
      </top>
      <bottom style="thin">
        <color rgb="FF3E4791"/>
      </bottom>
      <diagonal/>
    </border>
    <border>
      <left/>
      <right style="thin">
        <color rgb="FFCCCCCC"/>
      </right>
      <top style="thin">
        <color rgb="FFCCCCCC"/>
      </top>
      <bottom style="thin">
        <color rgb="FF3E4791"/>
      </bottom>
      <diagonal/>
    </border>
    <border>
      <left/>
      <right style="thin">
        <color rgb="FF000000"/>
      </right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/>
      <bottom/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/>
      <diagonal/>
    </border>
    <border>
      <left style="thin">
        <color rgb="FF535FC1"/>
      </left>
      <right/>
      <top style="thin">
        <color rgb="FF3E4791"/>
      </top>
      <bottom style="thin">
        <color rgb="FF3E4791"/>
      </bottom>
      <diagonal/>
    </border>
    <border>
      <left/>
      <right style="thin">
        <color rgb="FF535FC1"/>
      </right>
      <top style="thin">
        <color rgb="FF3E4791"/>
      </top>
      <bottom style="thin">
        <color rgb="FF3E4791"/>
      </bottom>
      <diagonal/>
    </border>
    <border>
      <left style="thin">
        <color rgb="FF535FC1"/>
      </left>
      <right/>
      <top/>
      <bottom/>
      <diagonal/>
    </border>
    <border>
      <left style="thin">
        <color theme="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rgb="FFCCCCCC"/>
      </left>
      <right/>
      <top style="thin">
        <color rgb="FF000000"/>
      </top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 style="thin">
        <color rgb="FF000000"/>
      </bottom>
      <diagonal/>
    </border>
    <border>
      <left/>
      <right style="thin">
        <color rgb="FFFFFFFF"/>
      </right>
      <top style="thin">
        <color rgb="FFCCCCCC"/>
      </top>
      <bottom style="thin">
        <color rgb="FFC9DAF8"/>
      </bottom>
      <diagonal/>
    </border>
    <border>
      <left/>
      <right style="thin">
        <color rgb="FFC9DAF8"/>
      </right>
      <top style="thin">
        <color rgb="FFCCCCCC"/>
      </top>
      <bottom style="thin">
        <color rgb="FFC9DAF8"/>
      </bottom>
      <diagonal/>
    </border>
    <border>
      <left style="thin">
        <color rgb="FFCCCCCC"/>
      </left>
      <right style="thin">
        <color rgb="FF000000"/>
      </right>
      <top/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6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4" xfId="0" applyFont="1" applyFill="1" applyBorder="1"/>
    <xf numFmtId="0" fontId="0" fillId="0" borderId="3" xfId="0" applyBorder="1"/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0" borderId="0" xfId="0" applyFont="1"/>
    <xf numFmtId="0" fontId="4" fillId="0" borderId="5" xfId="0" applyFont="1" applyBorder="1"/>
    <xf numFmtId="164" fontId="0" fillId="0" borderId="0" xfId="0" applyNumberFormat="1"/>
    <xf numFmtId="0" fontId="0" fillId="4" borderId="9" xfId="0" applyFill="1" applyBorder="1"/>
    <xf numFmtId="0" fontId="0" fillId="4" borderId="10" xfId="0" applyFill="1" applyBorder="1"/>
    <xf numFmtId="0" fontId="6" fillId="0" borderId="0" xfId="1"/>
    <xf numFmtId="0" fontId="0" fillId="0" borderId="0" xfId="0" applyAlignment="1">
      <alignment horizontal="left" indent="1"/>
    </xf>
    <xf numFmtId="0" fontId="3" fillId="0" borderId="2" xfId="0" applyFont="1" applyBorder="1"/>
    <xf numFmtId="0" fontId="0" fillId="0" borderId="5" xfId="0" applyBorder="1"/>
    <xf numFmtId="0" fontId="7" fillId="0" borderId="11" xfId="0" applyFont="1" applyBorder="1" applyAlignment="1">
      <alignment readingOrder="1"/>
    </xf>
    <xf numFmtId="0" fontId="7" fillId="0" borderId="12" xfId="0" applyFont="1" applyBorder="1" applyAlignment="1">
      <alignment readingOrder="1"/>
    </xf>
    <xf numFmtId="0" fontId="7" fillId="0" borderId="13" xfId="0" applyFont="1" applyBorder="1" applyAlignment="1">
      <alignment readingOrder="1"/>
    </xf>
    <xf numFmtId="0" fontId="7" fillId="0" borderId="14" xfId="0" applyFont="1" applyBorder="1" applyAlignment="1">
      <alignment readingOrder="1"/>
    </xf>
    <xf numFmtId="0" fontId="8" fillId="5" borderId="15" xfId="0" applyFont="1" applyFill="1" applyBorder="1" applyAlignment="1">
      <alignment readingOrder="1"/>
    </xf>
    <xf numFmtId="0" fontId="7" fillId="5" borderId="15" xfId="0" applyFont="1" applyFill="1" applyBorder="1" applyAlignment="1">
      <alignment readingOrder="1"/>
    </xf>
    <xf numFmtId="0" fontId="7" fillId="5" borderId="16" xfId="0" applyFont="1" applyFill="1" applyBorder="1" applyAlignment="1">
      <alignment readingOrder="1"/>
    </xf>
    <xf numFmtId="0" fontId="9" fillId="6" borderId="15" xfId="0" applyFont="1" applyFill="1" applyBorder="1" applyAlignment="1">
      <alignment readingOrder="1"/>
    </xf>
    <xf numFmtId="0" fontId="7" fillId="6" borderId="15" xfId="0" applyFont="1" applyFill="1" applyBorder="1" applyAlignment="1">
      <alignment readingOrder="1"/>
    </xf>
    <xf numFmtId="0" fontId="7" fillId="6" borderId="16" xfId="0" applyFont="1" applyFill="1" applyBorder="1" applyAlignment="1">
      <alignment readingOrder="1"/>
    </xf>
    <xf numFmtId="0" fontId="9" fillId="7" borderId="15" xfId="0" applyFont="1" applyFill="1" applyBorder="1" applyAlignment="1">
      <alignment readingOrder="1"/>
    </xf>
    <xf numFmtId="0" fontId="7" fillId="7" borderId="15" xfId="0" applyFont="1" applyFill="1" applyBorder="1" applyAlignment="1">
      <alignment readingOrder="1"/>
    </xf>
    <xf numFmtId="0" fontId="7" fillId="7" borderId="16" xfId="0" applyFont="1" applyFill="1" applyBorder="1" applyAlignment="1">
      <alignment readingOrder="1"/>
    </xf>
    <xf numFmtId="0" fontId="7" fillId="0" borderId="17" xfId="0" applyFont="1" applyBorder="1" applyAlignment="1">
      <alignment readingOrder="1"/>
    </xf>
    <xf numFmtId="0" fontId="7" fillId="0" borderId="18" xfId="0" applyFont="1" applyBorder="1" applyAlignment="1">
      <alignment readingOrder="1"/>
    </xf>
    <xf numFmtId="0" fontId="10" fillId="6" borderId="20" xfId="0" applyFont="1" applyFill="1" applyBorder="1" applyAlignment="1">
      <alignment readingOrder="1"/>
    </xf>
    <xf numFmtId="0" fontId="7" fillId="6" borderId="20" xfId="0" applyFont="1" applyFill="1" applyBorder="1" applyAlignment="1">
      <alignment readingOrder="1"/>
    </xf>
    <xf numFmtId="0" fontId="10" fillId="7" borderId="22" xfId="0" applyFont="1" applyFill="1" applyBorder="1" applyAlignment="1">
      <alignment readingOrder="1"/>
    </xf>
    <xf numFmtId="0" fontId="7" fillId="7" borderId="22" xfId="0" applyFont="1" applyFill="1" applyBorder="1" applyAlignment="1">
      <alignment readingOrder="1"/>
    </xf>
    <xf numFmtId="0" fontId="7" fillId="0" borderId="15" xfId="0" applyFont="1" applyBorder="1" applyAlignment="1">
      <alignment readingOrder="1"/>
    </xf>
    <xf numFmtId="0" fontId="7" fillId="0" borderId="16" xfId="0" applyFont="1" applyBorder="1" applyAlignment="1">
      <alignment readingOrder="1"/>
    </xf>
    <xf numFmtId="0" fontId="7" fillId="0" borderId="23" xfId="0" applyFont="1" applyBorder="1" applyAlignment="1">
      <alignment readingOrder="1"/>
    </xf>
    <xf numFmtId="0" fontId="7" fillId="0" borderId="24" xfId="0" applyFont="1" applyBorder="1" applyAlignment="1">
      <alignment readingOrder="1"/>
    </xf>
    <xf numFmtId="0" fontId="7" fillId="0" borderId="25" xfId="0" applyFont="1" applyBorder="1" applyAlignment="1">
      <alignment readingOrder="1"/>
    </xf>
    <xf numFmtId="0" fontId="9" fillId="0" borderId="15" xfId="0" applyFont="1" applyBorder="1" applyAlignment="1">
      <alignment readingOrder="1"/>
    </xf>
    <xf numFmtId="0" fontId="7" fillId="6" borderId="20" xfId="0" applyFont="1" applyFill="1" applyBorder="1" applyAlignment="1">
      <alignment readingOrder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0" xfId="0" applyFont="1" applyAlignment="1">
      <alignment readingOrder="1"/>
    </xf>
    <xf numFmtId="2" fontId="7" fillId="7" borderId="15" xfId="0" applyNumberFormat="1" applyFont="1" applyFill="1" applyBorder="1" applyAlignment="1">
      <alignment readingOrder="1"/>
    </xf>
    <xf numFmtId="2" fontId="7" fillId="7" borderId="16" xfId="0" applyNumberFormat="1" applyFont="1" applyFill="1" applyBorder="1" applyAlignment="1">
      <alignment readingOrder="1"/>
    </xf>
    <xf numFmtId="0" fontId="0" fillId="0" borderId="28" xfId="0" applyBorder="1"/>
    <xf numFmtId="0" fontId="13" fillId="5" borderId="19" xfId="0" applyFont="1" applyFill="1" applyBorder="1" applyAlignment="1">
      <alignment wrapText="1" readingOrder="1"/>
    </xf>
    <xf numFmtId="0" fontId="7" fillId="0" borderId="18" xfId="0" applyFont="1" applyBorder="1" applyAlignment="1">
      <alignment wrapText="1" readingOrder="1"/>
    </xf>
    <xf numFmtId="0" fontId="0" fillId="0" borderId="0" xfId="0" applyAlignment="1">
      <alignment wrapText="1"/>
    </xf>
    <xf numFmtId="0" fontId="9" fillId="0" borderId="11" xfId="0" applyFont="1" applyBorder="1" applyAlignment="1">
      <alignment readingOrder="1"/>
    </xf>
    <xf numFmtId="0" fontId="9" fillId="0" borderId="12" xfId="0" applyFont="1" applyBorder="1" applyAlignment="1">
      <alignment readingOrder="1"/>
    </xf>
    <xf numFmtId="0" fontId="9" fillId="0" borderId="14" xfId="0" applyFont="1" applyBorder="1" applyAlignment="1">
      <alignment readingOrder="1"/>
    </xf>
    <xf numFmtId="0" fontId="9" fillId="0" borderId="16" xfId="0" applyFont="1" applyBorder="1" applyAlignment="1">
      <alignment readingOrder="1"/>
    </xf>
    <xf numFmtId="0" fontId="9" fillId="0" borderId="24" xfId="0" applyFont="1" applyBorder="1" applyAlignment="1">
      <alignment readingOrder="1"/>
    </xf>
    <xf numFmtId="0" fontId="0" fillId="8" borderId="0" xfId="0" applyFill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2" borderId="0" xfId="0" applyFont="1" applyFill="1"/>
    <xf numFmtId="0" fontId="3" fillId="0" borderId="0" xfId="0" applyFont="1"/>
    <xf numFmtId="0" fontId="7" fillId="7" borderId="20" xfId="0" applyFont="1" applyFill="1" applyBorder="1" applyAlignment="1">
      <alignment readingOrder="1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6" borderId="20" xfId="0" applyFont="1" applyFill="1" applyBorder="1" applyAlignment="1">
      <alignment horizontal="center" readingOrder="1"/>
    </xf>
    <xf numFmtId="0" fontId="11" fillId="6" borderId="21" xfId="0" applyFont="1" applyFill="1" applyBorder="1" applyAlignment="1">
      <alignment horizontal="center" readingOrder="1"/>
    </xf>
    <xf numFmtId="0" fontId="12" fillId="7" borderId="22" xfId="0" applyFont="1" applyFill="1" applyBorder="1" applyAlignment="1">
      <alignment horizontal="center" readingOrder="1"/>
    </xf>
    <xf numFmtId="0" fontId="12" fillId="7" borderId="21" xfId="0" applyFont="1" applyFill="1" applyBorder="1" applyAlignment="1">
      <alignment horizontal="center" readingOrder="1"/>
    </xf>
    <xf numFmtId="0" fontId="14" fillId="6" borderId="20" xfId="0" applyFont="1" applyFill="1" applyBorder="1" applyAlignment="1">
      <alignment readingOrder="1"/>
    </xf>
    <xf numFmtId="0" fontId="14" fillId="7" borderId="22" xfId="0" applyFont="1" applyFill="1" applyBorder="1" applyAlignment="1">
      <alignment readingOrder="1"/>
    </xf>
    <xf numFmtId="0" fontId="5" fillId="0" borderId="6" xfId="0" applyFont="1" applyBorder="1"/>
    <xf numFmtId="0" fontId="5" fillId="3" borderId="6" xfId="0" applyFont="1" applyFill="1" applyBorder="1"/>
    <xf numFmtId="0" fontId="0" fillId="8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0" fontId="3" fillId="2" borderId="6" xfId="0" applyFont="1" applyFill="1" applyBorder="1" applyAlignment="1">
      <alignment vertical="top"/>
    </xf>
    <xf numFmtId="0" fontId="3" fillId="2" borderId="7" xfId="0" applyFont="1" applyFill="1" applyBorder="1" applyAlignment="1">
      <alignment vertical="top"/>
    </xf>
    <xf numFmtId="0" fontId="3" fillId="2" borderId="8" xfId="0" applyFont="1" applyFill="1" applyBorder="1" applyAlignment="1">
      <alignment vertical="top"/>
    </xf>
    <xf numFmtId="0" fontId="5" fillId="3" borderId="7" xfId="0" applyFont="1" applyFill="1" applyBorder="1" applyAlignment="1">
      <alignment vertical="top"/>
    </xf>
    <xf numFmtId="0" fontId="7" fillId="0" borderId="15" xfId="0" applyFont="1" applyBorder="1" applyAlignment="1">
      <alignment vertical="top" readingOrder="1"/>
    </xf>
    <xf numFmtId="0" fontId="3" fillId="2" borderId="0" xfId="0" applyFont="1" applyFill="1" applyAlignment="1">
      <alignment vertical="top"/>
    </xf>
    <xf numFmtId="0" fontId="5" fillId="3" borderId="2" xfId="0" applyFont="1" applyFill="1" applyBorder="1" applyAlignment="1">
      <alignment vertical="top"/>
    </xf>
    <xf numFmtId="0" fontId="0" fillId="0" borderId="0" xfId="0" applyAlignment="1">
      <alignment vertical="top" wrapText="1"/>
    </xf>
    <xf numFmtId="0" fontId="5" fillId="3" borderId="7" xfId="0" applyFont="1" applyFill="1" applyBorder="1" applyAlignment="1">
      <alignment vertical="top" wrapText="1"/>
    </xf>
    <xf numFmtId="0" fontId="7" fillId="0" borderId="40" xfId="0" applyFont="1" applyBorder="1" applyAlignment="1">
      <alignment readingOrder="1"/>
    </xf>
    <xf numFmtId="0" fontId="7" fillId="0" borderId="41" xfId="0" applyFont="1" applyBorder="1" applyAlignment="1">
      <alignment readingOrder="1"/>
    </xf>
    <xf numFmtId="0" fontId="7" fillId="0" borderId="26" xfId="0" applyFont="1" applyBorder="1" applyAlignment="1">
      <alignment readingOrder="1"/>
    </xf>
    <xf numFmtId="0" fontId="7" fillId="0" borderId="42" xfId="0" applyFont="1" applyBorder="1" applyAlignment="1">
      <alignment readingOrder="1"/>
    </xf>
    <xf numFmtId="0" fontId="11" fillId="6" borderId="43" xfId="0" applyFont="1" applyFill="1" applyBorder="1" applyAlignment="1">
      <alignment horizontal="center" readingOrder="1"/>
    </xf>
    <xf numFmtId="0" fontId="12" fillId="7" borderId="44" xfId="0" applyFont="1" applyFill="1" applyBorder="1" applyAlignment="1">
      <alignment horizontal="center" readingOrder="1"/>
    </xf>
    <xf numFmtId="0" fontId="7" fillId="0" borderId="29" xfId="0" applyFont="1" applyBorder="1" applyAlignment="1">
      <alignment readingOrder="1"/>
    </xf>
    <xf numFmtId="0" fontId="7" fillId="0" borderId="45" xfId="0" applyFont="1" applyBorder="1" applyAlignment="1">
      <alignment readingOrder="1"/>
    </xf>
    <xf numFmtId="0" fontId="7" fillId="5" borderId="46" xfId="0" applyFont="1" applyFill="1" applyBorder="1" applyAlignment="1">
      <alignment readingOrder="1"/>
    </xf>
    <xf numFmtId="0" fontId="7" fillId="6" borderId="46" xfId="0" applyFont="1" applyFill="1" applyBorder="1" applyAlignment="1">
      <alignment readingOrder="1"/>
    </xf>
    <xf numFmtId="0" fontId="7" fillId="7" borderId="46" xfId="0" applyFont="1" applyFill="1" applyBorder="1" applyAlignment="1">
      <alignment readingOrder="1"/>
    </xf>
    <xf numFmtId="0" fontId="7" fillId="0" borderId="46" xfId="0" applyFont="1" applyBorder="1" applyAlignment="1">
      <alignment readingOrder="1"/>
    </xf>
    <xf numFmtId="2" fontId="7" fillId="7" borderId="46" xfId="0" applyNumberFormat="1" applyFont="1" applyFill="1" applyBorder="1" applyAlignment="1">
      <alignment readingOrder="1"/>
    </xf>
    <xf numFmtId="0" fontId="0" fillId="3" borderId="6" xfId="0" applyFill="1" applyBorder="1" applyAlignment="1">
      <alignment wrapText="1"/>
    </xf>
    <xf numFmtId="0" fontId="7" fillId="0" borderId="18" xfId="0" applyFont="1" applyBorder="1" applyAlignment="1">
      <alignment vertical="center" wrapText="1" readingOrder="1"/>
    </xf>
    <xf numFmtId="0" fontId="16" fillId="5" borderId="32" xfId="0" applyFont="1" applyFill="1" applyBorder="1" applyAlignment="1">
      <alignment vertical="center" wrapText="1" readingOrder="1"/>
    </xf>
    <xf numFmtId="0" fontId="13" fillId="5" borderId="32" xfId="0" applyFont="1" applyFill="1" applyBorder="1" applyAlignment="1">
      <alignment vertical="center" wrapText="1" readingOrder="1"/>
    </xf>
    <xf numFmtId="0" fontId="15" fillId="5" borderId="32" xfId="0" applyFont="1" applyFill="1" applyBorder="1" applyAlignment="1">
      <alignment vertical="center" wrapText="1" readingOrder="1"/>
    </xf>
    <xf numFmtId="0" fontId="0" fillId="0" borderId="0" xfId="0" applyAlignment="1">
      <alignment vertical="center" wrapText="1"/>
    </xf>
    <xf numFmtId="0" fontId="13" fillId="5" borderId="33" xfId="0" applyFont="1" applyFill="1" applyBorder="1" applyAlignment="1">
      <alignment wrapText="1" readingOrder="1"/>
    </xf>
    <xf numFmtId="0" fontId="13" fillId="5" borderId="34" xfId="0" applyFont="1" applyFill="1" applyBorder="1" applyAlignment="1">
      <alignment wrapText="1" readingOrder="1"/>
    </xf>
    <xf numFmtId="0" fontId="1" fillId="0" borderId="0" xfId="0" applyFont="1"/>
    <xf numFmtId="0" fontId="9" fillId="0" borderId="26" xfId="0" applyFont="1" applyBorder="1" applyAlignment="1">
      <alignment horizontal="center" wrapText="1" readingOrder="1"/>
    </xf>
    <xf numFmtId="0" fontId="9" fillId="0" borderId="27" xfId="0" applyFont="1" applyBorder="1" applyAlignment="1">
      <alignment horizontal="center" wrapText="1" readingOrder="1"/>
    </xf>
    <xf numFmtId="0" fontId="10" fillId="7" borderId="29" xfId="0" applyFont="1" applyFill="1" applyBorder="1" applyAlignment="1">
      <alignment horizontal="center" vertical="center" readingOrder="1"/>
    </xf>
    <xf numFmtId="0" fontId="10" fillId="7" borderId="30" xfId="0" applyFont="1" applyFill="1" applyBorder="1" applyAlignment="1">
      <alignment horizontal="center" vertical="center" readingOrder="1"/>
    </xf>
    <xf numFmtId="0" fontId="10" fillId="7" borderId="31" xfId="0" applyFont="1" applyFill="1" applyBorder="1" applyAlignment="1">
      <alignment horizontal="center" vertical="center" readingOrder="1"/>
    </xf>
    <xf numFmtId="0" fontId="13" fillId="5" borderId="35" xfId="0" applyFont="1" applyFill="1" applyBorder="1" applyAlignment="1">
      <alignment horizontal="center" wrapText="1" readingOrder="1"/>
    </xf>
    <xf numFmtId="0" fontId="13" fillId="5" borderId="0" xfId="0" applyFont="1" applyFill="1" applyAlignment="1">
      <alignment horizontal="center" wrapText="1" readingOrder="1"/>
    </xf>
    <xf numFmtId="0" fontId="3" fillId="2" borderId="38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6" xfId="0" applyFont="1" applyFill="1" applyBorder="1" applyAlignment="1">
      <alignment horizontal="center" vertical="top"/>
    </xf>
    <xf numFmtId="0" fontId="3" fillId="2" borderId="7" xfId="0" applyFont="1" applyFill="1" applyBorder="1" applyAlignment="1">
      <alignment horizontal="center" vertical="top"/>
    </xf>
    <xf numFmtId="0" fontId="3" fillId="2" borderId="37" xfId="0" applyFont="1" applyFill="1" applyBorder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0" fillId="0" borderId="0" xfId="0" applyNumberFormat="1"/>
  </cellXfs>
  <cellStyles count="2">
    <cellStyle name="Link" xfId="1" builtinId="8"/>
    <cellStyle name="Standard" xfId="0" builtinId="0"/>
  </cellStyles>
  <dxfs count="118">
    <dxf>
      <numFmt numFmtId="0" formatCode="General"/>
      <border diagonalUp="0" diagonalDown="0">
        <left style="thin">
          <color indexed="64"/>
        </left>
        <right/>
        <vertic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ill>
        <patternFill patternType="none"/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7CE"/>
        </patternFill>
      </fill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vertical/>
      </border>
    </dxf>
    <dxf>
      <numFmt numFmtId="0" formatCode="General"/>
    </dxf>
    <dxf>
      <fill>
        <patternFill patternType="none"/>
      </fill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color rgb="FF000000"/>
      </font>
    </dxf>
    <dxf>
      <font>
        <color rgb="FF000000"/>
        <name val="Calibri"/>
        <scheme val="minor"/>
      </font>
    </dxf>
    <dxf>
      <font>
        <color rgb="FF000000"/>
        <name val="Calibri"/>
        <scheme val="minor"/>
      </font>
    </dxf>
    <dxf>
      <font>
        <color rgb="FF000000"/>
        <name val="Calibri"/>
        <scheme val="minor"/>
      </font>
    </dxf>
    <dxf>
      <font>
        <color rgb="FF000000"/>
      </font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font>
        <color rgb="FF9C0006"/>
      </font>
    </dxf>
    <dxf>
      <font>
        <color theme="5"/>
      </font>
    </dxf>
    <dxf>
      <font>
        <color rgb="FF00B050"/>
      </font>
    </dxf>
    <dxf>
      <font>
        <color rgb="FF9C0006"/>
      </font>
    </dxf>
    <dxf>
      <font>
        <color theme="5"/>
      </font>
    </dxf>
    <dxf>
      <font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5"/>
      </font>
    </dxf>
    <dxf>
      <font>
        <color rgb="FF00B050"/>
      </font>
    </dxf>
    <dxf>
      <font>
        <color rgb="FF9C0006"/>
      </font>
    </dxf>
    <dxf>
      <font>
        <color theme="5"/>
      </font>
    </dxf>
    <dxf>
      <font>
        <color rgb="FF00B050"/>
      </font>
    </dxf>
  </dxfs>
  <tableStyles count="0" defaultTableStyle="TableStyleMedium2" defaultPivotStyle="PivotStyleLight16"/>
  <colors>
    <mruColors>
      <color rgb="FFC9DA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[OOPL_LEOS_Points.xlsm]STATISTICS!PivotTable2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Exercise count per LEO and level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STATISTICS!$B$3:$B$4</c:f>
              <c:strCache>
                <c:ptCount val="1"/>
                <c:pt idx="0">
                  <c:v>Gesamtergebnis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STATISTICS!$A$5</c:f>
              <c:strCache>
                <c:ptCount val="1"/>
                <c:pt idx="0">
                  <c:v>Gesamtergebnis</c:v>
                </c:pt>
              </c:strCache>
            </c:strRef>
          </c:cat>
          <c:val>
            <c:numRef>
              <c:f>STATISTICS!$B$5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2B62-461D-948C-DBC676EAB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155530247"/>
        <c:axId val="155532295"/>
      </c:barChart>
      <c:catAx>
        <c:axId val="1555302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LEO_shortName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32295"/>
        <c:crosses val="autoZero"/>
        <c:auto val="1"/>
        <c:lblAlgn val="ctr"/>
        <c:lblOffset val="100"/>
        <c:noMultiLvlLbl val="0"/>
      </c:catAx>
      <c:valAx>
        <c:axId val="155532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MLEO_ID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3024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[OOPL_LEOS_Points.xlsm]STATISTICS!MLEOs per LEO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MLEO count per LEO and level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STATISTICS!$B$32:$B$33</c:f>
              <c:strCache>
                <c:ptCount val="1"/>
                <c:pt idx="0">
                  <c:v>APPLY_TO_SIMILAR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STATISTICS!$A$34:$A$35</c:f>
              <c:strCache>
                <c:ptCount val="1"/>
                <c:pt idx="0">
                  <c:v>TESTING</c:v>
                </c:pt>
              </c:strCache>
            </c:strRef>
          </c:cat>
          <c:val>
            <c:numRef>
              <c:f>STATISTICS!$B$34:$B$35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6F-4A0A-AC01-C231EBF5C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261601799"/>
        <c:axId val="261612039"/>
      </c:barChart>
      <c:catAx>
        <c:axId val="2616017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Parent_ShortName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612039"/>
        <c:crosses val="autoZero"/>
        <c:auto val="1"/>
        <c:lblAlgn val="ctr"/>
        <c:lblOffset val="100"/>
        <c:noMultiLvlLbl val="0"/>
      </c:catAx>
      <c:valAx>
        <c:axId val="261612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60179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28575</xdr:rowOff>
    </xdr:from>
    <xdr:to>
      <xdr:col>14</xdr:col>
      <xdr:colOff>0</xdr:colOff>
      <xdr:row>31</xdr:row>
      <xdr:rowOff>28575</xdr:rowOff>
    </xdr:to>
    <xdr:graphicFrame macro="">
      <xdr:nvGraphicFramePr>
        <xdr:cNvPr id="3" name="Chart 2" descr="Chart type: Stacked Bar. 'MLEO_ID' by 'LEO_shortName' and 'MLEO_Level'&#10;&#10;Description automatically generated">
          <a:extLst>
            <a:ext uri="{FF2B5EF4-FFF2-40B4-BE49-F238E27FC236}">
              <a16:creationId xmlns:a16="http://schemas.microsoft.com/office/drawing/2014/main" id="{DD1C0CF8-A7BF-D672-ACC0-FC881F836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32</xdr:row>
      <xdr:rowOff>9525</xdr:rowOff>
    </xdr:from>
    <xdr:to>
      <xdr:col>14</xdr:col>
      <xdr:colOff>9525</xdr:colOff>
      <xdr:row>60</xdr:row>
      <xdr:rowOff>180975</xdr:rowOff>
    </xdr:to>
    <xdr:graphicFrame macro="">
      <xdr:nvGraphicFramePr>
        <xdr:cNvPr id="2" name="Chart 1" descr="Chart type: Stacked Bar. 'ID' by 'Parent_ShortName' and 'knowledge level'&#10;&#10;Description automatically generated">
          <a:extLst>
            <a:ext uri="{FF2B5EF4-FFF2-40B4-BE49-F238E27FC236}">
              <a16:creationId xmlns:a16="http://schemas.microsoft.com/office/drawing/2014/main" id="{F7F317FA-F2FE-200C-3B04-B280316E6D88}"/>
            </a:ext>
            <a:ext uri="{147F2762-F138-4A5C-976F-8EAC2B608ADB}">
              <a16:predDERef xmlns:a16="http://schemas.microsoft.com/office/drawing/2014/main" pred="{DD1C0CF8-A7BF-D672-ACC0-FC881F836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688.37243275463" createdVersion="8" refreshedVersion="8" minRefreshableVersion="3" recordCount="105" xr:uid="{935D438E-A06C-458F-A593-0C99B165683F}">
  <cacheSource type="worksheet">
    <worksheetSource ref="A1:G1048576" sheet="MLEOs"/>
  </cacheSource>
  <cacheFields count="7">
    <cacheField name="ID" numFmtId="0">
      <sharedItems containsBlank="1"/>
    </cacheField>
    <cacheField name="Parent" numFmtId="0">
      <sharedItems containsBlank="1" count="18">
        <s v="LEO_00"/>
        <s v="LEO_01"/>
        <s v="LEO_02"/>
        <s v="LEO_03"/>
        <s v="LEO_04"/>
        <s v="LEO_06"/>
        <s v="LEO_08"/>
        <s v="LEO_09"/>
        <s v="LEO_10"/>
        <s v="LEO_11"/>
        <m/>
        <s v="LEO_12" u="1"/>
        <s v="LEO_13" u="1"/>
        <s v="LEO_14" u="1"/>
        <s v="LEO_15" u="1"/>
        <s v="LEO_16" u="1"/>
        <s v="LEO_17" u="1"/>
        <s v="LEO_99" u="1"/>
      </sharedItems>
    </cacheField>
    <cacheField name="knowledge level" numFmtId="0">
      <sharedItems containsBlank="1" count="5">
        <s v="APPLY_TO_SIMILAR"/>
        <m/>
        <s v="COMPREHEND" u="1"/>
        <s v="KNOW_TERMS" u="1"/>
        <s v="APPLY_TO_NEW" u="1"/>
      </sharedItems>
    </cacheField>
    <cacheField name="shortName" numFmtId="0">
      <sharedItems containsBlank="1"/>
    </cacheField>
    <cacheField name="description" numFmtId="0">
      <sharedItems containsBlank="1"/>
    </cacheField>
    <cacheField name="Parent_ShortName" numFmtId="0">
      <sharedItems containsBlank="1" count="29">
        <s v="BASIC_CLASSES"/>
        <s v="CLASSES"/>
        <s v="BASIC_INHERITANCE"/>
        <s v="INHERITANCE"/>
        <s v="ABSTRACT_INTERFACE"/>
        <s v="EXCEPTIONS"/>
        <s v="TESTING"/>
        <s v="CLASS_DIAGRAM"/>
        <s v="SEQUENCE_DIAGRAM"/>
        <e v="#N/A"/>
        <m/>
        <s v="COLLECTIONS_GENERICS" u="1"/>
        <s v="FILE_IO_EXCEPTIONS" u="1"/>
        <s v="HELLO_WORLD" u="1"/>
        <s v="FORMATTED_OUTPUT" u="1"/>
        <s v="ARITHMETIC" u="1"/>
        <s v="SELECTION" u="1"/>
        <s v="ITERATION" u="1"/>
        <s v="STRINGS" u="1"/>
        <s v="SIMPLE_FUNCTIONS" u="1"/>
        <s v="SIMPLE_RECURSION" u="1"/>
        <s v="ARRAYS" u="1"/>
        <s v="ARRAYS_AND_FUNCTIONS" u="1"/>
        <s v="MULTIDIMENSIONAL_ARRAYS" u="1"/>
        <s v="SORT_AND_SEARCH" u="1"/>
        <s v="DATA_STRUCTURES" u="1"/>
        <s v="COMPOUND_DATATYPES" u="1"/>
        <s v="INPUT_CALCULATE_OUTPUT" u="1"/>
        <s v="APPLICATIONS" u="1"/>
      </sharedItems>
    </cacheField>
    <cacheField name="textual rela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688.37243275463" createdVersion="8" refreshedVersion="8" minRefreshableVersion="3" recordCount="259" xr:uid="{6E4FF4AB-885D-410E-B02C-0E4033591ECA}">
  <cacheSource type="worksheet">
    <worksheetSource name="Table8"/>
  </cacheSource>
  <cacheFields count="12">
    <cacheField name="ME_ID" numFmtId="0">
      <sharedItems/>
    </cacheField>
    <cacheField name="ME_shortName" numFmtId="0">
      <sharedItems count="305">
        <s v="dummyME"/>
        <e v="#VALUE!"/>
        <e v="#N/A" u="1"/>
        <s v="INSTALL_JDK" u="1"/>
        <s v="INSTALL_IDE" u="1"/>
        <s v="HELLO_WORLD_KNOW_QUIZ" u="1"/>
        <s v="HELLO_WORLD_COMPREHEND_QUIZ" u="1"/>
        <s v="HELLO_COURSE_APPLICATION" u="1"/>
        <s v="FORMATTED_OUTPUT_KNOW_QUIZ" u="1"/>
        <s v="FORMATTED_OUTPUT_COMPREHEND_QUIZ" u="1"/>
        <s v="Escape Characters" u="1"/>
        <s v="Gesicht" u="1"/>
        <s v="NeighborOfTheBEast" u="1"/>
        <s v="TheLifeOfPi" u="1"/>
        <s v="AirlineTicketFormat" u="1"/>
        <s v="HelloAndGoodbye" u="1"/>
        <s v="VARIABLES_KNOW_QUIZ" u="1"/>
        <s v="VARIABLES_COMPREHEND_QUIZ" u="1"/>
        <s v="INTEGER_ARITHMETIC_KNOW_QUIZ" u="1"/>
        <s v="INTEGER_ARITHMETIC_COMPREHEND_QUIZ" u="1"/>
        <s v="DOUBLE_ARITHMETIC_KNOW_QUIZ" u="1"/>
        <s v="DOUBLE_ARITHMETIC_COMPREHEND_QUIZ" u="1"/>
        <s v="MIXED_ARITHMETIC_KNOW_QUIZ" u="1"/>
        <s v="MIXED_ARITHMETIC_COMPREHEND_QUIZ" u="1"/>
        <s v="Swapper" u="1"/>
        <s v="SwapInPlace" u="1"/>
        <s v="IntervalleSchliessen" u="1"/>
        <s v="IntervalleSchneiden" u="1"/>
        <s v="Milch" u="1"/>
        <s v="DateFormatConverter" u="1"/>
        <s v="EANCheck" u="1"/>
        <s v="GradeChecker" u="1"/>
        <s v="LeftOrRight" u="1"/>
        <s v="SingleCollatz" u="1"/>
        <s v="CO2-Steuer" u="1"/>
        <s v="ImporvedGradeChecker" u="1"/>
        <s v="NumberEnding" u="1"/>
        <s v="SimpleBMI" u="1"/>
        <s v="TimeFormatConverter" u="1"/>
        <s v="TimeIntervall" u="1"/>
        <s v="CONDITIONAL_KNOW_QUIZ" u="1"/>
        <s v="RELATIONAL_OPERATORS_KNOW_QUIZ" u="1"/>
        <s v="LOGICAL_OPERATORS_KNOW_QUIZ" u="1"/>
        <s v="CONDITIONAL_COMPREHEND_QUIZ" u="1"/>
        <s v="SINGLE_ALTERNATIVE_KNOW_QUIZ" u="1"/>
        <s v="SINGLE_ALTERNATIVE_COMPREHEND_QUIZ" u="1"/>
        <s v="CONSECUTIVE_IF_COMPREHEND_QUIZ" u="1"/>
        <s v="NESTED_IF_COMPREHEND_QUIZ" u="1"/>
        <s v="MULTIPLE_ALTERNATIVE_COMPREHEND_QUIZ" u="1"/>
        <s v="Artikelnummern" u="1"/>
        <s v="Classifier" u="1"/>
        <s v="Datum" u="1"/>
        <s v="GroesseGewicht" u="1"/>
        <s v="LeapChecker" u="1"/>
        <s v="MinMidMax" u="1"/>
        <s v="Noten" u="1"/>
        <s v="SimpleDateValidation" u="1"/>
        <s v="Steakhouse" u="1"/>
        <s v="Weekdays" u="1"/>
        <s v="Zeit" u="1"/>
        <s v="GuessingGame" u="1"/>
        <s v="InputLoop" u="1"/>
        <s v="InputLoopCount" u="1"/>
        <s v="InputLoopMax" u="1"/>
        <s v="InputLoopMean" u="1"/>
        <s v="InputLoopMinIdx" u="1"/>
        <s v="InputLoopSum" u="1"/>
        <s v="Jahressaldo" u="1"/>
        <s v="Diagonale" u="1"/>
        <s v="Fensterkreuz" u="1"/>
        <s v="Fitz" u="1"/>
        <s v="FitzQuack" u="1"/>
        <s v="FitzQuackLess" u="1"/>
        <s v="CollatzSequence" u="1"/>
        <s v="CountDown" u="1"/>
        <s v="LoopCounter" u="1"/>
        <s v="WHILE_KNOW_QUIZ" u="1"/>
        <s v="WHILE_COMPREHEND_QUIZ" u="1"/>
        <s v="COUNTER_CONTROLLED_COMPREHEND_QUIZ" u="1"/>
        <s v="FOR_KNOW_QUIZ" u="1"/>
        <s v="FOR_COMPREHEND_QUIZ" u="1"/>
        <s v="NESTED_LOOPS_COMPREHEND_QUIZ" u="1"/>
        <s v="NeatMultTable" u="1"/>
        <s v="Rechengitter" u="1"/>
        <s v="RoboterSTeuerung" u="1"/>
        <s v="SimpleVendingMAchine" u="1"/>
        <s v="TickTrickTrack" u="1"/>
        <s v="Walker" u="1"/>
        <s v="LoopStatistics" u="1"/>
        <s v="MalReihe" u="1"/>
        <s v="MinMaxSumOf4Of5" u="1"/>
        <s v="Notenstatistik" u="1"/>
        <s v="OneMonthCalendar" u="1"/>
        <s v="Platzierung" u="1"/>
        <s v="Trainingsphase" u="1"/>
        <s v="STRINGS_KNOW_QUIZ" u="1"/>
        <s v="STRINGS_COMPREHEND_QUIZ" u="1"/>
        <s v="Hangman" u="1"/>
        <s v="SIMPLE_FUNCTIONS_KNOW_QUIZ" u="1"/>
        <s v="SIMPLE_FUNCTIONS_COMPREHEND_QUIZ" u="1"/>
        <s v="BMI" u="1"/>
        <s v="ColorFunctions" u="1"/>
        <s v="MilchFun" u="1"/>
        <s v="TimeCalculations" u="1"/>
        <s v="WeekdaysFunctions" u="1"/>
        <s v="SIMPLE_FUNCTIONS_APPLY_NEW_QUIZ" u="1"/>
        <s v="SIMPLE_RECURSION_COMPREHEND_QUIZ" u="1"/>
        <s v="CountFibonacciCalls" u="1"/>
        <s v="PowerRecursive" u="1"/>
        <s v="PrintFactorialRec" u="1"/>
        <s v="Hanoi" u="1"/>
        <s v="PrintArrayLine" u="1"/>
        <s v="PrintArrayRow" u="1"/>
        <s v="PrintArrayWithIndex" u="1"/>
        <s v="PrintArrayBackToFront" u="1"/>
        <s v="ArraySum" u="1"/>
        <s v="ArrayMin" u="1"/>
        <s v="ArrayMaxIndex" u="1"/>
        <s v="ArrayCountBelow" u="1"/>
        <s v="ArraySumRange" u="1"/>
        <s v="ArrayFilterEvenValues" u="1"/>
        <s v="ArrayFilterEvenPositions" u="1"/>
        <s v="ArryFilterEvenShowPositions" u="1"/>
        <s v="ArrayFilterRange" u="1"/>
        <s v="CreateArrayArbitraryLength" u="1"/>
        <s v="CreateArrayOnes" u="1"/>
        <s v="CreateArrayConstant" u="1"/>
        <s v="CreateArrayLinear" u="1"/>
        <s v="CreateArrayLinearFlexible" u="1"/>
        <s v="ArrayCreateCollatz" u="1"/>
        <s v="ArrayCreateFibonacci" u="1"/>
        <s v="CreateRandomArray" u="1"/>
        <s v="ReadArray" u="1"/>
        <s v="ReadArrayPartial" u="1"/>
        <s v="ReadArrayAnySize" u="1"/>
        <s v="PrintArrayReverse" u="1"/>
        <s v="ARRAY_KNOW_QUIZ" u="1"/>
        <s v="ARRAY_COMPREHEND_QUIZ" u="1"/>
        <s v="Audio" u="1"/>
        <s v="Erathostenes" u="1"/>
        <s v="GreaterLeft" u="1"/>
        <s v="HundredDoors" u="1"/>
        <s v="InversionCount" u="1"/>
        <s v="Motor" u="1"/>
        <s v="Strom" u="1"/>
        <s v="SunsetView" u="1"/>
        <s v="LiftValuesArrayFun" u="1"/>
        <s v="ScaleValuesArrayFun" u="1"/>
        <s v="NormalizeArrayFun" u="1"/>
        <s v="CollatzifyArrayFun" u="1"/>
        <s v="@@@TODO@@@ChangeSignArrayFun" u="1"/>
        <s v="RunningAverageFun" u="1"/>
        <s v="TrendsArrayFun" u="1"/>
        <s v="ARRAYS_AND_FUNCTIONS_COMPREHEND_QUIZ" u="1"/>
        <s v="PrintArrayFun" u="1"/>
        <s v="ScanArrayFun" u="1"/>
        <s v="AggregateArrayFun" u="1"/>
        <s v="CreateArrayFun" u="1"/>
        <s v="@@@TODO@@@LinearFillArrayFun" u="1"/>
        <s v="@@@TODO@@@ShiftRArrayFun" u="1"/>
        <s v="ShiftLArrayNFun" u="1"/>
        <s v="RotateArrayFun" u="1"/>
        <s v="PermuteArrayFun" u="1"/>
        <s v="InsertAtArrayFun" u="1"/>
        <s v="RemoveAtArrayFun" u="1"/>
        <s v="ReverseArrayFun" u="1"/>
        <s v="CopyArrayFun" u="1"/>
        <s v="ResizeArrayFun" u="1"/>
        <s v="FilterArrayFun" u="1"/>
        <s v="@@@TODO@@@ConvolveArray" u="1"/>
        <s v="ArrayUpAndDown" u="1"/>
        <s v="PartyHandshake" u="1"/>
        <s v="Waehrung" u="1"/>
        <s v="AggregateRecursive" u="1"/>
        <s v="PrintReverseRecursive" u="1"/>
        <s v="ZooManager" u="1"/>
        <s v="GetrimmtesMittel" u="1"/>
        <s v="MULTIDIMENSIONAL_ARRAYS_KNOW_QUIZ" u="1"/>
        <s v="MULTIDIMENSIONAL_ARRAYS_COMPREHEND_QUIZ" u="1"/>
        <s v="Print2DimArray" u="1"/>
        <s v="Eye" u="1"/>
        <s v="RowSum" u="1"/>
        <s v="ColSums" u="1"/>
        <s v="MaxCol" u="1"/>
        <s v="MaxRowIdx" u="1"/>
        <s v="DiagonalSum" u="1"/>
        <s v="SparseDeflate" u="1"/>
        <s v="MatrixMulitplication" u="1"/>
        <s v="Scan2DimArray" u="1"/>
        <s v="ArrayWalker" u="1"/>
        <s v="GameOfLife" u="1"/>
        <s v="NumberPAirs" u="1"/>
        <s v="Umsaetze" u="1"/>
        <s v="CMOSHistogram" u="1"/>
        <s v="BASIC_SORTING_TRACE_QUIZ" u="1"/>
        <s v="BASIC_SORTING_DERIVE_QUIZ" u="1"/>
        <s v="InsertionSort" u="1"/>
        <s v="QuickSort" u="1"/>
        <s v="SelSort" u="1"/>
        <s v="SortIndex" u="1"/>
        <s v="InsertionSortReverse" u="1"/>
        <s v="SmallestDifference" u="1"/>
        <s v="STACK_QUEUE_KNOW_QUIZ" u="1"/>
        <s v="STACK_QUEUE_COMPREHEND_QUIZ" u="1"/>
        <s v="URLStack" u="1"/>
        <s v="PrinterQueue" u="1"/>
        <s v="ArrayWalkerUndoRedo" u="1"/>
        <s v="Postfix" u="1"/>
        <s v="BrowserHistory" u="1"/>
        <s v="GRAPHS_KNOW_QUIZ" u="1"/>
        <s v="GRAPHS_COMPREHEND_QUIZ" u="1"/>
        <s v="ReadGraph" u="1"/>
        <s v="ShortestPath" u="1"/>
        <s v="TESTING_DEBUGGER_BREAKPOINT_QUIZ" u="1"/>
        <s v="TESTING_CASES_QUIZ" u="1"/>
        <s v="SIMPLE_COMPOUND_DATA_TYPES_KNOW_QUIZ" u="1"/>
        <s v="SIMPLE_COMPOUND_DATA_TYPES_COMPREHEND_QUIZ" u="1"/>
        <s v="PrintCompundDataType" u="1"/>
        <s v="ScanCompundDataType" u="1"/>
        <s v="ModifyCompundDataType" u="1"/>
        <s v="SIMPLE_COMPOUND_DATA_TYPES_AND_FUNCTIONS_COMPREHEND_QUIZ" u="1"/>
        <s v="PrintCompundDataTypeFun" u="1"/>
        <s v="ScanCompundDataTypeFun" u="1"/>
        <s v="ModifyCompundDataTypeFun" u="1"/>
        <s v="CompareCompundDataTypeFun" u="1"/>
        <s v="CopyCompundDataTypeFun" u="1"/>
        <s v="EqualsCompundDataTypeFun" u="1"/>
        <s v="CreateCompundDataTypeFun" u="1"/>
        <s v="COMPOUND_DATA_TYPES_AND_ARRAYS_COMPREHEND_QUIZ" u="1"/>
        <s v="PrintArrayOfCompundDataType" u="1"/>
        <s v="@@@TODO@@@ ScanArrayOfCompoundDataType" u="1"/>
        <s v="AggregateArrayOfCompoundDataType" u="1"/>
        <s v="SortArrayOfCompundDataType" u="1"/>
        <s v="@@@TODO@@@ MultiSortArrayOfCompoundDataType" u="1"/>
        <s v="PrintArrayAsAttribute" u="1"/>
        <s v="COMPOUND_DATA_TYPES_AS_ATTRIBUTES_COMPREHEND_QUIZ" u="1"/>
        <s v="PrintCompundDataTypeWithAttachedObject" u="1"/>
        <s v="@@@TODO@@@ ModifyCompundDataTypeWithAttachedObject" u="1"/>
        <s v="CopyCompundDataTypeWithAttachedObject" u="1"/>
        <s v="AnnaOrElsa" u="1"/>
        <s v="LendItems" u="1"/>
        <s v="Zahlendreher" u="1"/>
        <s v="MMDDYYY" u="1"/>
        <s v="Geburtsdatum" u="1"/>
        <s v="TimeCalculator" u="1"/>
        <s v="Tax" u="1"/>
        <s v="Cube" u="1"/>
        <s v="CelcsiusToFahrenheit" u="1"/>
        <s v="HandyTarif" u="1"/>
        <s v="ReandAndPrintPersonDetail" u="1"/>
        <s v="Oktal" u="1"/>
        <s v="ReadAndPrintTime" u="1"/>
        <s v="Rhombus" u="1"/>
        <s v="Karte" u="1"/>
        <s v="NumberEchoUntilTwice" u="1"/>
        <s v="@@@TODO@@@LiftValuesArrayFun" u="1"/>
        <s v="@@@TODO@@@ScaleValuesArrayFun" u="1"/>
        <s v="@@@TODO@@@NormalizeArrayFun" u="1"/>
        <s v="@@@TODO@@@CollatzifyArrayFun" u="1"/>
        <s v="@@@TODO@@@RunningAverageFun" u="1"/>
        <s v="@@@TODO@@@TrendsArrayFun" u="1"/>
        <s v="@@@TODO@@@PrintArrayFun" u="1"/>
        <s v="@@@TODO@@@ScanArrayFun" u="1"/>
        <s v="@@@TODO@@@AggregateArrayFun" u="1"/>
        <s v="@@@TODO@@@CreateArrayFun" u="1"/>
        <s v="@@@TODO@@@ShiftLArrayNFun" u="1"/>
        <s v="@@@TODO@@@RotateArrayFun" u="1"/>
        <s v="@@@TODO@@@PermuteArrayFun" u="1"/>
        <s v="@@@TODO@@@InsertAtArrayFun" u="1"/>
        <s v="@@@TODO@@@RemoveAtArrayFun" u="1"/>
        <s v="@@@TODO@@@ReverseArrayFun" u="1"/>
        <s v="@@@TODO@@@CopyArrayFun" u="1"/>
        <s v="@@@TODO@@@ResizeArrayFun" u="1"/>
        <s v="@@@TODO@@@FilterArrayFun" u="1"/>
        <s v="@@@TODO@@@AggregateRecursive" u="1"/>
        <s v="@@@TODO@@@ PrintReverseRecursive" u="1"/>
        <s v="@@@TODO@@@ URLStack" u="1"/>
        <s v="@@@TODO@@@ PrinterQueue" u="1"/>
        <s v="@@@TODO@@@ BrowserHistory" u="1"/>
        <s v="SIMPLE_COMPUND_DATA_TYPES_KNOW_QUIZ" u="1"/>
        <s v="SIMPLE_COMPUND_DATA_TYPES_COMPREHEND_QUIZ" u="1"/>
        <s v="@@@TODO@@@ PrintCompundDataType" u="1"/>
        <s v="@@@TODO@@@ ScanCompundDataType" u="1"/>
        <s v="@@@TODO@@@ ModifyCompundDataType" u="1"/>
        <s v="SIMPLE_COMPUND_DATA_TYPES_AND_FUNCTIONS_COMPREHEND_QUIZ" u="1"/>
        <s v="@@@TODO@@@ PrintCompundDataTypeFun" u="1"/>
        <s v="@@@TODO@@@ ScanCompundDataTypeFun" u="1"/>
        <s v="@@@TODO@@@ ModifyCompundDataTypeFun" u="1"/>
        <s v="@@@TODO@@@ CompareCompundDataTypeFun" u="1"/>
        <s v="@@@TODO@@@ CopyCompundDataTypeFun" u="1"/>
        <s v="COMPUND_DATA_TYPES_AND_ARRAYS_COMPREHEND_QUIZ" u="1"/>
        <s v="@@@TODO@@@ PrintArrayOfCompundDataType" u="1"/>
        <s v="@@@TODO@@@ ScanArrayOfCompundDataType" u="1"/>
        <s v="@@@TODO@@@ AggregateArrayOfCompundDataType" u="1"/>
        <s v="@@@TODO@@@ SortArrayOfCompundDataType" u="1"/>
        <s v="@@@TODO@@@ MultiSortArrayOfCompundDataType" u="1"/>
        <s v="@@@TODO@@@ PrintArrayAsAttribute" u="1"/>
        <s v="@@@TODO@@@ PrintCompundDataTypeWithAttachedObject" u="1"/>
        <s v="@@@TODO@@@ CopyCompundDataTypeWithAttachedObject" u="1"/>
        <s v="FilterEven" u="1"/>
        <s v="FilterEvenPositions" u="1"/>
        <s v="FilterEvenShowPositions" u="1"/>
        <s v="FilterRange" u="1"/>
        <s v="CreateCollatzArray" u="1"/>
        <s v="CreateFibonacciArray" u="1"/>
      </sharedItems>
    </cacheField>
    <cacheField name="ME_description" numFmtId="0">
      <sharedItems/>
    </cacheField>
    <cacheField name="MLEO_ID" numFmtId="0">
      <sharedItems/>
    </cacheField>
    <cacheField name="MLEO_shortName" numFmtId="0">
      <sharedItems/>
    </cacheField>
    <cacheField name="MLEO_description" numFmtId="0">
      <sharedItems/>
    </cacheField>
    <cacheField name="MLEO_Level" numFmtId="0">
      <sharedItems count="6">
        <s v="APPLY_TO_SIMILAR"/>
        <e v="#VALUE!"/>
        <e v="#N/A" u="1"/>
        <s v="COMPREHEND" u="1"/>
        <s v="KNOW_TERMS" u="1"/>
        <s v="APPLY_TO_NEW" u="1"/>
      </sharedItems>
    </cacheField>
    <cacheField name="LEO" numFmtId="0">
      <sharedItems/>
    </cacheField>
    <cacheField name="LEO_shortName" numFmtId="0">
      <sharedItems count="20">
        <s v="BASIC_CLASSES"/>
        <e v="#VALUE!"/>
        <e v="#N/A" u="1"/>
        <s v="HELLO_WORLD" u="1"/>
        <s v="FORMATTED_OUTPUT" u="1"/>
        <s v="ARITHMETIC" u="1"/>
        <s v="SELECTION" u="1"/>
        <s v="ITERATION" u="1"/>
        <s v="STRINGS" u="1"/>
        <s v="SIMPLE_FUNCTIONS" u="1"/>
        <s v="SIMPLE_RECURSION" u="1"/>
        <s v="ARRAYS" u="1"/>
        <s v="ARRAYS_AND_FUNCTIONS" u="1"/>
        <s v="MULTIDIMENSIONAL_ARRAYS" u="1"/>
        <s v="SORT_AND_SEARCH" u="1"/>
        <s v="DATA_STRUCTURES" u="1"/>
        <s v="TESTING" u="1"/>
        <s v="COMPOUND_DATATYPES" u="1"/>
        <s v="INPUT_CALCULATE_OUTPUT" u="1"/>
        <s v="APPLICATIONS" u="1"/>
      </sharedItems>
    </cacheField>
    <cacheField name="Column1" numFmtId="0">
      <sharedItems containsMixedTypes="1" containsNumber="1" containsInteger="1" minValue="1" maxValue="1"/>
    </cacheField>
    <cacheField name="LEO_description" numFmtId="0">
      <sharedItems/>
    </cacheField>
    <cacheField name="time" numFmtId="164">
      <sharedItems containsMixedTypes="1" containsNumber="1" minValue="0.5" maxValue="0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Saidfiasal Khawarin" refreshedDate="46186.581054861112" createdVersion="8" refreshedVersion="8" minRefreshableVersion="3" recordCount="260" xr:uid="{119DA099-3CF0-43CE-BA27-E6978792A72E}">
  <cacheSource type="worksheet">
    <worksheetSource ref="A1:L1048576" sheet="EVERYTHING"/>
  </cacheSource>
  <cacheFields count="12">
    <cacheField name="ME_ID" numFmtId="0">
      <sharedItems containsBlank="1"/>
    </cacheField>
    <cacheField name="ME_shortName" numFmtId="0">
      <sharedItems containsBlank="1"/>
    </cacheField>
    <cacheField name="ME_description" numFmtId="0">
      <sharedItems containsBlank="1"/>
    </cacheField>
    <cacheField name="MLEO_ID" numFmtId="0">
      <sharedItems containsBlank="1"/>
    </cacheField>
    <cacheField name="MLEO_shortName" numFmtId="0">
      <sharedItems containsBlank="1"/>
    </cacheField>
    <cacheField name="MLEO_description" numFmtId="0">
      <sharedItems containsBlank="1"/>
    </cacheField>
    <cacheField name="MLEO_Level" numFmtId="0">
      <sharedItems containsBlank="1" count="8">
        <s v="APPLY_TO_SIMILAR"/>
        <e v="#VALUE!"/>
        <m/>
        <e v="#N/A" u="1"/>
        <s v="COMPREHEND" u="1"/>
        <s v="KNOW_TERMS" u="1"/>
        <s v="APPLY_TO_NEW" u="1"/>
        <s v="knowledge level" u="1"/>
      </sharedItems>
    </cacheField>
    <cacheField name="LEO" numFmtId="0">
      <sharedItems containsBlank="1" count="19">
        <s v="LEO_00"/>
        <e v="#VALUE!"/>
        <m/>
        <e v="#N/A" u="1"/>
        <s v="LEO_01" u="1"/>
        <s v="LEO_02" u="1"/>
        <s v="LEO_03" u="1"/>
        <s v="LEO_04" u="1"/>
        <s v="LEO_06" u="1"/>
        <s v="LEO_08" u="1"/>
        <s v="LEO_09" u="1"/>
        <s v="LEO_10" u="1"/>
        <s v="LEO_11" u="1"/>
        <s v="LEO_12" u="1"/>
        <s v="LEO_13" u="1"/>
        <s v="LEO_14" u="1"/>
        <s v="LEO_15" u="1"/>
        <s v="LEO_16" u="1"/>
        <s v="LEO_17" u="1"/>
      </sharedItems>
    </cacheField>
    <cacheField name="LEO_shortName" numFmtId="0">
      <sharedItems containsBlank="1" count="21">
        <s v="BASIC_CLASSES"/>
        <e v="#VALUE!"/>
        <m/>
        <e v="#N/A" u="1"/>
        <s v="HELLO_WORLD" u="1"/>
        <s v="FORMATTED_OUTPUT" u="1"/>
        <s v="ARITHMETIC" u="1"/>
        <s v="SELECTION" u="1"/>
        <s v="ITERATION" u="1"/>
        <s v="STRINGS" u="1"/>
        <s v="SIMPLE_FUNCTIONS" u="1"/>
        <s v="SIMPLE_RECURSION" u="1"/>
        <s v="ARRAYS" u="1"/>
        <s v="ARRAYS_AND_FUNCTIONS" u="1"/>
        <s v="MULTIDIMENSIONAL_ARRAYS" u="1"/>
        <s v="SORT_AND_SEARCH" u="1"/>
        <s v="DATA_STRUCTURES" u="1"/>
        <s v="TESTING" u="1"/>
        <s v="COMPOUND_DATATYPES" u="1"/>
        <s v="INPUT_CALCULATE_OUTPUT" u="1"/>
        <s v="APPLICATIONS" u="1"/>
      </sharedItems>
    </cacheField>
    <cacheField name="Column1" numFmtId="0">
      <sharedItems containsBlank="1" containsMixedTypes="1" containsNumber="1" containsInteger="1" minValue="1" maxValue="1"/>
    </cacheField>
    <cacheField name="LEO_description" numFmtId="0">
      <sharedItems containsBlank="1"/>
    </cacheField>
    <cacheField name="time" numFmtId="0">
      <sharedItems containsBlank="1" containsMixedTypes="1" containsNumber="1" minValue="0.5" maxValue="0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">
  <r>
    <s v="MLEO_00_01"/>
    <x v="0"/>
    <x v="0"/>
    <s v="PRIMITIVE_TYPE_ATTRIBUTES"/>
    <s v="implement primitive type attributes."/>
    <x v="0"/>
    <s v="MLEO &quot;PRIMITIVE_TYPE_ATTRIBUTES&quot; is part of LEO &quot;BASIC_CLASSES&quot;"/>
  </r>
  <r>
    <s v="MLEO_00_02"/>
    <x v="0"/>
    <x v="0"/>
    <s v="STRING_REPRESENTATIONS"/>
    <s v="create a String representation of an object with a method."/>
    <x v="0"/>
    <s v="MLEO &quot;STRING_REPRESENTATIONS&quot; is part of LEO &quot;BASIC_CLASSES&quot;"/>
  </r>
  <r>
    <s v="MLEO_00_03"/>
    <x v="0"/>
    <x v="0"/>
    <s v="PRIMITIVE_TYPE_DIRECT_GETTER"/>
    <s v="implement a direct getter for a primitive type member."/>
    <x v="0"/>
    <s v="MLEO &quot;PRIMITIVE_TYPE_DIRECT_GETTER&quot; is part of LEO &quot;BASIC_CLASSES&quot;"/>
  </r>
  <r>
    <s v="MLEO_00_04"/>
    <x v="0"/>
    <x v="0"/>
    <s v="PRIMITIVE_TYPE_DIRECT_SETTER"/>
    <s v="implement a direct setter for a primitive type member observing class invariants."/>
    <x v="0"/>
    <s v="MLEO &quot;PRIMITIVE_TYPE_DIRECT_SETTER&quot; is part of LEO &quot;BASIC_CLASSES&quot;"/>
  </r>
  <r>
    <s v="MLEO_00_05"/>
    <x v="0"/>
    <x v="0"/>
    <s v="PRIMITIVE_TYPE_GETTER"/>
    <s v="implement a general getter for a primitive type member."/>
    <x v="0"/>
    <s v="MLEO &quot;PRIMITIVE_TYPE_GETTER&quot; is part of LEO &quot;BASIC_CLASSES&quot;"/>
  </r>
  <r>
    <s v="MLEO_00_06"/>
    <x v="0"/>
    <x v="0"/>
    <s v="PRIMITIVE_TYPE_SETTER"/>
    <s v="implement a general setter for a primitive type member observing class invariants."/>
    <x v="0"/>
    <s v="MLEO &quot;PRIMITIVE_TYPE_SETTER&quot; is part of LEO &quot;BASIC_CLASSES&quot;"/>
  </r>
  <r>
    <s v="MLEO_00_07"/>
    <x v="0"/>
    <x v="0"/>
    <s v="REFERENCE_TYPE_ATTRIBUTES"/>
    <s v="implement reference type attributes."/>
    <x v="0"/>
    <s v="MLEO &quot;REFERENCE_TYPE_ATTRIBUTES&quot; is part of LEO &quot;BASIC_CLASSES&quot;"/>
  </r>
  <r>
    <s v="MLEO_00_08"/>
    <x v="0"/>
    <x v="0"/>
    <s v="SIMPLE_METHODS"/>
    <s v="implement simple methods of a class."/>
    <x v="0"/>
    <s v="MLEO &quot;SIMPLE_METHODS&quot; is part of LEO &quot;BASIC_CLASSES&quot;"/>
  </r>
  <r>
    <s v="MLEO_00_09"/>
    <x v="0"/>
    <x v="0"/>
    <s v="OVERLOAD_METHODS"/>
    <s v="implement overloaded methods."/>
    <x v="0"/>
    <s v="MLEO &quot;OVERLOAD_METHODS&quot; is part of LEO &quot;BASIC_CLASSES&quot;"/>
  </r>
  <r>
    <s v="MLEO_00_10"/>
    <x v="0"/>
    <x v="0"/>
    <s v="COMPARE_METHOD"/>
    <s v="implement simple methods for comparison of objects of the same class."/>
    <x v="0"/>
    <s v="MLEO &quot;COMPARE_METHOD&quot; is part of LEO &quot;BASIC_CLASSES&quot;"/>
  </r>
  <r>
    <s v="MLEO_00_11"/>
    <x v="0"/>
    <x v="0"/>
    <s v="PRIVATE_METHODS"/>
    <s v="implement private helper methods."/>
    <x v="0"/>
    <s v="MLEO &quot;PRIVATE_METHODS&quot; is part of LEO &quot;BASIC_CLASSES&quot;"/>
  </r>
  <r>
    <s v="MLEO_00_12"/>
    <x v="0"/>
    <x v="0"/>
    <s v="ENTITY_CLASSES"/>
    <s v="implement simple entity classes."/>
    <x v="0"/>
    <s v="MLEO &quot;ENTITY_CLASSES&quot; is part of LEO &quot;BASIC_CLASSES&quot;"/>
  </r>
  <r>
    <s v="MLEO_00_13"/>
    <x v="0"/>
    <x v="0"/>
    <s v="CONTROLLER_CLASSES"/>
    <s v="implement simple controller classes."/>
    <x v="0"/>
    <s v="MLEO &quot;CONTROLLER_CLASSES&quot; is part of LEO &quot;BASIC_CLASSES&quot;"/>
  </r>
  <r>
    <s v="MLEO_00_14"/>
    <x v="0"/>
    <x v="0"/>
    <s v="AGGREGATE_BASIC_CLASSES"/>
    <s v="aggregate arrays of basic classes."/>
    <x v="0"/>
    <s v="MLEO &quot;USE_BASIC_CLASSES&quot; is part of LEO &quot;BASIC_CLASSES&quot;"/>
  </r>
  <r>
    <s v="MLEO_00_15"/>
    <x v="0"/>
    <x v="0"/>
    <s v="USE_BASIC_CLASSES"/>
    <s v="use basic classes to manage data and control logic."/>
    <x v="0"/>
    <s v="MLEO &quot;STANDARD_CONSTRUCTOR&quot; is part of LEO &quot;CLASSES&quot;"/>
  </r>
  <r>
    <s v="MLEO_01_01"/>
    <x v="1"/>
    <x v="0"/>
    <s v="STANDARD_CONSTRUCTOR"/>
    <s v="implement standard constructors."/>
    <x v="1"/>
    <s v="MLEO &quot;CUSTOM_CONSTRUCTOR&quot; is part of LEO &quot;CLASSES&quot;"/>
  </r>
  <r>
    <s v="MLEO_01_02"/>
    <x v="1"/>
    <x v="0"/>
    <s v="CUSTOM_CONSTRUCTOR"/>
    <s v="implement custom constructors."/>
    <x v="1"/>
    <s v="MLEO &quot;CONSTRUCTOR_CALL&quot; is part of LEO &quot;CLASSES&quot;"/>
  </r>
  <r>
    <s v="MLEO_01_03"/>
    <x v="1"/>
    <x v="0"/>
    <s v="CONSTRUCTOR_CALL"/>
    <s v="implement constructors calling other constructors."/>
    <x v="1"/>
    <s v="MLEO &quot;SHALLOW_COPY&quot; is part of LEO &quot;CLASSES&quot;"/>
  </r>
  <r>
    <s v="MLEO_01_04"/>
    <x v="1"/>
    <x v="0"/>
    <s v="SHALLOW_COPY"/>
    <s v="implement shallow copy constructors."/>
    <x v="1"/>
    <s v="MLEO &quot;DEEP_COPY&quot; is part of LEO &quot;CLASSES&quot;"/>
  </r>
  <r>
    <s v="MLEO_01_05"/>
    <x v="1"/>
    <x v="0"/>
    <s v="DEEP_COPY"/>
    <s v="implement deep copy constructors."/>
    <x v="1"/>
    <s v="MLEO &quot;DEFENSIVE_GETTER_SETTER&quot; is part of LEO &quot;CLASSES&quot;"/>
  </r>
  <r>
    <s v="MLEO_01_06"/>
    <x v="1"/>
    <x v="0"/>
    <s v="DEFENSIVE_GETTER_SETTER"/>
    <s v="implement and use defensive getters and setters."/>
    <x v="1"/>
    <s v="MLEO &quot;METHOD_CHAINING&quot; is part of LEO &quot;CLASSES&quot;"/>
  </r>
  <r>
    <s v="MLEO_01_07"/>
    <x v="1"/>
    <x v="0"/>
    <s v="METHOD_CHAINING"/>
    <s v="implement and use chainable methods."/>
    <x v="1"/>
    <s v="MLEO &quot;STATIC_FINAL_MEMBERS&quot; is part of LEO &quot;CLASSES&quot;"/>
  </r>
  <r>
    <s v="MLEO_01_08"/>
    <x v="1"/>
    <x v="0"/>
    <s v="STATIC_FINAL_MEMBERS"/>
    <s v="implement and use static and final attributes and methods."/>
    <x v="1"/>
    <s v="MLEO &quot;JAVA_DATE&quot; is part of LEO &quot;CLASSES&quot;"/>
  </r>
  <r>
    <s v="MLEO_01_09"/>
    <x v="1"/>
    <x v="0"/>
    <s v="JAVA_DATE"/>
    <s v="use the java Date class."/>
    <x v="1"/>
    <s v="MLEO &quot;IMPLEMENT_AGGREGATION_COMPOSITION&quot; is part of LEO &quot;CLASSES&quot;"/>
  </r>
  <r>
    <s v="MLEO_01_10"/>
    <x v="1"/>
    <x v="0"/>
    <s v="IMPLEMENT_AGGREGATION_COMPOSITION"/>
    <s v="implement aggregation and composition relation."/>
    <x v="1"/>
    <s v="MLEO &quot;USE_CLASSES&quot; is part of LEO &quot;CLASSES&quot;"/>
  </r>
  <r>
    <s v="MLEO_01_11"/>
    <x v="1"/>
    <x v="0"/>
    <s v="USE_CLASSES"/>
    <s v="use classes to manage data and control logic."/>
    <x v="1"/>
    <s v="MLEO &quot;EXTEND_CLASSES&quot; is part of LEO &quot;BASIC_INHERITANCE&quot;"/>
  </r>
  <r>
    <s v="MLEO_02_01"/>
    <x v="2"/>
    <x v="0"/>
    <s v="EXTEND_CLASSES"/>
    <s v="extend base classes."/>
    <x v="2"/>
    <s v="MLEO &quot;OVERRIDE&quot; is part of LEO &quot;BASIC_INHERITANCE&quot;"/>
  </r>
  <r>
    <s v="MLEO_02_02"/>
    <x v="2"/>
    <x v="0"/>
    <s v="OVERRIDE"/>
    <s v="override methods in sub classes."/>
    <x v="2"/>
    <s v="MLEO &quot;CLASS_OBJECT_METHODS&quot; is part of LEO &quot;BASIC_INHERITANCE&quot;"/>
  </r>
  <r>
    <s v="MLEO_02_03"/>
    <x v="2"/>
    <x v="0"/>
    <s v="CLASS_OBJECT_METHODS"/>
    <s v="override Object methods."/>
    <x v="2"/>
    <s v="MLEO &quot;CLASS_OBJECT_METHODS&quot; is part of LEO &quot;BASIC_INHERITANCE&quot;"/>
  </r>
  <r>
    <s v="MLEO_02_04"/>
    <x v="2"/>
    <x v="0"/>
    <s v="APPLY_BASIC_POLYMORPHISM"/>
    <s v="apply polymorphism with simple sublcasses."/>
    <x v="2"/>
    <s v="MLEO &quot;APPLY_BASIC_POLYMORPHISM&quot; is part of LEO &quot;BASIC_INHERITANCE&quot;"/>
  </r>
  <r>
    <s v="MLEO_02_05"/>
    <x v="2"/>
    <x v="0"/>
    <s v="CALL_SUPER_METHODS"/>
    <s v="use super class implementations of methods (also in overridden methods)-"/>
    <x v="2"/>
    <s v="MLEO &quot;CALL_SUPER_METHODS&quot; is part of LEO &quot;BASIC_INHERITANCE&quot;"/>
  </r>
  <r>
    <s v="MLEO_03_01"/>
    <x v="3"/>
    <x v="0"/>
    <s v="SUPERCONSTRUCTOR"/>
    <s v="use super constructors in constructors."/>
    <x v="3"/>
    <s v="MLEO &quot;SUPERCONSTRUCTOR&quot; is part of LEO &quot;INHERITANCE&quot;"/>
  </r>
  <r>
    <s v="MLEO_03_02"/>
    <x v="3"/>
    <x v="0"/>
    <s v="CONVERSION_CONSTRUCTOR"/>
    <s v="implement conversion constructors."/>
    <x v="3"/>
    <s v="MLEO &quot;ENUMERATIONS&quot; is part of LEO &quot;INHERITANCE&quot;"/>
  </r>
  <r>
    <s v="MLEO_03_03"/>
    <x v="3"/>
    <x v="0"/>
    <s v="ENUMERATIONS"/>
    <s v="implement enumeration types."/>
    <x v="3"/>
    <s v="MLEO &quot;ENUMERATIONS&quot; is part of LEO &quot;INHERITANCE&quot;"/>
  </r>
  <r>
    <s v="MLEO_03_04"/>
    <x v="3"/>
    <x v="0"/>
    <s v="APPLY_POLYMORPHISM"/>
    <s v="apply polymorphism with simple class hierarchies."/>
    <x v="3"/>
    <s v="MLEO &quot;APPLY_POLYMORPHISM&quot; is part of LEO &quot;INHERITANCE&quot;"/>
  </r>
  <r>
    <s v="MLEO_04_01"/>
    <x v="4"/>
    <x v="0"/>
    <s v="ABSTRACT_CLASS"/>
    <s v="implement abstract classes."/>
    <x v="4"/>
    <s v="MLEO &quot;ABSTRACT_CLASS&quot; is part of LEO &quot;ABSTRACT_INTERFACE&quot;"/>
  </r>
  <r>
    <s v="MLEO_04_02"/>
    <x v="4"/>
    <x v="0"/>
    <s v="COMPARABLE"/>
    <s v="implement given interfaces."/>
    <x v="4"/>
    <s v="MLEO &quot;COMPARABLE&quot; is part of LEO &quot;ABSTRACT_INTERFACE&quot;"/>
  </r>
  <r>
    <s v="MLEO_06_01"/>
    <x v="5"/>
    <x v="0"/>
    <s v="GENERIC_LISTS"/>
    <s v="use suitable generic lists from the Java Collection Framework to store, manage and sort data."/>
    <x v="5"/>
    <s v="MLEO &quot;GENERIC_LISTS&quot; is part of LEO &quot;EXCEPTIONS&quot;"/>
  </r>
  <r>
    <s v="MLEO_06_02"/>
    <x v="5"/>
    <x v="0"/>
    <s v="GENERIC_MAPS"/>
    <s v="use suitable generic maps form the Java Collection Framework to store and manage data."/>
    <x v="5"/>
    <s v="MLEO &quot;GENERIC_MAPS&quot; is part of LEO &quot;EXCEPTIONS&quot;"/>
  </r>
  <r>
    <s v="MLEO_06_03"/>
    <x v="5"/>
    <x v="0"/>
    <s v="ONE_TO_N"/>
    <s v="implement 1:n relations with Collections."/>
    <x v="5"/>
    <s v="MLEO &quot;ONE_TO_N&quot; is part of LEO &quot;EXCEPTIONS&quot;"/>
  </r>
  <r>
    <s v="MLEO_06_04"/>
    <x v="5"/>
    <x v="0"/>
    <s v="N_TO_M"/>
    <s v="implement n:m relations Collections."/>
    <x v="5"/>
    <s v="MLEO &quot;N_TO_M&quot; is part of LEO &quot;EXCEPTIONS&quot;"/>
  </r>
  <r>
    <s v="MLEO_06_05"/>
    <x v="5"/>
    <x v="0"/>
    <s v="CUSTOM_CONTAINER"/>
    <s v="implement custom data containers that support insert, read, delete, and edit operations as well as sorting and filtering. "/>
    <x v="5"/>
    <s v="MLEO &quot;CUSTOM_CONTAINER&quot; is part of LEO &quot;EXCEPTIONS&quot;"/>
  </r>
  <r>
    <s v="MLEO_08_01"/>
    <x v="6"/>
    <x v="0"/>
    <s v="WRITE_TEXTUAL_DATA"/>
    <s v="export data in text-based formats with correct exception handling."/>
    <x v="6"/>
    <s v="MLEO &quot;WRITE_TEXTUAL_DATA&quot; is part of LEO &quot;TESTING&quot;"/>
  </r>
  <r>
    <s v="MLEO_08_02"/>
    <x v="6"/>
    <x v="0"/>
    <s v="READ_TEXTUAL_DATA"/>
    <s v="import data in csv format with correct exception handling."/>
    <x v="6"/>
    <s v="MLEO &quot;READ_TEXTUAL_DATA&quot; is part of LEO &quot;TESTING&quot;"/>
  </r>
  <r>
    <s v="MLEO_09_01"/>
    <x v="7"/>
    <x v="0"/>
    <s v="UNIT_TEST_METHOD"/>
    <s v="design, write and execute tests for a single method in a class using a unit test framework."/>
    <x v="6"/>
    <s v="MLEO &quot;UNIT_TEST_METHOD&quot; is part of LEO &quot;TESTING&quot;"/>
  </r>
  <r>
    <s v="MLEO_09_02"/>
    <x v="7"/>
    <x v="0"/>
    <s v="UNIT_TEST"/>
    <s v="design, write and execute unit tests using a unit test framework."/>
    <x v="6"/>
    <s v="MLEO &quot;UNIT_TEST&quot; is part of LEO &quot;TESTING&quot;"/>
  </r>
  <r>
    <s v="MLEO_10_01"/>
    <x v="8"/>
    <x v="0"/>
    <s v="IDENTIFY_CLASSES"/>
    <s v="identify participating classes based on a problem statement."/>
    <x v="7"/>
    <s v="MLEO &quot;IDENTIFY_CLASSES&quot; is part of LEO &quot;CLASS_DIAGRAM&quot;"/>
  </r>
  <r>
    <s v="MLEO_10_02"/>
    <x v="8"/>
    <x v="0"/>
    <s v="IDENTIFY_MEMBERS"/>
    <s v="identify attributes and operations of classes with visibility, types, and initial values."/>
    <x v="7"/>
    <s v="MLEO &quot;IDENTIFY_MEMBERS&quot; is part of LEO &quot;CLASS_DIAGRAM&quot;"/>
  </r>
  <r>
    <s v="MLEO_10_03"/>
    <x v="8"/>
    <x v="0"/>
    <s v="IDENTIFY_GENERALIZATION"/>
    <s v="identify generalization associations between participating classes."/>
    <x v="7"/>
    <s v="MLEO &quot;IDENTIFY_GENERALIZATION&quot; is part of LEO &quot;CLASS_DIAGRAM&quot;"/>
  </r>
  <r>
    <s v="MLEO_10_04"/>
    <x v="8"/>
    <x v="0"/>
    <s v="IDENTIFY_ASSOCIATIONS"/>
    <s v="identify associations with roles and multiplicities between participating classes."/>
    <x v="7"/>
    <s v="MLEO &quot;IDENTIFY_ASSOCIATIONS&quot; is part of LEO &quot;CLASS_DIAGRAM&quot;"/>
  </r>
  <r>
    <s v="MLEO_10_05"/>
    <x v="8"/>
    <x v="0"/>
    <s v="IDENTIFY_AGGREGATIONS"/>
    <s v="identify aggregation associations between participating classes including aggregation and composition."/>
    <x v="7"/>
    <s v="MLEO &quot;IDENTIFY_AGGREGATIONS&quot; is part of LEO &quot;CLASS_DIAGRAM&quot;"/>
  </r>
  <r>
    <s v="MLEO_11_01"/>
    <x v="9"/>
    <x v="0"/>
    <s v="IDENTIFY_ACTORS"/>
    <s v="identify actors based on a problem statement."/>
    <x v="8"/>
    <s v="MLEO &quot;IDENTIFY_ACTORS&quot; is part of LEO &quot;SEQUENCE_DIAGRAM&quot;"/>
  </r>
  <r>
    <s v="MLEO_11_02"/>
    <x v="9"/>
    <x v="0"/>
    <s v="IDENTIFY_MESSAGES"/>
    <s v="identify messages and message types."/>
    <x v="8"/>
    <s v="MLEO &quot;IDENTIFY_MESSAGES&quot; is part of LEO &quot;SEQUENCE_DIAGRAM&quot;"/>
  </r>
  <r>
    <s v="MLEO_11_03"/>
    <x v="9"/>
    <x v="0"/>
    <s v="IDENTIFY_ACTIVATIONS"/>
    <s v="identify lifelines and activations."/>
    <x v="8"/>
    <s v="MLEO &quot;IDENTIFY_ACTIVATIONS&quot; is part of LEO &quot;SEQUENCE_DIAGRAM&quot;"/>
  </r>
  <r>
    <s v="MLEO_11_04"/>
    <x v="9"/>
    <x v="0"/>
    <s v="IDENTIFY_FRAGMENTS"/>
    <s v="identify fragments and fragment types."/>
    <x v="8"/>
    <s v="MLEO &quot;IDENTIFY_FRAGMENTS&quot; is part of LEO &quot;SEQUENCE_DIAGRAM&quot;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9"/>
    <e v="#N/A"/>
  </r>
  <r>
    <m/>
    <x v="10"/>
    <x v="1"/>
    <m/>
    <m/>
    <x v="1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">
  <r>
    <s v="ME_00_01_00"/>
    <x v="0"/>
    <s v="E"/>
    <s v="MLEO_00_01"/>
    <s v="PRIMITIVE_TYPE_ATTRIBUTES"/>
    <s v="implement primitive type attributes."/>
    <x v="0"/>
    <s v="LEO_00"/>
    <x v="0"/>
    <n v="1"/>
    <s v="identify, design, and implement simple classes."/>
    <n v="0.5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  <r>
    <e v="#VALUE!"/>
    <x v="1"/>
    <e v="#VALUE!"/>
    <e v="#VALUE!"/>
    <e v="#VALUE!"/>
    <e v="#VALUE!"/>
    <x v="1"/>
    <e v="#VALUE!"/>
    <x v="1"/>
    <e v="#VALUE!"/>
    <e v="#VALUE!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FC6DBE-77DC-4281-98E7-E17D68A379F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dataField="1" showAll="0"/>
    <pivotField axis="axisRow" showAll="0">
      <items count="306">
        <item m="1" x="293"/>
        <item m="1" x="278"/>
        <item m="1" x="288"/>
        <item m="1" x="289"/>
        <item m="1" x="298"/>
        <item m="1" x="283"/>
        <item m="1" x="287"/>
        <item m="1" x="237"/>
        <item m="1" x="295"/>
        <item m="1" x="296"/>
        <item m="1" x="291"/>
        <item m="1" x="281"/>
        <item m="1" x="285"/>
        <item m="1" x="297"/>
        <item m="1" x="277"/>
        <item m="1" x="275"/>
        <item m="1" x="292"/>
        <item m="1" x="282"/>
        <item m="1" x="286"/>
        <item m="1" x="294"/>
        <item m="1" x="276"/>
        <item m="1" x="263"/>
        <item m="1" x="274"/>
        <item m="1" x="150"/>
        <item m="1" x="258"/>
        <item m="1" x="169"/>
        <item m="1" x="271"/>
        <item m="1" x="264"/>
        <item m="1" x="273"/>
        <item m="1" x="268"/>
        <item m="1" x="255"/>
        <item m="1" x="158"/>
        <item m="1" x="257"/>
        <item m="1" x="267"/>
        <item m="1" x="261"/>
        <item m="1" x="269"/>
        <item m="1" x="272"/>
        <item m="1" x="270"/>
        <item m="1" x="266"/>
        <item m="1" x="259"/>
        <item m="1" x="256"/>
        <item m="1" x="262"/>
        <item m="1" x="265"/>
        <item m="1" x="159"/>
        <item m="1" x="260"/>
        <item m="1" x="14"/>
        <item m="1" x="239"/>
        <item m="1" x="137"/>
        <item m="1" x="136"/>
        <item m="1" x="118"/>
        <item m="1" x="117"/>
        <item m="1" x="116"/>
        <item m="1" x="115"/>
        <item m="1" x="119"/>
        <item m="1" x="170"/>
        <item m="1" x="189"/>
        <item m="1" x="206"/>
        <item m="1" x="49"/>
        <item m="1" x="138"/>
        <item m="1" x="195"/>
        <item m="1" x="194"/>
        <item m="1" x="100"/>
        <item m="1" x="50"/>
        <item m="1" x="193"/>
        <item m="1" x="34"/>
        <item m="1" x="73"/>
        <item m="1" x="101"/>
        <item m="1" x="182"/>
        <item m="1" x="235"/>
        <item m="1" x="290"/>
        <item m="1" x="43"/>
        <item m="1" x="40"/>
        <item m="1" x="46"/>
        <item m="1" x="74"/>
        <item m="1" x="107"/>
        <item m="1" x="124"/>
        <item m="1" x="126"/>
        <item m="1" x="127"/>
        <item m="1" x="128"/>
        <item m="1" x="125"/>
        <item m="1" x="303"/>
        <item m="1" x="304"/>
        <item m="1" x="131"/>
        <item m="1" x="29"/>
        <item m="1" x="51"/>
        <item m="1" x="68"/>
        <item m="1" x="185"/>
        <item m="1" x="21"/>
        <item m="1" x="20"/>
        <item m="1" x="30"/>
        <item m="1" x="139"/>
        <item m="1" x="10"/>
        <item m="1" x="180"/>
        <item m="1" x="69"/>
        <item m="1" x="299"/>
        <item m="1" x="300"/>
        <item m="1" x="301"/>
        <item m="1" x="302"/>
        <item m="1" x="70"/>
        <item m="1" x="71"/>
        <item m="1" x="72"/>
        <item m="1" x="80"/>
        <item m="1" x="79"/>
        <item m="1" x="9"/>
        <item m="1" x="8"/>
        <item m="1" x="190"/>
        <item m="1" x="243"/>
        <item m="1" x="11"/>
        <item m="1" x="31"/>
        <item m="1" x="210"/>
        <item m="1" x="209"/>
        <item m="1" x="140"/>
        <item m="1" x="52"/>
        <item m="1" x="60"/>
        <item m="1" x="97"/>
        <item m="1" x="110"/>
        <item m="1" x="7"/>
        <item m="1" x="6"/>
        <item m="1" x="5"/>
        <item m="1" x="15"/>
        <item m="1" x="141"/>
        <item m="1" x="35"/>
        <item m="1" x="61"/>
        <item m="1" x="62"/>
        <item m="1" x="63"/>
        <item m="1" x="64"/>
        <item m="1" x="65"/>
        <item m="1" x="66"/>
        <item m="1" x="196"/>
        <item m="1" x="200"/>
        <item m="1" x="4"/>
        <item m="1" x="3"/>
        <item m="1" x="19"/>
        <item m="1" x="18"/>
        <item m="1" x="26"/>
        <item m="1" x="27"/>
        <item m="1" x="142"/>
        <item m="1" x="67"/>
        <item m="1" x="53"/>
        <item m="1" x="32"/>
        <item m="1" x="240"/>
        <item m="1" x="42"/>
        <item m="1" x="75"/>
        <item m="1" x="88"/>
        <item m="1" x="89"/>
        <item m="1" x="187"/>
        <item m="1" x="183"/>
        <item m="1" x="184"/>
        <item m="1" x="28"/>
        <item m="1" x="102"/>
        <item m="1" x="90"/>
        <item m="1" x="54"/>
        <item m="1" x="23"/>
        <item m="1" x="22"/>
        <item m="1" x="242"/>
        <item m="1" x="143"/>
        <item m="1" x="178"/>
        <item m="1" x="177"/>
        <item m="1" x="48"/>
        <item m="1" x="82"/>
        <item m="1" x="12"/>
        <item m="1" x="47"/>
        <item m="1" x="81"/>
        <item m="1" x="55"/>
        <item m="1" x="91"/>
        <item m="1" x="36"/>
        <item m="1" x="191"/>
        <item m="1" x="92"/>
        <item m="1" x="171"/>
        <item m="1" x="93"/>
        <item m="1" x="207"/>
        <item m="1" x="108"/>
        <item m="1" x="179"/>
        <item m="1" x="114"/>
        <item m="1" x="111"/>
        <item m="1" x="135"/>
        <item m="1" x="112"/>
        <item m="1" x="113"/>
        <item m="1" x="109"/>
        <item m="1" x="197"/>
        <item m="1" x="132"/>
        <item m="1" x="134"/>
        <item m="1" x="133"/>
        <item m="1" x="211"/>
        <item m="1" x="83"/>
        <item m="1" x="41"/>
        <item m="1" x="84"/>
        <item m="1" x="181"/>
        <item m="1" x="188"/>
        <item m="1" x="198"/>
        <item m="1" x="212"/>
        <item m="1" x="284"/>
        <item m="1" x="280"/>
        <item m="1" x="279"/>
        <item m="1" x="105"/>
        <item m="1" x="99"/>
        <item m="1" x="98"/>
        <item m="1" x="106"/>
        <item m="1" x="37"/>
        <item m="1" x="56"/>
        <item m="1" x="85"/>
        <item m="1" x="45"/>
        <item m="1" x="44"/>
        <item m="1" x="33"/>
        <item m="1" x="201"/>
        <item m="1" x="199"/>
        <item m="1" x="186"/>
        <item m="1" x="203"/>
        <item m="1" x="202"/>
        <item m="1" x="57"/>
        <item m="1" x="96"/>
        <item m="1" x="95"/>
        <item m="1" x="144"/>
        <item m="1" x="145"/>
        <item m="1" x="25"/>
        <item m="1" x="24"/>
        <item m="1" x="214"/>
        <item m="1" x="213"/>
        <item m="1" x="13"/>
        <item m="1" x="86"/>
        <item m="1" x="103"/>
        <item m="1" x="38"/>
        <item m="1" x="39"/>
        <item m="1" x="94"/>
        <item m="1" x="192"/>
        <item m="1" x="17"/>
        <item m="1" x="16"/>
        <item m="1" x="172"/>
        <item m="1" x="87"/>
        <item m="1" x="58"/>
        <item m="1" x="104"/>
        <item m="1" x="77"/>
        <item m="1" x="76"/>
        <item m="1" x="241"/>
        <item m="1" x="59"/>
        <item m="1" x="175"/>
        <item m="1" x="120"/>
        <item m="1" x="121"/>
        <item m="1" x="122"/>
        <item m="1" x="123"/>
        <item m="1" x="129"/>
        <item m="1" x="130"/>
        <item m="1" x="78"/>
        <item m="1" x="146"/>
        <item m="1" x="147"/>
        <item m="1" x="148"/>
        <item m="1" x="149"/>
        <item m="1" x="151"/>
        <item m="1" x="152"/>
        <item m="1" x="154"/>
        <item m="1" x="155"/>
        <item m="1" x="156"/>
        <item m="1" x="157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73"/>
        <item m="1" x="174"/>
        <item m="1" x="176"/>
        <item m="1" x="204"/>
        <item m="1" x="205"/>
        <item m="1" x="208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6"/>
        <item m="1" x="238"/>
        <item m="1" x="15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"/>
        <item x="0"/>
        <item x="1"/>
        <item t="default"/>
      </items>
    </pivotField>
    <pivotField showAll="0"/>
    <pivotField showAll="0"/>
    <pivotField showAll="0"/>
    <pivotField showAll="0"/>
    <pivotField axis="axisRow" multipleItemSelectionAllowed="1" showAll="0">
      <items count="7">
        <item sd="0" m="1" x="5"/>
        <item sd="0" x="0"/>
        <item sd="0" m="1" x="3"/>
        <item sd="0" m="1" x="4"/>
        <item x="1"/>
        <item m="1" x="2"/>
        <item t="default"/>
      </items>
    </pivotField>
    <pivotField showAll="0"/>
    <pivotField axis="axisRow" showAll="0">
      <items count="21">
        <item sd="0" m="1" x="3"/>
        <item sd="0" m="1" x="4"/>
        <item sd="0" m="1" x="5"/>
        <item sd="0" m="1" x="18"/>
        <item sd="0" m="1" x="6"/>
        <item sd="0" m="1" x="7"/>
        <item sd="0" m="1" x="9"/>
        <item sd="0" m="1" x="10"/>
        <item sd="0" m="1" x="11"/>
        <item sd="0" m="1" x="12"/>
        <item sd="0" m="1" x="13"/>
        <item sd="0" m="1" x="14"/>
        <item sd="0" m="1" x="17"/>
        <item sd="0" m="1" x="19"/>
        <item sd="0" x="1"/>
        <item sd="0" m="1" x="15"/>
        <item sd="0" m="1" x="8"/>
        <item sd="0" m="1" x="16"/>
        <item m="1" x="2"/>
        <item x="0"/>
        <item t="default"/>
      </items>
    </pivotField>
    <pivotField showAll="0"/>
    <pivotField showAll="0"/>
    <pivotField dataField="1" showAll="0"/>
  </pivotFields>
  <rowFields count="3">
    <field x="8"/>
    <field x="6"/>
    <field x="1"/>
  </rowFields>
  <rowItems count="4">
    <i>
      <x v="14"/>
    </i>
    <i>
      <x v="19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ME_ID" fld="0" subtotal="count" baseField="0" baseItem="0"/>
    <dataField name="Sum of time" fld="11" baseField="0" baseItem="0" numFmtId="164"/>
  </dataFields>
  <formats count="1">
    <format dxfId="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439B1F-2CB4-4E51-8ADC-EFBEF60F8D86}" name="MLEOs per LEO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2:C35" firstHeaderRow="1" firstDataRow="2" firstDataCol="1" rowPageCount="1" colPageCount="1"/>
  <pivotFields count="7">
    <pivotField dataField="1" compact="0" outline="0" showAll="0"/>
    <pivotField axis="axisPage" compact="0" outline="0" multipleItemSelectionAllowed="1" showAll="0">
      <items count="19">
        <item x="0"/>
        <item x="1"/>
        <item x="2"/>
        <item x="3"/>
        <item x="4"/>
        <item x="5"/>
        <item x="6"/>
        <item x="7"/>
        <item x="8"/>
        <item x="9"/>
        <item m="1" x="11"/>
        <item m="1" x="12"/>
        <item m="1" x="13"/>
        <item h="1" m="1" x="14"/>
        <item m="1" x="15"/>
        <item m="1" x="16"/>
        <item m="1" x="17"/>
        <item x="10"/>
        <item t="default"/>
      </items>
    </pivotField>
    <pivotField axis="axisCol" compact="0" outline="0" showAll="0">
      <items count="6">
        <item m="1" x="3"/>
        <item m="1" x="2"/>
        <item x="0"/>
        <item m="1" x="4"/>
        <item x="1"/>
        <item t="default"/>
      </items>
    </pivotField>
    <pivotField compact="0" outline="0" showAll="0"/>
    <pivotField compact="0" outline="0" showAll="0"/>
    <pivotField axis="axisRow" compact="0" outline="0" showAll="0">
      <items count="30">
        <item m="1" x="13"/>
        <item m="1" x="14"/>
        <item m="1" x="15"/>
        <item m="1" x="27"/>
        <item m="1" x="16"/>
        <item m="1" x="17"/>
        <item m="1" x="19"/>
        <item m="1" x="21"/>
        <item m="1" x="24"/>
        <item h="1" x="10"/>
        <item m="1" x="22"/>
        <item m="1" x="20"/>
        <item m="1" x="25"/>
        <item m="1" x="23"/>
        <item m="1" x="26"/>
        <item m="1" x="28"/>
        <item m="1" x="18"/>
        <item x="6"/>
        <item h="1" x="9"/>
        <item h="1" x="0"/>
        <item h="1" x="1"/>
        <item h="1" x="2"/>
        <item h="1" x="3"/>
        <item h="1" x="4"/>
        <item h="1" m="1" x="11"/>
        <item h="1" m="1" x="12"/>
        <item h="1" x="7"/>
        <item h="1" x="8"/>
        <item h="1" x="5"/>
        <item t="default"/>
      </items>
    </pivotField>
    <pivotField compact="0" outline="0" showAll="0"/>
  </pivotFields>
  <rowFields count="1">
    <field x="5"/>
  </rowFields>
  <rowItems count="2">
    <i>
      <x v="17"/>
    </i>
    <i t="grand">
      <x/>
    </i>
  </rowItems>
  <colFields count="1">
    <field x="2"/>
  </colFields>
  <colItems count="2">
    <i>
      <x v="2"/>
    </i>
    <i t="grand">
      <x/>
    </i>
  </colItems>
  <pageFields count="1">
    <pageField fld="1" hier="-1"/>
  </pageFields>
  <dataFields count="1">
    <dataField name="Count of ID" fld="0" subtotal="count" baseField="0" baseItem="0"/>
  </dataFields>
  <chartFormats count="1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839BA6-18D8-442B-B440-E4225BE0C8BC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5">
  <location ref="A3:B5" firstHeaderRow="1" firstDataRow="2" firstDataCol="1" rowPageCount="1" colPageCount="1"/>
  <pivotFields count="12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9">
        <item m="1" x="5"/>
        <item m="1" x="4"/>
        <item x="0"/>
        <item m="1" x="6"/>
        <item x="2"/>
        <item x="1"/>
        <item m="1" x="7"/>
        <item m="1" x="3"/>
        <item t="default"/>
      </items>
    </pivotField>
    <pivotField axis="axisPage" compact="0" outline="0" multipleItemSelectionAllowed="1" showAll="0" sortType="ascending" defaultSubtotal="0">
      <items count="19">
        <item x="0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h="1" m="1" x="16"/>
        <item m="1" x="17"/>
        <item m="1" x="18"/>
        <item h="1" x="1"/>
        <item h="1" m="1" x="3"/>
        <item x="2"/>
      </items>
    </pivotField>
    <pivotField axis="axisRow" compact="0" outline="0" showAll="0">
      <items count="22">
        <item m="1" x="4"/>
        <item m="1" x="5"/>
        <item m="1" x="6"/>
        <item m="1" x="19"/>
        <item m="1" x="7"/>
        <item m="1" x="8"/>
        <item m="1" x="10"/>
        <item m="1" x="11"/>
        <item m="1" x="12"/>
        <item h="1" x="2"/>
        <item m="1" x="13"/>
        <item m="1" x="15"/>
        <item m="1" x="14"/>
        <item m="1" x="18"/>
        <item m="1" x="20"/>
        <item x="1"/>
        <item m="1" x="16"/>
        <item m="1" x="9"/>
        <item m="1" x="17"/>
        <item h="1" m="1" x="3"/>
        <item h="1" x="0"/>
        <item t="default"/>
      </items>
    </pivotField>
    <pivotField compact="0" outline="0" showAll="0"/>
    <pivotField compact="0" outline="0" showAll="0"/>
    <pivotField compact="0" outline="0" showAll="0"/>
  </pivotFields>
  <rowFields count="1">
    <field x="8"/>
  </rowFields>
  <rowItems count="1">
    <i t="grand">
      <x/>
    </i>
  </rowItems>
  <colFields count="1">
    <field x="6"/>
  </colFields>
  <colItems count="1">
    <i t="grand">
      <x/>
    </i>
  </colItems>
  <pageFields count="1">
    <pageField fld="7" hier="-1"/>
  </pageFields>
  <dataFields count="1">
    <dataField name="Count of ME_ID" fld="0" subtotal="count" baseField="0" baseItem="0"/>
  </dataFields>
  <chartFormats count="22"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56DCCD-6986-42D3-B1D4-45447C1D6433}" name="Table5" displayName="Table5" ref="A1:D6" totalsRowShown="0">
  <autoFilter ref="A1:D6" xr:uid="{4956DCCD-6986-42D3-B1D4-45447C1D6433}"/>
  <sortState xmlns:xlrd2="http://schemas.microsoft.com/office/spreadsheetml/2017/richdata2" ref="A2:C6">
    <sortCondition ref="A1:A6"/>
  </sortState>
  <tableColumns count="4">
    <tableColumn id="1" xr3:uid="{4898C6C4-BCB5-4C69-B6AA-041DB2C10732}" name="ID"/>
    <tableColumn id="2" xr3:uid="{007CF265-C375-456F-975D-88AFE6183AB4}" name="description"/>
    <tableColumn id="3" xr3:uid="{57238204-0C7D-4876-A893-227AF5D6D026}" name="numeric_level"/>
    <tableColumn id="4" xr3:uid="{F702E321-4024-4E64-8399-8EADF5DA0D5A}" name="time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4189344-E6F9-4F4E-87A1-89E3A1EA7CC1}" name="Table8" displayName="Table8" ref="A1:L260" totalsRowShown="0">
  <autoFilter ref="A1:L260" xr:uid="{94189344-E6F9-4F4E-87A1-89E3A1EA7CC1}"/>
  <sortState xmlns:xlrd2="http://schemas.microsoft.com/office/spreadsheetml/2017/richdata2" ref="A2:L208">
    <sortCondition ref="A1:A208"/>
  </sortState>
  <tableColumns count="12">
    <tableColumn id="1" xr3:uid="{0794DC3F-CFFD-4EC5-A1A2-8EFBD3B73599}" name="ME_ID">
      <calculatedColumnFormula>Table4[[#This Row],[ID]]</calculatedColumnFormula>
    </tableColumn>
    <tableColumn id="2" xr3:uid="{33563275-6C83-4A83-80BC-517A61D370B4}" name="ME_shortName" dataDxfId="44">
      <calculatedColumnFormula>VLOOKUP(Table8[[#This Row],[ME_ID]],Table4[#All],2)</calculatedColumnFormula>
    </tableColumn>
    <tableColumn id="7" xr3:uid="{43122BFB-C532-45D0-B9C8-24D82645901C}" name="ME_description" dataDxfId="43">
      <calculatedColumnFormula>VLOOKUP(Table8[[#This Row],[ME_ID]],Table4[#All],4)</calculatedColumnFormula>
    </tableColumn>
    <tableColumn id="3" xr3:uid="{0B77E4E2-5FB4-4D86-854F-E21D7F0FC4CD}" name="MLEO_ID" dataDxfId="42">
      <calculatedColumnFormula>VLOOKUP(Table8[[#This Row],[ME_ID]],Table4[#All],3)</calculatedColumnFormula>
    </tableColumn>
    <tableColumn id="4" xr3:uid="{05FC247A-02AF-49E0-B754-76891B418EA6}" name="MLEO_shortName" dataDxfId="41">
      <calculatedColumnFormula>VLOOKUP(Table8[[#This Row],[MLEO_ID]],Table3[#All],4)</calculatedColumnFormula>
    </tableColumn>
    <tableColumn id="8" xr3:uid="{9C0E258D-77CC-4BFC-83D6-D6499613A9A6}" name="MLEO_description" dataDxfId="40">
      <calculatedColumnFormula>VLOOKUP(Table8[[#This Row],[MLEO_ID]],Table3[#All],5)</calculatedColumnFormula>
    </tableColumn>
    <tableColumn id="10" xr3:uid="{F38BE40D-BC73-4E81-A018-C95AD2900D04}" name="MLEO_Level" dataDxfId="39">
      <calculatedColumnFormula>VLOOKUP(Table8[[#This Row],[MLEO_ID]],Table3[#All],3)</calculatedColumnFormula>
    </tableColumn>
    <tableColumn id="5" xr3:uid="{7AF94551-1B5C-49BA-A839-BB9C65461D17}" name="LEO" dataDxfId="38">
      <calculatedColumnFormula>VLOOKUP(Table8[[#This Row],[MLEO_ID]],Table3[#All],2)</calculatedColumnFormula>
    </tableColumn>
    <tableColumn id="6" xr3:uid="{C07E911E-5893-473A-BBCA-B597C7FACB81}" name="LEO_shortName" dataDxfId="37">
      <calculatedColumnFormula>VLOOKUP(Table8[[#This Row],[LEO]],Table1[#All],2)</calculatedColumnFormula>
    </tableColumn>
    <tableColumn id="11" xr3:uid="{A8DA2DD0-BF8E-4779-9A86-6634E547609E}" name="Column1" dataDxfId="36">
      <calculatedColumnFormula>VLOOKUP(Table8[[#This Row],[LEO]],Table1[#All],5)</calculatedColumnFormula>
    </tableColumn>
    <tableColumn id="9" xr3:uid="{CDC7B382-9F20-43A0-97D9-EDDAF8A1908C}" name="LEO_description" dataDxfId="35">
      <calculatedColumnFormula>VLOOKUP(Table8[[#This Row],[LEO]],Table1[#All],3)</calculatedColumnFormula>
    </tableColumn>
    <tableColumn id="12" xr3:uid="{1D5943FE-BCB2-4D8E-9043-3DE0B5ED14D3}" name="time" dataDxfId="34">
      <calculatedColumnFormula>VLOOKUP(Table8[[#This Row],[ME_ID]],Table4[#All],8)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900A00-2BB0-4B6A-94A6-94FF812EF30B}" name="Table1" displayName="Table1" ref="A1:E12" totalsRowShown="0" dataDxfId="32">
  <autoFilter ref="A1:E12" xr:uid="{2C900A00-2BB0-4B6A-94A6-94FF812EF30B}"/>
  <sortState xmlns:xlrd2="http://schemas.microsoft.com/office/spreadsheetml/2017/richdata2" ref="A2:E12">
    <sortCondition ref="A1:A12"/>
  </sortState>
  <tableColumns count="5">
    <tableColumn id="1" xr3:uid="{20B3CC56-9328-43FF-BBF6-09386044F6EC}" name="ID" dataDxfId="31"/>
    <tableColumn id="2" xr3:uid="{4E65E6B9-4CB4-49F2-919B-3F32CDFD3121}" name="shortName" dataDxfId="30"/>
    <tableColumn id="3" xr3:uid="{522C84EF-E070-424D-BA02-E77581B0BD18}" name="description" dataDxfId="29"/>
    <tableColumn id="5" xr3:uid="{9752E590-6158-48A8-89C4-A8088F80E32B}" name="order" dataDxfId="28"/>
    <tableColumn id="6" xr3:uid="{4B4ADE87-B21B-473A-97B9-088C61051A54}" name="week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333FD23-4FA1-475E-8CC9-B8C25969D590}" name="Table2" displayName="Table2" ref="A1:D13" totalsRowShown="0">
  <autoFilter ref="A1:D13" xr:uid="{C333FD23-4FA1-475E-8CC9-B8C25969D590}"/>
  <sortState xmlns:xlrd2="http://schemas.microsoft.com/office/spreadsheetml/2017/richdata2" ref="A2:D13">
    <sortCondition ref="A1:A13"/>
  </sortState>
  <tableColumns count="4">
    <tableColumn id="1" xr3:uid="{04056F29-95BD-489B-AB19-D7CDD6112E76}" name="from"/>
    <tableColumn id="2" xr3:uid="{FF2C89B3-E33B-4F3C-8464-62013D3A3FDE}" name="to"/>
    <tableColumn id="3" xr3:uid="{42620866-306D-4C95-893D-F21C09A201AF}" name="type"/>
    <tableColumn id="5" xr3:uid="{AFF340ED-15FE-4588-A6D9-BD8E8C6CB0A5}" name="textual relation" dataDxfId="26">
      <calculatedColumnFormula>"LEO """&amp;VLOOKUP(A2,LEOs!A$1:E$12,2)&amp;""" "&amp;C2&amp;" LEO """&amp;VLOOKUP(B2,LEOs!A$1:E$12,2)&amp;""""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BCE5D9-C8E6-41A7-A9C8-224FC5683385}" name="Table3" displayName="Table3" ref="A1:J105" totalsRowShown="0" headerRowDxfId="25" headerRowBorderDxfId="24" tableBorderDxfId="23">
  <autoFilter ref="A1:J105" xr:uid="{8BBCE5D9-C8E6-41A7-A9C8-224FC5683385}"/>
  <sortState xmlns:xlrd2="http://schemas.microsoft.com/office/spreadsheetml/2017/richdata2" ref="A2:H105">
    <sortCondition ref="A1:A105"/>
  </sortState>
  <tableColumns count="10">
    <tableColumn id="1" xr3:uid="{12A663B0-D44F-49B7-8723-54B9069371F3}" name="ID"/>
    <tableColumn id="2" xr3:uid="{88FB160C-EF86-498A-9D0D-ED58221113A3}" name="Parent"/>
    <tableColumn id="6" xr3:uid="{927FD2EF-0DAF-4DA0-AF93-B479B91D7FE1}" name="knowledge level"/>
    <tableColumn id="3" xr3:uid="{B1AECF16-59CA-4F57-9E71-B092EFBC67F0}" name="shortName"/>
    <tableColumn id="4" xr3:uid="{1F5D1F50-C01E-422A-A049-E9DFCD3C83E6}" name="description" dataDxfId="22"/>
    <tableColumn id="7" xr3:uid="{28DED1B0-1D6B-479C-87CE-1C18B52ED8D5}" name="Parent_ShortName" dataDxfId="21">
      <calculatedColumnFormula>VLOOKUP(B2,LEOs!A$1:E$12,2)</calculatedColumnFormula>
    </tableColumn>
    <tableColumn id="5" xr3:uid="{908C73E8-C943-4D7C-956A-9C9D5ABCAD7C}" name="textual relation" dataDxfId="20">
      <calculatedColumnFormula>"MLEO """&amp;D2&amp;""" is part of LEO """&amp;VLOOKUP(B2,LEOs!A$1:E$12,2)&amp;""""</calculatedColumnFormula>
    </tableColumn>
    <tableColumn id="8" xr3:uid="{472E1F2F-1472-4EBC-887F-A148B84685EF}" name="URL"/>
    <tableColumn id="9" xr3:uid="{069A5880-8EFB-4BB5-8FCB-72C52D843D82}" name="comments Lena"/>
    <tableColumn id="10" xr3:uid="{637E051A-DBE3-40A7-BC49-D8D6FDB221D6}" name="Column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B823FC9-249F-45B0-BE30-7662253A4A60}" name="Table7" displayName="Table7" ref="A1:D32" totalsRowShown="0">
  <autoFilter ref="A1:D32" xr:uid="{6B823FC9-249F-45B0-BE30-7662253A4A60}"/>
  <sortState xmlns:xlrd2="http://schemas.microsoft.com/office/spreadsheetml/2017/richdata2" ref="A2:D2">
    <sortCondition ref="A1:A2"/>
  </sortState>
  <tableColumns count="4">
    <tableColumn id="1" xr3:uid="{21F4DFA1-D0E7-45AB-9B95-D95DC0F38E88}" name="from"/>
    <tableColumn id="2" xr3:uid="{0E0E35BA-9A72-49F1-BBC4-B734F738BC8A}" name="to"/>
    <tableColumn id="3" xr3:uid="{BA7603AD-C5F1-4F45-9A39-4A180A4B986B}" name="type"/>
    <tableColumn id="4" xr3:uid="{098D18E2-211A-4713-997B-C69719AA3DF9}" name="textual relation" dataDxfId="19">
      <calculatedColumnFormula>"MLEO """&amp;VLOOKUP(A2,MLEOsv2!$A$2:$J$61,6)&amp;""" "&amp;C2&amp;" MLEO   """&amp;VLOOKUP(B2,MLEOsv2!$A$2:$J$61,6)&amp;""""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0BC339D-B0B2-4A8F-84ED-C0A1F7F60311}" name="Table4" displayName="Table4" ref="A1:J2" totalsRowShown="0">
  <autoFilter ref="A1:J2" xr:uid="{E0BC339D-B0B2-4A8F-84ED-C0A1F7F60311}"/>
  <sortState xmlns:xlrd2="http://schemas.microsoft.com/office/spreadsheetml/2017/richdata2" ref="A2:J2">
    <sortCondition ref="A1:A2"/>
  </sortState>
  <tableColumns count="10">
    <tableColumn id="1" xr3:uid="{731CC290-0713-4C25-AC9F-85F894D58AD7}" name="ID"/>
    <tableColumn id="2" xr3:uid="{14728EEA-C79E-4E89-BE59-00215C3FFF29}" name="shortName"/>
    <tableColumn id="4" xr3:uid="{0D641580-E9D1-4DB4-AC3B-8FC4D96A97AB}" name="MLEO"/>
    <tableColumn id="6" xr3:uid="{D2A9609F-7C70-4949-ADAF-6D62E9A735BA}" name="decription"/>
    <tableColumn id="3" xr3:uid="{44E89F7B-2372-4A61-A4A2-8C2164174C81}" name="MLEO_shortNAme" dataDxfId="17">
      <calculatedColumnFormula>VLOOKUP(C2,MLEOs!A$1:D$105,4)</calculatedColumnFormula>
    </tableColumn>
    <tableColumn id="7" xr3:uid="{D9BD62E3-633F-42E3-B379-F849B421D4BF}" name="MLEO_LEVEL" dataDxfId="16">
      <calculatedColumnFormula>VLOOKUP(C2,MLEOs!A$1:D$105,3)</calculatedColumnFormula>
    </tableColumn>
    <tableColumn id="10" xr3:uid="{826E3ADF-AA51-43CB-A9C7-DD82DCE8BEE4}" name="LEO_ID" dataDxfId="15">
      <calculatedColumnFormula>VLOOKUP(C2,MLEOs!A$1:D$105,2)</calculatedColumnFormula>
    </tableColumn>
    <tableColumn id="8" xr3:uid="{1E8AD725-9462-4020-9536-1C6E1F510687}" name="hrs" dataDxfId="14">
      <calculatedColumnFormula>VLOOKUP(F2,KnowledgeLevels!A$1:D$7,4)</calculatedColumnFormula>
    </tableColumn>
    <tableColumn id="9" xr3:uid="{ACB159DC-3FC8-4261-8202-A6AF12239229}" name="Column1" dataDxfId="13"/>
    <tableColumn id="5" xr3:uid="{61B39B77-1F3D-495C-B82D-1CFF9175B897}" name="textual relation" dataDxfId="12">
      <calculatedColumnFormula xml:space="preserve"> "MicroExercise """&amp;B2&amp;""" tests MLEO """&amp;VLOOKUP(C2,MLEOs!A$1:G$105,4)&amp;""" which is on level "&amp;VLOOKUP(C2,MLEOs!A$1:G$105,3)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16D779-F90C-49FE-A8A6-1E1CF4EF479D}" name="Table77" displayName="Table77" ref="A1:D2" totalsRowShown="0">
  <autoFilter ref="A1:D2" xr:uid="{0F16D779-F90C-49FE-A8A6-1E1CF4EF479D}"/>
  <sortState xmlns:xlrd2="http://schemas.microsoft.com/office/spreadsheetml/2017/richdata2" ref="A2:D2">
    <sortCondition ref="A1:A2"/>
  </sortState>
  <tableColumns count="4">
    <tableColumn id="1" xr3:uid="{7F313E74-12FA-45A3-8AC9-5DA8A9FD65C0}" name="from"/>
    <tableColumn id="2" xr3:uid="{51DBB1D9-7FE9-4018-9873-9C6CD55AADA6}" name="to"/>
    <tableColumn id="3" xr3:uid="{547D7C5A-3628-42B5-A256-65900E490A61}" name="type"/>
    <tableColumn id="4" xr3:uid="{E8A416EB-860E-4DBC-90CA-32FCBA185C82}" name="textual relation" dataDxfId="11">
      <calculatedColumnFormula>"MLEO """&amp;VLOOKUP(A2,MicroExercise!A$1:K$2,4)&amp;""" "&amp;C2&amp;" MLEO   """&amp;VLOOKUP(B2,MicroExercise!A$1:K$2,4)&amp;""""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BC525A3-1DC7-4CD7-A38D-DFCCC39576C0}" name="Table411" displayName="Table411" ref="A1:F7" totalsRowShown="0">
  <autoFilter ref="A1:F7" xr:uid="{0BC525A3-1DC7-4CD7-A38D-DFCCC39576C0}"/>
  <sortState xmlns:xlrd2="http://schemas.microsoft.com/office/spreadsheetml/2017/richdata2" ref="A2:F2">
    <sortCondition ref="C1:C2"/>
  </sortState>
  <tableColumns count="6">
    <tableColumn id="1" xr3:uid="{B5738FAE-257A-429C-8CA4-80D56F27C5B9}" name="ID"/>
    <tableColumn id="2" xr3:uid="{8ED95883-B38D-453E-924F-C2A367F96128}" name="shortName"/>
    <tableColumn id="4" xr3:uid="{26B7B223-E373-40BC-9086-025ADB3D6A93}" name="LEO"/>
    <tableColumn id="3" xr3:uid="{0275861C-68BC-44F8-AD7F-FA8CA3C1387B}" name="LEO_shortName" dataDxfId="10">
      <calculatedColumnFormula>VLOOKUP(C2,LEOs!A$1:E$9,2)</calculatedColumnFormula>
    </tableColumn>
    <tableColumn id="6" xr3:uid="{9E21D1CC-8143-4A52-9779-D5D481124292}" name="decription"/>
    <tableColumn id="5" xr3:uid="{7836403A-648F-4E7D-88F1-551EA1CBA135}" name="textual relation" dataDxfId="9">
      <calculatedColumnFormula xml:space="preserve"> "Exercise """&amp;B2&amp;""" tests LEO """&amp;VLOOKUP(C2,MLEOs!A$1:D$6,4)&amp;""" "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AA7A43B-F624-47E5-901E-9D0AAEA350B8}" name="Table310" displayName="Table310" ref="A1:L105" totalsRowShown="0" headerRowDxfId="8" headerRowBorderDxfId="7" tableBorderDxfId="6">
  <autoFilter ref="A1:L105" xr:uid="{8BBCE5D9-C8E6-41A7-A9C8-224FC5683385}"/>
  <tableColumns count="12">
    <tableColumn id="1" xr3:uid="{1FF95269-4A28-4200-9ACE-C76CDDFE9DCF}" name="ID" dataDxfId="5"/>
    <tableColumn id="9" xr3:uid="{456EDB84-B697-42EA-A2D0-AED649AB713B}" name="order" dataDxfId="4"/>
    <tableColumn id="15" xr3:uid="{2A3FB3D4-6F19-444F-862B-FD2FD4745041}" name="LE Block"/>
    <tableColumn id="2" xr3:uid="{DDD7A64B-6E20-4635-9558-495A8ED5FB85}" name="Parent"/>
    <tableColumn id="6" xr3:uid="{4F4FC2D4-57C4-495B-9852-CA2E315C0A3F}" name="knowledge level"/>
    <tableColumn id="3" xr3:uid="{FCF1335D-6213-4565-AE5F-EA3BC7507E56}" name="shortName"/>
    <tableColumn id="4" xr3:uid="{93CEA373-DA9C-4EBF-A931-232466A3BC52}" name="description" dataDxfId="3"/>
    <tableColumn id="12" xr3:uid="{9156CF50-29FE-4723-AAD2-1BBF68679B10}" name="MUST" dataDxfId="2"/>
    <tableColumn id="7" xr3:uid="{33C76B02-D691-4706-BB75-693E48BCF160}" name="Parent_ShortName" dataDxfId="1">
      <calculatedColumnFormula>VLOOKUP(D2,LEOs!A$1:E$12,2)</calculatedColumnFormula>
    </tableColumn>
    <tableColumn id="5" xr3:uid="{70B3B905-326B-4869-83DD-B870B3FE9DDE}" name="textual relation" dataDxfId="0">
      <calculatedColumnFormula>"MLEO """&amp;F2&amp;""" is part of LEO """&amp;VLOOKUP(D2,LEOs!A$1:E$12,2)&amp;""""</calculatedColumnFormula>
    </tableColumn>
    <tableColumn id="8" xr3:uid="{D9DD3EDC-C0F7-4BA6-A0B4-FC4A1198D3F2}" name="URL"/>
    <tableColumn id="10" xr3:uid="{7CDA7228-AD2C-4E7E-8ACA-FDE6C8C2CBEA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084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9242755-5962-45D3-B62D-45149434FA8D}">
  <we:reference id="wa104380263" version="1.1.3.0" store="en-US" storeType="OMEX"/>
  <we:alternateReferences>
    <we:reference id="WA104380263" version="1.1.3.0" store="WA1043802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F0311-5E97-4E63-9304-57162EEADE0E}">
  <dimension ref="A1:G11"/>
  <sheetViews>
    <sheetView workbookViewId="0">
      <selection activeCell="I8" sqref="I8"/>
    </sheetView>
  </sheetViews>
  <sheetFormatPr baseColWidth="10" defaultColWidth="9.1640625" defaultRowHeight="15" x14ac:dyDescent="0.2"/>
  <cols>
    <col min="1" max="1" width="18.5" bestFit="1" customWidth="1"/>
    <col min="4" max="4" width="12.5" bestFit="1" customWidth="1"/>
  </cols>
  <sheetData>
    <row r="1" spans="1:7" x14ac:dyDescent="0.2">
      <c r="D1" t="s">
        <v>0</v>
      </c>
      <c r="F1" s="20" t="s">
        <v>1</v>
      </c>
      <c r="G1" s="21">
        <v>14</v>
      </c>
    </row>
    <row r="2" spans="1:7" x14ac:dyDescent="0.2">
      <c r="A2" t="s">
        <v>2</v>
      </c>
      <c r="B2">
        <v>5</v>
      </c>
      <c r="D2">
        <f>B2*25</f>
        <v>125</v>
      </c>
    </row>
    <row r="3" spans="1:7" x14ac:dyDescent="0.2">
      <c r="A3" t="s">
        <v>3</v>
      </c>
      <c r="D3" s="19">
        <f>D2/G1</f>
        <v>8.9285714285714288</v>
      </c>
    </row>
    <row r="4" spans="1:7" x14ac:dyDescent="0.2">
      <c r="A4" t="s">
        <v>4</v>
      </c>
      <c r="B4">
        <f>4*14</f>
        <v>56</v>
      </c>
      <c r="D4">
        <f>B4*0.75</f>
        <v>42</v>
      </c>
    </row>
    <row r="6" spans="1:7" x14ac:dyDescent="0.2">
      <c r="A6" t="s">
        <v>5</v>
      </c>
      <c r="D6">
        <f>D2-D4</f>
        <v>83</v>
      </c>
    </row>
    <row r="7" spans="1:7" x14ac:dyDescent="0.2">
      <c r="A7" t="s">
        <v>6</v>
      </c>
      <c r="D7" s="19">
        <f>D6/G1</f>
        <v>5.9285714285714288</v>
      </c>
    </row>
    <row r="9" spans="1:7" x14ac:dyDescent="0.2">
      <c r="A9" t="s">
        <v>7</v>
      </c>
      <c r="D9">
        <v>257</v>
      </c>
    </row>
    <row r="10" spans="1:7" x14ac:dyDescent="0.2">
      <c r="A10" t="s">
        <v>8</v>
      </c>
      <c r="D10" s="19">
        <f>D9/G1</f>
        <v>18.357142857142858</v>
      </c>
    </row>
    <row r="11" spans="1:7" x14ac:dyDescent="0.2">
      <c r="A11" t="s">
        <v>9</v>
      </c>
      <c r="D11" s="19">
        <f>D7/D10</f>
        <v>0.32295719844357978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0BA1-8011-498A-995F-D20A2C995CF1}">
  <sheetPr codeName="Sheet1">
    <tabColor rgb="FF92D050"/>
  </sheetPr>
  <dimension ref="A1:D6"/>
  <sheetViews>
    <sheetView zoomScale="160" zoomScaleNormal="160" workbookViewId="0">
      <selection activeCell="C3" sqref="C3"/>
    </sheetView>
  </sheetViews>
  <sheetFormatPr baseColWidth="10" defaultColWidth="9.1640625" defaultRowHeight="15" x14ac:dyDescent="0.2"/>
  <cols>
    <col min="1" max="1" width="17.5" customWidth="1"/>
    <col min="2" max="2" width="16.1640625" customWidth="1"/>
  </cols>
  <sheetData>
    <row r="1" spans="1:4" x14ac:dyDescent="0.2">
      <c r="A1" t="s">
        <v>10</v>
      </c>
      <c r="B1" t="s">
        <v>11</v>
      </c>
      <c r="C1" t="s">
        <v>12</v>
      </c>
      <c r="D1" t="s">
        <v>13</v>
      </c>
    </row>
    <row r="2" spans="1:4" x14ac:dyDescent="0.2">
      <c r="A2" t="s">
        <v>14</v>
      </c>
      <c r="B2" t="s">
        <v>15</v>
      </c>
      <c r="C2">
        <v>4</v>
      </c>
      <c r="D2" s="19">
        <v>0.75</v>
      </c>
    </row>
    <row r="3" spans="1:4" x14ac:dyDescent="0.2">
      <c r="A3" t="s">
        <v>16</v>
      </c>
      <c r="B3" t="s">
        <v>17</v>
      </c>
      <c r="C3">
        <v>3</v>
      </c>
      <c r="D3" s="19">
        <v>0.5</v>
      </c>
    </row>
    <row r="4" spans="1:4" x14ac:dyDescent="0.2">
      <c r="A4" t="s">
        <v>18</v>
      </c>
      <c r="B4" t="s">
        <v>19</v>
      </c>
      <c r="C4">
        <v>2</v>
      </c>
      <c r="D4" s="19">
        <v>0.2</v>
      </c>
    </row>
    <row r="5" spans="1:4" x14ac:dyDescent="0.2">
      <c r="A5" t="s">
        <v>20</v>
      </c>
      <c r="B5" t="s">
        <v>21</v>
      </c>
      <c r="C5">
        <v>0</v>
      </c>
      <c r="D5" s="19">
        <f>1/12</f>
        <v>8.3333333333333329E-2</v>
      </c>
    </row>
    <row r="6" spans="1:4" x14ac:dyDescent="0.2">
      <c r="A6" t="s">
        <v>22</v>
      </c>
      <c r="B6" t="s">
        <v>23</v>
      </c>
      <c r="C6">
        <v>1</v>
      </c>
      <c r="D6" s="19">
        <v>999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D3080-FD7C-4224-ADE3-A96987B8E8CE}">
  <sheetPr codeName="Sheet2">
    <tabColor rgb="FF92D050"/>
  </sheetPr>
  <dimension ref="A1:L260"/>
  <sheetViews>
    <sheetView zoomScale="130" zoomScaleNormal="130" workbookViewId="0">
      <selection activeCell="A2" sqref="A2"/>
    </sheetView>
  </sheetViews>
  <sheetFormatPr baseColWidth="10" defaultColWidth="9.1640625" defaultRowHeight="15" x14ac:dyDescent="0.2"/>
  <cols>
    <col min="1" max="1" width="13.83203125" bestFit="1" customWidth="1"/>
    <col min="2" max="2" width="47.83203125" bestFit="1" customWidth="1"/>
    <col min="3" max="3" width="45.83203125" bestFit="1" customWidth="1"/>
    <col min="4" max="4" width="12.5" bestFit="1" customWidth="1"/>
    <col min="5" max="5" width="33.5" bestFit="1" customWidth="1"/>
    <col min="6" max="6" width="33.5" customWidth="1"/>
    <col min="7" max="7" width="18.5" bestFit="1" customWidth="1"/>
    <col min="9" max="9" width="27.83203125" bestFit="1" customWidth="1"/>
    <col min="10" max="10" width="11.5" bestFit="1" customWidth="1"/>
    <col min="11" max="11" width="132" bestFit="1" customWidth="1"/>
    <col min="12" max="12" width="7.5" bestFit="1" customWidth="1"/>
    <col min="16" max="16" width="13.83203125" bestFit="1" customWidth="1"/>
    <col min="17" max="17" width="23.5" bestFit="1" customWidth="1"/>
  </cols>
  <sheetData>
    <row r="1" spans="1:12" x14ac:dyDescent="0.2">
      <c r="A1" t="s">
        <v>24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13</v>
      </c>
    </row>
    <row r="2" spans="1:12" x14ac:dyDescent="0.2">
      <c r="A2" t="str">
        <f>Table4[[#This Row],[ID]]</f>
        <v>ME_00_01_00</v>
      </c>
      <c r="B2" t="str">
        <f>VLOOKUP(Table8[[#This Row],[ME_ID]],Table4[#All],2)</f>
        <v>dummyME</v>
      </c>
      <c r="C2" t="str">
        <f>VLOOKUP(Table8[[#This Row],[ME_ID]],Table4[#All],4)</f>
        <v>E</v>
      </c>
      <c r="D2" t="str">
        <f>VLOOKUP(Table8[[#This Row],[ME_ID]],Table4[#All],3)</f>
        <v>MLEO_00_01</v>
      </c>
      <c r="E2" t="str">
        <f>VLOOKUP(Table8[[#This Row],[MLEO_ID]],Table3[#All],4)</f>
        <v>PRIMITIVE_TYPE_ATTRIBUTES</v>
      </c>
      <c r="F2" t="str">
        <f>VLOOKUP(Table8[[#This Row],[MLEO_ID]],Table3[#All],5)</f>
        <v>implement primitive type attributes.</v>
      </c>
      <c r="G2" t="str">
        <f>VLOOKUP(Table8[[#This Row],[MLEO_ID]],Table3[#All],3)</f>
        <v>APPLY_TO_SIMILAR</v>
      </c>
      <c r="H2" t="str">
        <f>VLOOKUP(Table8[[#This Row],[MLEO_ID]],Table3[#All],2)</f>
        <v>LEO_00</v>
      </c>
      <c r="I2" t="str">
        <f>VLOOKUP(Table8[[#This Row],[LEO]],Table1[#All],2)</f>
        <v>BASIC_CLASSES</v>
      </c>
      <c r="J2">
        <f>VLOOKUP(Table8[[#This Row],[LEO]],Table1[#All],5)</f>
        <v>1</v>
      </c>
      <c r="K2" t="str">
        <f>VLOOKUP(Table8[[#This Row],[LEO]],Table1[#All],3)</f>
        <v>identify, design, and implement simple classes.</v>
      </c>
      <c r="L2" s="19">
        <f>VLOOKUP(Table8[[#This Row],[ME_ID]],Table4[#All],8)</f>
        <v>0.5</v>
      </c>
    </row>
    <row r="3" spans="1:12" x14ac:dyDescent="0.2">
      <c r="A3" t="e">
        <f>Table4[[#This Row],[ID]]</f>
        <v>#VALUE!</v>
      </c>
      <c r="B3" t="e">
        <f>VLOOKUP(Table8[[#This Row],[ME_ID]],Table4[#All],2)</f>
        <v>#VALUE!</v>
      </c>
      <c r="C3" t="e">
        <f>VLOOKUP(Table8[[#This Row],[ME_ID]],Table4[#All],4)</f>
        <v>#VALUE!</v>
      </c>
      <c r="D3" t="e">
        <f>VLOOKUP(Table8[[#This Row],[ME_ID]],Table4[#All],3)</f>
        <v>#VALUE!</v>
      </c>
      <c r="E3" t="e">
        <f>VLOOKUP(Table8[[#This Row],[MLEO_ID]],Table3[#All],4)</f>
        <v>#VALUE!</v>
      </c>
      <c r="F3" t="e">
        <f>VLOOKUP(Table8[[#This Row],[MLEO_ID]],Table3[#All],5)</f>
        <v>#VALUE!</v>
      </c>
      <c r="G3" t="e">
        <f>VLOOKUP(Table8[[#This Row],[MLEO_ID]],Table3[#All],3)</f>
        <v>#VALUE!</v>
      </c>
      <c r="H3" t="e">
        <f>VLOOKUP(Table8[[#This Row],[MLEO_ID]],Table3[#All],2)</f>
        <v>#VALUE!</v>
      </c>
      <c r="I3" t="e">
        <f>VLOOKUP(Table8[[#This Row],[LEO]],Table1[#All],2)</f>
        <v>#VALUE!</v>
      </c>
      <c r="J3" t="e">
        <f>VLOOKUP(Table8[[#This Row],[LEO]],Table1[#All],5)</f>
        <v>#VALUE!</v>
      </c>
      <c r="K3" t="e">
        <f>VLOOKUP(Table8[[#This Row],[LEO]],Table1[#All],3)</f>
        <v>#VALUE!</v>
      </c>
      <c r="L3" s="19" t="e">
        <f>VLOOKUP(Table8[[#This Row],[ME_ID]],Table4[#All],8)</f>
        <v>#VALUE!</v>
      </c>
    </row>
    <row r="4" spans="1:12" x14ac:dyDescent="0.2">
      <c r="A4" t="e">
        <f>Table4[[#This Row],[ID]]</f>
        <v>#VALUE!</v>
      </c>
      <c r="B4" t="e">
        <f>VLOOKUP(Table8[[#This Row],[ME_ID]],Table4[#All],2)</f>
        <v>#VALUE!</v>
      </c>
      <c r="C4" t="e">
        <f>VLOOKUP(Table8[[#This Row],[ME_ID]],Table4[#All],4)</f>
        <v>#VALUE!</v>
      </c>
      <c r="D4" t="e">
        <f>VLOOKUP(Table8[[#This Row],[ME_ID]],Table4[#All],3)</f>
        <v>#VALUE!</v>
      </c>
      <c r="E4" t="e">
        <f>VLOOKUP(Table8[[#This Row],[MLEO_ID]],Table3[#All],4)</f>
        <v>#VALUE!</v>
      </c>
      <c r="F4" t="e">
        <f>VLOOKUP(Table8[[#This Row],[MLEO_ID]],Table3[#All],5)</f>
        <v>#VALUE!</v>
      </c>
      <c r="G4" t="e">
        <f>VLOOKUP(Table8[[#This Row],[MLEO_ID]],Table3[#All],3)</f>
        <v>#VALUE!</v>
      </c>
      <c r="H4" t="e">
        <f>VLOOKUP(Table8[[#This Row],[MLEO_ID]],Table3[#All],2)</f>
        <v>#VALUE!</v>
      </c>
      <c r="I4" t="e">
        <f>VLOOKUP(Table8[[#This Row],[LEO]],Table1[#All],2)</f>
        <v>#VALUE!</v>
      </c>
      <c r="J4" t="e">
        <f>VLOOKUP(Table8[[#This Row],[LEO]],Table1[#All],5)</f>
        <v>#VALUE!</v>
      </c>
      <c r="K4" t="e">
        <f>VLOOKUP(Table8[[#This Row],[LEO]],Table1[#All],3)</f>
        <v>#VALUE!</v>
      </c>
      <c r="L4" s="19" t="e">
        <f>VLOOKUP(Table8[[#This Row],[ME_ID]],Table4[#All],8)</f>
        <v>#VALUE!</v>
      </c>
    </row>
    <row r="5" spans="1:12" x14ac:dyDescent="0.2">
      <c r="A5" t="e">
        <f>Table4[[#This Row],[ID]]</f>
        <v>#VALUE!</v>
      </c>
      <c r="B5" t="e">
        <f>VLOOKUP(Table8[[#This Row],[ME_ID]],Table4[#All],2)</f>
        <v>#VALUE!</v>
      </c>
      <c r="C5" t="e">
        <f>VLOOKUP(Table8[[#This Row],[ME_ID]],Table4[#All],4)</f>
        <v>#VALUE!</v>
      </c>
      <c r="D5" t="e">
        <f>VLOOKUP(Table8[[#This Row],[ME_ID]],Table4[#All],3)</f>
        <v>#VALUE!</v>
      </c>
      <c r="E5" t="e">
        <f>VLOOKUP(Table8[[#This Row],[MLEO_ID]],Table3[#All],4)</f>
        <v>#VALUE!</v>
      </c>
      <c r="F5" t="e">
        <f>VLOOKUP(Table8[[#This Row],[MLEO_ID]],Table3[#All],5)</f>
        <v>#VALUE!</v>
      </c>
      <c r="G5" t="e">
        <f>VLOOKUP(Table8[[#This Row],[MLEO_ID]],Table3[#All],3)</f>
        <v>#VALUE!</v>
      </c>
      <c r="H5" t="e">
        <f>VLOOKUP(Table8[[#This Row],[MLEO_ID]],Table3[#All],2)</f>
        <v>#VALUE!</v>
      </c>
      <c r="I5" t="e">
        <f>VLOOKUP(Table8[[#This Row],[LEO]],Table1[#All],2)</f>
        <v>#VALUE!</v>
      </c>
      <c r="J5" t="e">
        <f>VLOOKUP(Table8[[#This Row],[LEO]],Table1[#All],5)</f>
        <v>#VALUE!</v>
      </c>
      <c r="K5" t="e">
        <f>VLOOKUP(Table8[[#This Row],[LEO]],Table1[#All],3)</f>
        <v>#VALUE!</v>
      </c>
      <c r="L5" s="19" t="e">
        <f>VLOOKUP(Table8[[#This Row],[ME_ID]],Table4[#All],8)</f>
        <v>#VALUE!</v>
      </c>
    </row>
    <row r="6" spans="1:12" x14ac:dyDescent="0.2">
      <c r="A6" t="e">
        <f>Table4[[#This Row],[ID]]</f>
        <v>#VALUE!</v>
      </c>
      <c r="B6" t="e">
        <f>VLOOKUP(Table8[[#This Row],[ME_ID]],Table4[#All],2)</f>
        <v>#VALUE!</v>
      </c>
      <c r="C6" t="e">
        <f>VLOOKUP(Table8[[#This Row],[ME_ID]],Table4[#All],4)</f>
        <v>#VALUE!</v>
      </c>
      <c r="D6" t="e">
        <f>VLOOKUP(Table8[[#This Row],[ME_ID]],Table4[#All],3)</f>
        <v>#VALUE!</v>
      </c>
      <c r="E6" t="e">
        <f>VLOOKUP(Table8[[#This Row],[MLEO_ID]],Table3[#All],4)</f>
        <v>#VALUE!</v>
      </c>
      <c r="F6" t="e">
        <f>VLOOKUP(Table8[[#This Row],[MLEO_ID]],Table3[#All],5)</f>
        <v>#VALUE!</v>
      </c>
      <c r="G6" t="e">
        <f>VLOOKUP(Table8[[#This Row],[MLEO_ID]],Table3[#All],3)</f>
        <v>#VALUE!</v>
      </c>
      <c r="H6" t="e">
        <f>VLOOKUP(Table8[[#This Row],[MLEO_ID]],Table3[#All],2)</f>
        <v>#VALUE!</v>
      </c>
      <c r="I6" t="e">
        <f>VLOOKUP(Table8[[#This Row],[LEO]],Table1[#All],2)</f>
        <v>#VALUE!</v>
      </c>
      <c r="J6" t="e">
        <f>VLOOKUP(Table8[[#This Row],[LEO]],Table1[#All],5)</f>
        <v>#VALUE!</v>
      </c>
      <c r="K6" t="e">
        <f>VLOOKUP(Table8[[#This Row],[LEO]],Table1[#All],3)</f>
        <v>#VALUE!</v>
      </c>
      <c r="L6" s="19" t="e">
        <f>VLOOKUP(Table8[[#This Row],[ME_ID]],Table4[#All],8)</f>
        <v>#VALUE!</v>
      </c>
    </row>
    <row r="7" spans="1:12" x14ac:dyDescent="0.2">
      <c r="A7" t="e">
        <f>Table4[[#This Row],[ID]]</f>
        <v>#VALUE!</v>
      </c>
      <c r="B7" t="e">
        <f>VLOOKUP(Table8[[#This Row],[ME_ID]],Table4[#All],2)</f>
        <v>#VALUE!</v>
      </c>
      <c r="C7" t="e">
        <f>VLOOKUP(Table8[[#This Row],[ME_ID]],Table4[#All],4)</f>
        <v>#VALUE!</v>
      </c>
      <c r="D7" t="e">
        <f>VLOOKUP(Table8[[#This Row],[ME_ID]],Table4[#All],3)</f>
        <v>#VALUE!</v>
      </c>
      <c r="E7" t="e">
        <f>VLOOKUP(Table8[[#This Row],[MLEO_ID]],Table3[#All],4)</f>
        <v>#VALUE!</v>
      </c>
      <c r="F7" t="e">
        <f>VLOOKUP(Table8[[#This Row],[MLEO_ID]],Table3[#All],5)</f>
        <v>#VALUE!</v>
      </c>
      <c r="G7" t="e">
        <f>VLOOKUP(Table8[[#This Row],[MLEO_ID]],Table3[#All],3)</f>
        <v>#VALUE!</v>
      </c>
      <c r="H7" t="e">
        <f>VLOOKUP(Table8[[#This Row],[MLEO_ID]],Table3[#All],2)</f>
        <v>#VALUE!</v>
      </c>
      <c r="I7" t="e">
        <f>VLOOKUP(Table8[[#This Row],[LEO]],Table1[#All],2)</f>
        <v>#VALUE!</v>
      </c>
      <c r="J7" t="e">
        <f>VLOOKUP(Table8[[#This Row],[LEO]],Table1[#All],5)</f>
        <v>#VALUE!</v>
      </c>
      <c r="K7" t="e">
        <f>VLOOKUP(Table8[[#This Row],[LEO]],Table1[#All],3)</f>
        <v>#VALUE!</v>
      </c>
      <c r="L7" s="19" t="e">
        <f>VLOOKUP(Table8[[#This Row],[ME_ID]],Table4[#All],8)</f>
        <v>#VALUE!</v>
      </c>
    </row>
    <row r="8" spans="1:12" x14ac:dyDescent="0.2">
      <c r="A8" t="e">
        <f>Table4[[#This Row],[ID]]</f>
        <v>#VALUE!</v>
      </c>
      <c r="B8" t="e">
        <f>VLOOKUP(Table8[[#This Row],[ME_ID]],Table4[#All],2)</f>
        <v>#VALUE!</v>
      </c>
      <c r="C8" t="e">
        <f>VLOOKUP(Table8[[#This Row],[ME_ID]],Table4[#All],4)</f>
        <v>#VALUE!</v>
      </c>
      <c r="D8" t="e">
        <f>VLOOKUP(Table8[[#This Row],[ME_ID]],Table4[#All],3)</f>
        <v>#VALUE!</v>
      </c>
      <c r="E8" t="e">
        <f>VLOOKUP(Table8[[#This Row],[MLEO_ID]],Table3[#All],4)</f>
        <v>#VALUE!</v>
      </c>
      <c r="F8" t="e">
        <f>VLOOKUP(Table8[[#This Row],[MLEO_ID]],Table3[#All],5)</f>
        <v>#VALUE!</v>
      </c>
      <c r="G8" t="e">
        <f>VLOOKUP(Table8[[#This Row],[MLEO_ID]],Table3[#All],3)</f>
        <v>#VALUE!</v>
      </c>
      <c r="H8" t="e">
        <f>VLOOKUP(Table8[[#This Row],[MLEO_ID]],Table3[#All],2)</f>
        <v>#VALUE!</v>
      </c>
      <c r="I8" t="e">
        <f>VLOOKUP(Table8[[#This Row],[LEO]],Table1[#All],2)</f>
        <v>#VALUE!</v>
      </c>
      <c r="J8" t="e">
        <f>VLOOKUP(Table8[[#This Row],[LEO]],Table1[#All],5)</f>
        <v>#VALUE!</v>
      </c>
      <c r="K8" t="e">
        <f>VLOOKUP(Table8[[#This Row],[LEO]],Table1[#All],3)</f>
        <v>#VALUE!</v>
      </c>
      <c r="L8" s="19" t="e">
        <f>VLOOKUP(Table8[[#This Row],[ME_ID]],Table4[#All],8)</f>
        <v>#VALUE!</v>
      </c>
    </row>
    <row r="9" spans="1:12" x14ac:dyDescent="0.2">
      <c r="A9" t="e">
        <f>Table4[[#This Row],[ID]]</f>
        <v>#VALUE!</v>
      </c>
      <c r="B9" t="e">
        <f>VLOOKUP(Table8[[#This Row],[ME_ID]],Table4[#All],2)</f>
        <v>#VALUE!</v>
      </c>
      <c r="C9" t="e">
        <f>VLOOKUP(Table8[[#This Row],[ME_ID]],Table4[#All],4)</f>
        <v>#VALUE!</v>
      </c>
      <c r="D9" t="e">
        <f>VLOOKUP(Table8[[#This Row],[ME_ID]],Table4[#All],3)</f>
        <v>#VALUE!</v>
      </c>
      <c r="E9" t="e">
        <f>VLOOKUP(Table8[[#This Row],[MLEO_ID]],Table3[#All],4)</f>
        <v>#VALUE!</v>
      </c>
      <c r="F9" t="e">
        <f>VLOOKUP(Table8[[#This Row],[MLEO_ID]],Table3[#All],5)</f>
        <v>#VALUE!</v>
      </c>
      <c r="G9" t="e">
        <f>VLOOKUP(Table8[[#This Row],[MLEO_ID]],Table3[#All],3)</f>
        <v>#VALUE!</v>
      </c>
      <c r="H9" t="e">
        <f>VLOOKUP(Table8[[#This Row],[MLEO_ID]],Table3[#All],2)</f>
        <v>#VALUE!</v>
      </c>
      <c r="I9" t="e">
        <f>VLOOKUP(Table8[[#This Row],[LEO]],Table1[#All],2)</f>
        <v>#VALUE!</v>
      </c>
      <c r="J9" t="e">
        <f>VLOOKUP(Table8[[#This Row],[LEO]],Table1[#All],5)</f>
        <v>#VALUE!</v>
      </c>
      <c r="K9" t="e">
        <f>VLOOKUP(Table8[[#This Row],[LEO]],Table1[#All],3)</f>
        <v>#VALUE!</v>
      </c>
      <c r="L9" s="19" t="e">
        <f>VLOOKUP(Table8[[#This Row],[ME_ID]],Table4[#All],8)</f>
        <v>#VALUE!</v>
      </c>
    </row>
    <row r="10" spans="1:12" x14ac:dyDescent="0.2">
      <c r="A10" t="e">
        <f>Table4[[#This Row],[ID]]</f>
        <v>#VALUE!</v>
      </c>
      <c r="B10" t="e">
        <f>VLOOKUP(Table8[[#This Row],[ME_ID]],Table4[#All],2)</f>
        <v>#VALUE!</v>
      </c>
      <c r="C10" t="e">
        <f>VLOOKUP(Table8[[#This Row],[ME_ID]],Table4[#All],4)</f>
        <v>#VALUE!</v>
      </c>
      <c r="D10" t="e">
        <f>VLOOKUP(Table8[[#This Row],[ME_ID]],Table4[#All],3)</f>
        <v>#VALUE!</v>
      </c>
      <c r="E10" t="e">
        <f>VLOOKUP(Table8[[#This Row],[MLEO_ID]],Table3[#All],4)</f>
        <v>#VALUE!</v>
      </c>
      <c r="F10" t="e">
        <f>VLOOKUP(Table8[[#This Row],[MLEO_ID]],Table3[#All],5)</f>
        <v>#VALUE!</v>
      </c>
      <c r="G10" t="e">
        <f>VLOOKUP(Table8[[#This Row],[MLEO_ID]],Table3[#All],3)</f>
        <v>#VALUE!</v>
      </c>
      <c r="H10" t="e">
        <f>VLOOKUP(Table8[[#This Row],[MLEO_ID]],Table3[#All],2)</f>
        <v>#VALUE!</v>
      </c>
      <c r="I10" t="e">
        <f>VLOOKUP(Table8[[#This Row],[LEO]],Table1[#All],2)</f>
        <v>#VALUE!</v>
      </c>
      <c r="J10" t="e">
        <f>VLOOKUP(Table8[[#This Row],[LEO]],Table1[#All],5)</f>
        <v>#VALUE!</v>
      </c>
      <c r="K10" t="e">
        <f>VLOOKUP(Table8[[#This Row],[LEO]],Table1[#All],3)</f>
        <v>#VALUE!</v>
      </c>
      <c r="L10" s="19" t="e">
        <f>VLOOKUP(Table8[[#This Row],[ME_ID]],Table4[#All],8)</f>
        <v>#VALUE!</v>
      </c>
    </row>
    <row r="11" spans="1:12" x14ac:dyDescent="0.2">
      <c r="A11" t="e">
        <f>Table4[[#This Row],[ID]]</f>
        <v>#VALUE!</v>
      </c>
      <c r="B11" t="e">
        <f>VLOOKUP(Table8[[#This Row],[ME_ID]],Table4[#All],2)</f>
        <v>#VALUE!</v>
      </c>
      <c r="C11" t="e">
        <f>VLOOKUP(Table8[[#This Row],[ME_ID]],Table4[#All],4)</f>
        <v>#VALUE!</v>
      </c>
      <c r="D11" t="e">
        <f>VLOOKUP(Table8[[#This Row],[ME_ID]],Table4[#All],3)</f>
        <v>#VALUE!</v>
      </c>
      <c r="E11" t="e">
        <f>VLOOKUP(Table8[[#This Row],[MLEO_ID]],Table3[#All],4)</f>
        <v>#VALUE!</v>
      </c>
      <c r="F11" t="e">
        <f>VLOOKUP(Table8[[#This Row],[MLEO_ID]],Table3[#All],5)</f>
        <v>#VALUE!</v>
      </c>
      <c r="G11" t="e">
        <f>VLOOKUP(Table8[[#This Row],[MLEO_ID]],Table3[#All],3)</f>
        <v>#VALUE!</v>
      </c>
      <c r="H11" t="e">
        <f>VLOOKUP(Table8[[#This Row],[MLEO_ID]],Table3[#All],2)</f>
        <v>#VALUE!</v>
      </c>
      <c r="I11" t="e">
        <f>VLOOKUP(Table8[[#This Row],[LEO]],Table1[#All],2)</f>
        <v>#VALUE!</v>
      </c>
      <c r="J11" t="e">
        <f>VLOOKUP(Table8[[#This Row],[LEO]],Table1[#All],5)</f>
        <v>#VALUE!</v>
      </c>
      <c r="K11" t="e">
        <f>VLOOKUP(Table8[[#This Row],[LEO]],Table1[#All],3)</f>
        <v>#VALUE!</v>
      </c>
      <c r="L11" s="19" t="e">
        <f>VLOOKUP(Table8[[#This Row],[ME_ID]],Table4[#All],8)</f>
        <v>#VALUE!</v>
      </c>
    </row>
    <row r="12" spans="1:12" x14ac:dyDescent="0.2">
      <c r="A12" t="e">
        <f>Table4[[#This Row],[ID]]</f>
        <v>#VALUE!</v>
      </c>
      <c r="B12" t="e">
        <f>VLOOKUP(Table8[[#This Row],[ME_ID]],Table4[#All],2)</f>
        <v>#VALUE!</v>
      </c>
      <c r="C12" t="e">
        <f>VLOOKUP(Table8[[#This Row],[ME_ID]],Table4[#All],4)</f>
        <v>#VALUE!</v>
      </c>
      <c r="D12" t="e">
        <f>VLOOKUP(Table8[[#This Row],[ME_ID]],Table4[#All],3)</f>
        <v>#VALUE!</v>
      </c>
      <c r="E12" t="e">
        <f>VLOOKUP(Table8[[#This Row],[MLEO_ID]],Table3[#All],4)</f>
        <v>#VALUE!</v>
      </c>
      <c r="F12" t="e">
        <f>VLOOKUP(Table8[[#This Row],[MLEO_ID]],Table3[#All],5)</f>
        <v>#VALUE!</v>
      </c>
      <c r="G12" t="e">
        <f>VLOOKUP(Table8[[#This Row],[MLEO_ID]],Table3[#All],3)</f>
        <v>#VALUE!</v>
      </c>
      <c r="H12" t="e">
        <f>VLOOKUP(Table8[[#This Row],[MLEO_ID]],Table3[#All],2)</f>
        <v>#VALUE!</v>
      </c>
      <c r="I12" t="e">
        <f>VLOOKUP(Table8[[#This Row],[LEO]],Table1[#All],2)</f>
        <v>#VALUE!</v>
      </c>
      <c r="J12" t="e">
        <f>VLOOKUP(Table8[[#This Row],[LEO]],Table1[#All],5)</f>
        <v>#VALUE!</v>
      </c>
      <c r="K12" t="e">
        <f>VLOOKUP(Table8[[#This Row],[LEO]],Table1[#All],3)</f>
        <v>#VALUE!</v>
      </c>
      <c r="L12" s="19" t="e">
        <f>VLOOKUP(Table8[[#This Row],[ME_ID]],Table4[#All],8)</f>
        <v>#VALUE!</v>
      </c>
    </row>
    <row r="13" spans="1:12" x14ac:dyDescent="0.2">
      <c r="A13" t="e">
        <f>Table4[[#This Row],[ID]]</f>
        <v>#VALUE!</v>
      </c>
      <c r="B13" t="e">
        <f>VLOOKUP(Table8[[#This Row],[ME_ID]],Table4[#All],2)</f>
        <v>#VALUE!</v>
      </c>
      <c r="C13" t="e">
        <f>VLOOKUP(Table8[[#This Row],[ME_ID]],Table4[#All],4)</f>
        <v>#VALUE!</v>
      </c>
      <c r="D13" t="e">
        <f>VLOOKUP(Table8[[#This Row],[ME_ID]],Table4[#All],3)</f>
        <v>#VALUE!</v>
      </c>
      <c r="E13" t="e">
        <f>VLOOKUP(Table8[[#This Row],[MLEO_ID]],Table3[#All],4)</f>
        <v>#VALUE!</v>
      </c>
      <c r="F13" t="e">
        <f>VLOOKUP(Table8[[#This Row],[MLEO_ID]],Table3[#All],5)</f>
        <v>#VALUE!</v>
      </c>
      <c r="G13" t="e">
        <f>VLOOKUP(Table8[[#This Row],[MLEO_ID]],Table3[#All],3)</f>
        <v>#VALUE!</v>
      </c>
      <c r="H13" t="e">
        <f>VLOOKUP(Table8[[#This Row],[MLEO_ID]],Table3[#All],2)</f>
        <v>#VALUE!</v>
      </c>
      <c r="I13" t="e">
        <f>VLOOKUP(Table8[[#This Row],[LEO]],Table1[#All],2)</f>
        <v>#VALUE!</v>
      </c>
      <c r="J13" t="e">
        <f>VLOOKUP(Table8[[#This Row],[LEO]],Table1[#All],5)</f>
        <v>#VALUE!</v>
      </c>
      <c r="K13" t="e">
        <f>VLOOKUP(Table8[[#This Row],[LEO]],Table1[#All],3)</f>
        <v>#VALUE!</v>
      </c>
      <c r="L13" s="19" t="e">
        <f>VLOOKUP(Table8[[#This Row],[ME_ID]],Table4[#All],8)</f>
        <v>#VALUE!</v>
      </c>
    </row>
    <row r="14" spans="1:12" x14ac:dyDescent="0.2">
      <c r="A14" t="e">
        <f>Table4[[#This Row],[ID]]</f>
        <v>#VALUE!</v>
      </c>
      <c r="B14" t="e">
        <f>VLOOKUP(Table8[[#This Row],[ME_ID]],Table4[#All],2)</f>
        <v>#VALUE!</v>
      </c>
      <c r="C14" t="e">
        <f>VLOOKUP(Table8[[#This Row],[ME_ID]],Table4[#All],4)</f>
        <v>#VALUE!</v>
      </c>
      <c r="D14" t="e">
        <f>VLOOKUP(Table8[[#This Row],[ME_ID]],Table4[#All],3)</f>
        <v>#VALUE!</v>
      </c>
      <c r="E14" t="e">
        <f>VLOOKUP(Table8[[#This Row],[MLEO_ID]],Table3[#All],4)</f>
        <v>#VALUE!</v>
      </c>
      <c r="F14" t="e">
        <f>VLOOKUP(Table8[[#This Row],[MLEO_ID]],Table3[#All],5)</f>
        <v>#VALUE!</v>
      </c>
      <c r="G14" t="e">
        <f>VLOOKUP(Table8[[#This Row],[MLEO_ID]],Table3[#All],3)</f>
        <v>#VALUE!</v>
      </c>
      <c r="H14" t="e">
        <f>VLOOKUP(Table8[[#This Row],[MLEO_ID]],Table3[#All],2)</f>
        <v>#VALUE!</v>
      </c>
      <c r="I14" t="e">
        <f>VLOOKUP(Table8[[#This Row],[LEO]],Table1[#All],2)</f>
        <v>#VALUE!</v>
      </c>
      <c r="J14" t="e">
        <f>VLOOKUP(Table8[[#This Row],[LEO]],Table1[#All],5)</f>
        <v>#VALUE!</v>
      </c>
      <c r="K14" t="e">
        <f>VLOOKUP(Table8[[#This Row],[LEO]],Table1[#All],3)</f>
        <v>#VALUE!</v>
      </c>
      <c r="L14" s="19" t="e">
        <f>VLOOKUP(Table8[[#This Row],[ME_ID]],Table4[#All],8)</f>
        <v>#VALUE!</v>
      </c>
    </row>
    <row r="15" spans="1:12" x14ac:dyDescent="0.2">
      <c r="A15" t="e">
        <f>Table4[[#This Row],[ID]]</f>
        <v>#VALUE!</v>
      </c>
      <c r="B15" t="e">
        <f>VLOOKUP(Table8[[#This Row],[ME_ID]],Table4[#All],2)</f>
        <v>#VALUE!</v>
      </c>
      <c r="C15" t="e">
        <f>VLOOKUP(Table8[[#This Row],[ME_ID]],Table4[#All],4)</f>
        <v>#VALUE!</v>
      </c>
      <c r="D15" t="e">
        <f>VLOOKUP(Table8[[#This Row],[ME_ID]],Table4[#All],3)</f>
        <v>#VALUE!</v>
      </c>
      <c r="E15" t="e">
        <f>VLOOKUP(Table8[[#This Row],[MLEO_ID]],Table3[#All],4)</f>
        <v>#VALUE!</v>
      </c>
      <c r="F15" t="e">
        <f>VLOOKUP(Table8[[#This Row],[MLEO_ID]],Table3[#All],5)</f>
        <v>#VALUE!</v>
      </c>
      <c r="G15" t="e">
        <f>VLOOKUP(Table8[[#This Row],[MLEO_ID]],Table3[#All],3)</f>
        <v>#VALUE!</v>
      </c>
      <c r="H15" t="e">
        <f>VLOOKUP(Table8[[#This Row],[MLEO_ID]],Table3[#All],2)</f>
        <v>#VALUE!</v>
      </c>
      <c r="I15" t="e">
        <f>VLOOKUP(Table8[[#This Row],[LEO]],Table1[#All],2)</f>
        <v>#VALUE!</v>
      </c>
      <c r="J15" t="e">
        <f>VLOOKUP(Table8[[#This Row],[LEO]],Table1[#All],5)</f>
        <v>#VALUE!</v>
      </c>
      <c r="K15" t="e">
        <f>VLOOKUP(Table8[[#This Row],[LEO]],Table1[#All],3)</f>
        <v>#VALUE!</v>
      </c>
      <c r="L15" s="19" t="e">
        <f>VLOOKUP(Table8[[#This Row],[ME_ID]],Table4[#All],8)</f>
        <v>#VALUE!</v>
      </c>
    </row>
    <row r="16" spans="1:12" x14ac:dyDescent="0.2">
      <c r="A16" t="e">
        <f>Table4[[#This Row],[ID]]</f>
        <v>#VALUE!</v>
      </c>
      <c r="B16" t="e">
        <f>VLOOKUP(Table8[[#This Row],[ME_ID]],Table4[#All],2)</f>
        <v>#VALUE!</v>
      </c>
      <c r="C16" t="e">
        <f>VLOOKUP(Table8[[#This Row],[ME_ID]],Table4[#All],4)</f>
        <v>#VALUE!</v>
      </c>
      <c r="D16" t="e">
        <f>VLOOKUP(Table8[[#This Row],[ME_ID]],Table4[#All],3)</f>
        <v>#VALUE!</v>
      </c>
      <c r="E16" t="e">
        <f>VLOOKUP(Table8[[#This Row],[MLEO_ID]],Table3[#All],4)</f>
        <v>#VALUE!</v>
      </c>
      <c r="F16" t="e">
        <f>VLOOKUP(Table8[[#This Row],[MLEO_ID]],Table3[#All],5)</f>
        <v>#VALUE!</v>
      </c>
      <c r="G16" t="e">
        <f>VLOOKUP(Table8[[#This Row],[MLEO_ID]],Table3[#All],3)</f>
        <v>#VALUE!</v>
      </c>
      <c r="H16" t="e">
        <f>VLOOKUP(Table8[[#This Row],[MLEO_ID]],Table3[#All],2)</f>
        <v>#VALUE!</v>
      </c>
      <c r="I16" t="e">
        <f>VLOOKUP(Table8[[#This Row],[LEO]],Table1[#All],2)</f>
        <v>#VALUE!</v>
      </c>
      <c r="J16" t="e">
        <f>VLOOKUP(Table8[[#This Row],[LEO]],Table1[#All],5)</f>
        <v>#VALUE!</v>
      </c>
      <c r="K16" t="e">
        <f>VLOOKUP(Table8[[#This Row],[LEO]],Table1[#All],3)</f>
        <v>#VALUE!</v>
      </c>
      <c r="L16" s="19" t="e">
        <f>VLOOKUP(Table8[[#This Row],[ME_ID]],Table4[#All],8)</f>
        <v>#VALUE!</v>
      </c>
    </row>
    <row r="17" spans="1:12" x14ac:dyDescent="0.2">
      <c r="A17" t="e">
        <f>Table4[[#This Row],[ID]]</f>
        <v>#VALUE!</v>
      </c>
      <c r="B17" t="e">
        <f>VLOOKUP(Table8[[#This Row],[ME_ID]],Table4[#All],2)</f>
        <v>#VALUE!</v>
      </c>
      <c r="C17" t="e">
        <f>VLOOKUP(Table8[[#This Row],[ME_ID]],Table4[#All],4)</f>
        <v>#VALUE!</v>
      </c>
      <c r="D17" t="e">
        <f>VLOOKUP(Table8[[#This Row],[ME_ID]],Table4[#All],3)</f>
        <v>#VALUE!</v>
      </c>
      <c r="E17" t="e">
        <f>VLOOKUP(Table8[[#This Row],[MLEO_ID]],Table3[#All],4)</f>
        <v>#VALUE!</v>
      </c>
      <c r="F17" t="e">
        <f>VLOOKUP(Table8[[#This Row],[MLEO_ID]],Table3[#All],5)</f>
        <v>#VALUE!</v>
      </c>
      <c r="G17" t="e">
        <f>VLOOKUP(Table8[[#This Row],[MLEO_ID]],Table3[#All],3)</f>
        <v>#VALUE!</v>
      </c>
      <c r="H17" t="e">
        <f>VLOOKUP(Table8[[#This Row],[MLEO_ID]],Table3[#All],2)</f>
        <v>#VALUE!</v>
      </c>
      <c r="I17" t="e">
        <f>VLOOKUP(Table8[[#This Row],[LEO]],Table1[#All],2)</f>
        <v>#VALUE!</v>
      </c>
      <c r="J17" t="e">
        <f>VLOOKUP(Table8[[#This Row],[LEO]],Table1[#All],5)</f>
        <v>#VALUE!</v>
      </c>
      <c r="K17" t="e">
        <f>VLOOKUP(Table8[[#This Row],[LEO]],Table1[#All],3)</f>
        <v>#VALUE!</v>
      </c>
      <c r="L17" s="19" t="e">
        <f>VLOOKUP(Table8[[#This Row],[ME_ID]],Table4[#All],8)</f>
        <v>#VALUE!</v>
      </c>
    </row>
    <row r="18" spans="1:12" x14ac:dyDescent="0.2">
      <c r="A18" t="e">
        <f>Table4[[#This Row],[ID]]</f>
        <v>#VALUE!</v>
      </c>
      <c r="B18" t="e">
        <f>VLOOKUP(Table8[[#This Row],[ME_ID]],Table4[#All],2)</f>
        <v>#VALUE!</v>
      </c>
      <c r="C18" t="e">
        <f>VLOOKUP(Table8[[#This Row],[ME_ID]],Table4[#All],4)</f>
        <v>#VALUE!</v>
      </c>
      <c r="D18" t="e">
        <f>VLOOKUP(Table8[[#This Row],[ME_ID]],Table4[#All],3)</f>
        <v>#VALUE!</v>
      </c>
      <c r="E18" t="e">
        <f>VLOOKUP(Table8[[#This Row],[MLEO_ID]],Table3[#All],4)</f>
        <v>#VALUE!</v>
      </c>
      <c r="F18" t="e">
        <f>VLOOKUP(Table8[[#This Row],[MLEO_ID]],Table3[#All],5)</f>
        <v>#VALUE!</v>
      </c>
      <c r="G18" t="e">
        <f>VLOOKUP(Table8[[#This Row],[MLEO_ID]],Table3[#All],3)</f>
        <v>#VALUE!</v>
      </c>
      <c r="H18" t="e">
        <f>VLOOKUP(Table8[[#This Row],[MLEO_ID]],Table3[#All],2)</f>
        <v>#VALUE!</v>
      </c>
      <c r="I18" t="e">
        <f>VLOOKUP(Table8[[#This Row],[LEO]],Table1[#All],2)</f>
        <v>#VALUE!</v>
      </c>
      <c r="J18" t="e">
        <f>VLOOKUP(Table8[[#This Row],[LEO]],Table1[#All],5)</f>
        <v>#VALUE!</v>
      </c>
      <c r="K18" t="e">
        <f>VLOOKUP(Table8[[#This Row],[LEO]],Table1[#All],3)</f>
        <v>#VALUE!</v>
      </c>
      <c r="L18" s="19" t="e">
        <f>VLOOKUP(Table8[[#This Row],[ME_ID]],Table4[#All],8)</f>
        <v>#VALUE!</v>
      </c>
    </row>
    <row r="19" spans="1:12" x14ac:dyDescent="0.2">
      <c r="A19" t="e">
        <f>Table4[[#This Row],[ID]]</f>
        <v>#VALUE!</v>
      </c>
      <c r="B19" t="e">
        <f>VLOOKUP(Table8[[#This Row],[ME_ID]],Table4[#All],2)</f>
        <v>#VALUE!</v>
      </c>
      <c r="C19" t="e">
        <f>VLOOKUP(Table8[[#This Row],[ME_ID]],Table4[#All],4)</f>
        <v>#VALUE!</v>
      </c>
      <c r="D19" t="e">
        <f>VLOOKUP(Table8[[#This Row],[ME_ID]],Table4[#All],3)</f>
        <v>#VALUE!</v>
      </c>
      <c r="E19" t="e">
        <f>VLOOKUP(Table8[[#This Row],[MLEO_ID]],Table3[#All],4)</f>
        <v>#VALUE!</v>
      </c>
      <c r="F19" t="e">
        <f>VLOOKUP(Table8[[#This Row],[MLEO_ID]],Table3[#All],5)</f>
        <v>#VALUE!</v>
      </c>
      <c r="G19" t="e">
        <f>VLOOKUP(Table8[[#This Row],[MLEO_ID]],Table3[#All],3)</f>
        <v>#VALUE!</v>
      </c>
      <c r="H19" t="e">
        <f>VLOOKUP(Table8[[#This Row],[MLEO_ID]],Table3[#All],2)</f>
        <v>#VALUE!</v>
      </c>
      <c r="I19" t="e">
        <f>VLOOKUP(Table8[[#This Row],[LEO]],Table1[#All],2)</f>
        <v>#VALUE!</v>
      </c>
      <c r="J19" t="e">
        <f>VLOOKUP(Table8[[#This Row],[LEO]],Table1[#All],5)</f>
        <v>#VALUE!</v>
      </c>
      <c r="K19" t="e">
        <f>VLOOKUP(Table8[[#This Row],[LEO]],Table1[#All],3)</f>
        <v>#VALUE!</v>
      </c>
      <c r="L19" s="19" t="e">
        <f>VLOOKUP(Table8[[#This Row],[ME_ID]],Table4[#All],8)</f>
        <v>#VALUE!</v>
      </c>
    </row>
    <row r="20" spans="1:12" x14ac:dyDescent="0.2">
      <c r="A20" t="e">
        <f>Table4[[#This Row],[ID]]</f>
        <v>#VALUE!</v>
      </c>
      <c r="B20" t="e">
        <f>VLOOKUP(Table8[[#This Row],[ME_ID]],Table4[#All],2)</f>
        <v>#VALUE!</v>
      </c>
      <c r="C20" t="e">
        <f>VLOOKUP(Table8[[#This Row],[ME_ID]],Table4[#All],4)</f>
        <v>#VALUE!</v>
      </c>
      <c r="D20" t="e">
        <f>VLOOKUP(Table8[[#This Row],[ME_ID]],Table4[#All],3)</f>
        <v>#VALUE!</v>
      </c>
      <c r="E20" t="e">
        <f>VLOOKUP(Table8[[#This Row],[MLEO_ID]],Table3[#All],4)</f>
        <v>#VALUE!</v>
      </c>
      <c r="F20" t="e">
        <f>VLOOKUP(Table8[[#This Row],[MLEO_ID]],Table3[#All],5)</f>
        <v>#VALUE!</v>
      </c>
      <c r="G20" t="e">
        <f>VLOOKUP(Table8[[#This Row],[MLEO_ID]],Table3[#All],3)</f>
        <v>#VALUE!</v>
      </c>
      <c r="H20" t="e">
        <f>VLOOKUP(Table8[[#This Row],[MLEO_ID]],Table3[#All],2)</f>
        <v>#VALUE!</v>
      </c>
      <c r="I20" t="e">
        <f>VLOOKUP(Table8[[#This Row],[LEO]],Table1[#All],2)</f>
        <v>#VALUE!</v>
      </c>
      <c r="J20" t="e">
        <f>VLOOKUP(Table8[[#This Row],[LEO]],Table1[#All],5)</f>
        <v>#VALUE!</v>
      </c>
      <c r="K20" t="e">
        <f>VLOOKUP(Table8[[#This Row],[LEO]],Table1[#All],3)</f>
        <v>#VALUE!</v>
      </c>
      <c r="L20" s="19" t="e">
        <f>VLOOKUP(Table8[[#This Row],[ME_ID]],Table4[#All],8)</f>
        <v>#VALUE!</v>
      </c>
    </row>
    <row r="21" spans="1:12" x14ac:dyDescent="0.2">
      <c r="A21" t="e">
        <f>Table4[[#This Row],[ID]]</f>
        <v>#VALUE!</v>
      </c>
      <c r="B21" t="e">
        <f>VLOOKUP(Table8[[#This Row],[ME_ID]],Table4[#All],2)</f>
        <v>#VALUE!</v>
      </c>
      <c r="C21" t="e">
        <f>VLOOKUP(Table8[[#This Row],[ME_ID]],Table4[#All],4)</f>
        <v>#VALUE!</v>
      </c>
      <c r="D21" t="e">
        <f>VLOOKUP(Table8[[#This Row],[ME_ID]],Table4[#All],3)</f>
        <v>#VALUE!</v>
      </c>
      <c r="E21" t="e">
        <f>VLOOKUP(Table8[[#This Row],[MLEO_ID]],Table3[#All],4)</f>
        <v>#VALUE!</v>
      </c>
      <c r="F21" t="e">
        <f>VLOOKUP(Table8[[#This Row],[MLEO_ID]],Table3[#All],5)</f>
        <v>#VALUE!</v>
      </c>
      <c r="G21" t="e">
        <f>VLOOKUP(Table8[[#This Row],[MLEO_ID]],Table3[#All],3)</f>
        <v>#VALUE!</v>
      </c>
      <c r="H21" t="e">
        <f>VLOOKUP(Table8[[#This Row],[MLEO_ID]],Table3[#All],2)</f>
        <v>#VALUE!</v>
      </c>
      <c r="I21" t="e">
        <f>VLOOKUP(Table8[[#This Row],[LEO]],Table1[#All],2)</f>
        <v>#VALUE!</v>
      </c>
      <c r="J21" t="e">
        <f>VLOOKUP(Table8[[#This Row],[LEO]],Table1[#All],5)</f>
        <v>#VALUE!</v>
      </c>
      <c r="K21" t="e">
        <f>VLOOKUP(Table8[[#This Row],[LEO]],Table1[#All],3)</f>
        <v>#VALUE!</v>
      </c>
      <c r="L21" s="19" t="e">
        <f>VLOOKUP(Table8[[#This Row],[ME_ID]],Table4[#All],8)</f>
        <v>#VALUE!</v>
      </c>
    </row>
    <row r="22" spans="1:12" x14ac:dyDescent="0.2">
      <c r="A22" t="e">
        <f>Table4[[#This Row],[ID]]</f>
        <v>#VALUE!</v>
      </c>
      <c r="B22" t="e">
        <f>VLOOKUP(Table8[[#This Row],[ME_ID]],Table4[#All],2)</f>
        <v>#VALUE!</v>
      </c>
      <c r="C22" t="e">
        <f>VLOOKUP(Table8[[#This Row],[ME_ID]],Table4[#All],4)</f>
        <v>#VALUE!</v>
      </c>
      <c r="D22" t="e">
        <f>VLOOKUP(Table8[[#This Row],[ME_ID]],Table4[#All],3)</f>
        <v>#VALUE!</v>
      </c>
      <c r="E22" t="e">
        <f>VLOOKUP(Table8[[#This Row],[MLEO_ID]],Table3[#All],4)</f>
        <v>#VALUE!</v>
      </c>
      <c r="F22" t="e">
        <f>VLOOKUP(Table8[[#This Row],[MLEO_ID]],Table3[#All],5)</f>
        <v>#VALUE!</v>
      </c>
      <c r="G22" t="e">
        <f>VLOOKUP(Table8[[#This Row],[MLEO_ID]],Table3[#All],3)</f>
        <v>#VALUE!</v>
      </c>
      <c r="H22" t="e">
        <f>VLOOKUP(Table8[[#This Row],[MLEO_ID]],Table3[#All],2)</f>
        <v>#VALUE!</v>
      </c>
      <c r="I22" t="e">
        <f>VLOOKUP(Table8[[#This Row],[LEO]],Table1[#All],2)</f>
        <v>#VALUE!</v>
      </c>
      <c r="J22" t="e">
        <f>VLOOKUP(Table8[[#This Row],[LEO]],Table1[#All],5)</f>
        <v>#VALUE!</v>
      </c>
      <c r="K22" t="e">
        <f>VLOOKUP(Table8[[#This Row],[LEO]],Table1[#All],3)</f>
        <v>#VALUE!</v>
      </c>
      <c r="L22" s="19" t="e">
        <f>VLOOKUP(Table8[[#This Row],[ME_ID]],Table4[#All],8)</f>
        <v>#VALUE!</v>
      </c>
    </row>
    <row r="23" spans="1:12" x14ac:dyDescent="0.2">
      <c r="A23" t="e">
        <f>Table4[[#This Row],[ID]]</f>
        <v>#VALUE!</v>
      </c>
      <c r="B23" t="e">
        <f>VLOOKUP(Table8[[#This Row],[ME_ID]],Table4[#All],2)</f>
        <v>#VALUE!</v>
      </c>
      <c r="C23" t="e">
        <f>VLOOKUP(Table8[[#This Row],[ME_ID]],Table4[#All],4)</f>
        <v>#VALUE!</v>
      </c>
      <c r="D23" t="e">
        <f>VLOOKUP(Table8[[#This Row],[ME_ID]],Table4[#All],3)</f>
        <v>#VALUE!</v>
      </c>
      <c r="E23" t="e">
        <f>VLOOKUP(Table8[[#This Row],[MLEO_ID]],Table3[#All],4)</f>
        <v>#VALUE!</v>
      </c>
      <c r="F23" t="e">
        <f>VLOOKUP(Table8[[#This Row],[MLEO_ID]],Table3[#All],5)</f>
        <v>#VALUE!</v>
      </c>
      <c r="G23" t="e">
        <f>VLOOKUP(Table8[[#This Row],[MLEO_ID]],Table3[#All],3)</f>
        <v>#VALUE!</v>
      </c>
      <c r="H23" t="e">
        <f>VLOOKUP(Table8[[#This Row],[MLEO_ID]],Table3[#All],2)</f>
        <v>#VALUE!</v>
      </c>
      <c r="I23" t="e">
        <f>VLOOKUP(Table8[[#This Row],[LEO]],Table1[#All],2)</f>
        <v>#VALUE!</v>
      </c>
      <c r="J23" t="e">
        <f>VLOOKUP(Table8[[#This Row],[LEO]],Table1[#All],5)</f>
        <v>#VALUE!</v>
      </c>
      <c r="K23" t="e">
        <f>VLOOKUP(Table8[[#This Row],[LEO]],Table1[#All],3)</f>
        <v>#VALUE!</v>
      </c>
      <c r="L23" s="19" t="e">
        <f>VLOOKUP(Table8[[#This Row],[ME_ID]],Table4[#All],8)</f>
        <v>#VALUE!</v>
      </c>
    </row>
    <row r="24" spans="1:12" x14ac:dyDescent="0.2">
      <c r="A24" t="e">
        <f>Table4[[#This Row],[ID]]</f>
        <v>#VALUE!</v>
      </c>
      <c r="B24" t="e">
        <f>VLOOKUP(Table8[[#This Row],[ME_ID]],Table4[#All],2)</f>
        <v>#VALUE!</v>
      </c>
      <c r="C24" t="e">
        <f>VLOOKUP(Table8[[#This Row],[ME_ID]],Table4[#All],4)</f>
        <v>#VALUE!</v>
      </c>
      <c r="D24" t="e">
        <f>VLOOKUP(Table8[[#This Row],[ME_ID]],Table4[#All],3)</f>
        <v>#VALUE!</v>
      </c>
      <c r="E24" t="e">
        <f>VLOOKUP(Table8[[#This Row],[MLEO_ID]],Table3[#All],4)</f>
        <v>#VALUE!</v>
      </c>
      <c r="F24" t="e">
        <f>VLOOKUP(Table8[[#This Row],[MLEO_ID]],Table3[#All],5)</f>
        <v>#VALUE!</v>
      </c>
      <c r="G24" t="e">
        <f>VLOOKUP(Table8[[#This Row],[MLEO_ID]],Table3[#All],3)</f>
        <v>#VALUE!</v>
      </c>
      <c r="H24" t="e">
        <f>VLOOKUP(Table8[[#This Row],[MLEO_ID]],Table3[#All],2)</f>
        <v>#VALUE!</v>
      </c>
      <c r="I24" t="e">
        <f>VLOOKUP(Table8[[#This Row],[LEO]],Table1[#All],2)</f>
        <v>#VALUE!</v>
      </c>
      <c r="J24" t="e">
        <f>VLOOKUP(Table8[[#This Row],[LEO]],Table1[#All],5)</f>
        <v>#VALUE!</v>
      </c>
      <c r="K24" t="e">
        <f>VLOOKUP(Table8[[#This Row],[LEO]],Table1[#All],3)</f>
        <v>#VALUE!</v>
      </c>
      <c r="L24" s="19" t="e">
        <f>VLOOKUP(Table8[[#This Row],[ME_ID]],Table4[#All],8)</f>
        <v>#VALUE!</v>
      </c>
    </row>
    <row r="25" spans="1:12" x14ac:dyDescent="0.2">
      <c r="A25" t="e">
        <f>Table4[[#This Row],[ID]]</f>
        <v>#VALUE!</v>
      </c>
      <c r="B25" t="e">
        <f>VLOOKUP(Table8[[#This Row],[ME_ID]],Table4[#All],2)</f>
        <v>#VALUE!</v>
      </c>
      <c r="C25" t="e">
        <f>VLOOKUP(Table8[[#This Row],[ME_ID]],Table4[#All],4)</f>
        <v>#VALUE!</v>
      </c>
      <c r="D25" t="e">
        <f>VLOOKUP(Table8[[#This Row],[ME_ID]],Table4[#All],3)</f>
        <v>#VALUE!</v>
      </c>
      <c r="E25" t="e">
        <f>VLOOKUP(Table8[[#This Row],[MLEO_ID]],Table3[#All],4)</f>
        <v>#VALUE!</v>
      </c>
      <c r="F25" t="e">
        <f>VLOOKUP(Table8[[#This Row],[MLEO_ID]],Table3[#All],5)</f>
        <v>#VALUE!</v>
      </c>
      <c r="G25" t="e">
        <f>VLOOKUP(Table8[[#This Row],[MLEO_ID]],Table3[#All],3)</f>
        <v>#VALUE!</v>
      </c>
      <c r="H25" t="e">
        <f>VLOOKUP(Table8[[#This Row],[MLEO_ID]],Table3[#All],2)</f>
        <v>#VALUE!</v>
      </c>
      <c r="I25" t="e">
        <f>VLOOKUP(Table8[[#This Row],[LEO]],Table1[#All],2)</f>
        <v>#VALUE!</v>
      </c>
      <c r="J25" t="e">
        <f>VLOOKUP(Table8[[#This Row],[LEO]],Table1[#All],5)</f>
        <v>#VALUE!</v>
      </c>
      <c r="K25" t="e">
        <f>VLOOKUP(Table8[[#This Row],[LEO]],Table1[#All],3)</f>
        <v>#VALUE!</v>
      </c>
      <c r="L25" s="19" t="e">
        <f>VLOOKUP(Table8[[#This Row],[ME_ID]],Table4[#All],8)</f>
        <v>#VALUE!</v>
      </c>
    </row>
    <row r="26" spans="1:12" x14ac:dyDescent="0.2">
      <c r="A26" t="e">
        <f>Table4[[#This Row],[ID]]</f>
        <v>#VALUE!</v>
      </c>
      <c r="B26" t="e">
        <f>VLOOKUP(Table8[[#This Row],[ME_ID]],Table4[#All],2)</f>
        <v>#VALUE!</v>
      </c>
      <c r="C26" t="e">
        <f>VLOOKUP(Table8[[#This Row],[ME_ID]],Table4[#All],4)</f>
        <v>#VALUE!</v>
      </c>
      <c r="D26" t="e">
        <f>VLOOKUP(Table8[[#This Row],[ME_ID]],Table4[#All],3)</f>
        <v>#VALUE!</v>
      </c>
      <c r="E26" t="e">
        <f>VLOOKUP(Table8[[#This Row],[MLEO_ID]],Table3[#All],4)</f>
        <v>#VALUE!</v>
      </c>
      <c r="F26" t="e">
        <f>VLOOKUP(Table8[[#This Row],[MLEO_ID]],Table3[#All],5)</f>
        <v>#VALUE!</v>
      </c>
      <c r="G26" t="e">
        <f>VLOOKUP(Table8[[#This Row],[MLEO_ID]],Table3[#All],3)</f>
        <v>#VALUE!</v>
      </c>
      <c r="H26" t="e">
        <f>VLOOKUP(Table8[[#This Row],[MLEO_ID]],Table3[#All],2)</f>
        <v>#VALUE!</v>
      </c>
      <c r="I26" t="e">
        <f>VLOOKUP(Table8[[#This Row],[LEO]],Table1[#All],2)</f>
        <v>#VALUE!</v>
      </c>
      <c r="J26" t="e">
        <f>VLOOKUP(Table8[[#This Row],[LEO]],Table1[#All],5)</f>
        <v>#VALUE!</v>
      </c>
      <c r="K26" t="e">
        <f>VLOOKUP(Table8[[#This Row],[LEO]],Table1[#All],3)</f>
        <v>#VALUE!</v>
      </c>
      <c r="L26" s="19" t="e">
        <f>VLOOKUP(Table8[[#This Row],[ME_ID]],Table4[#All],8)</f>
        <v>#VALUE!</v>
      </c>
    </row>
    <row r="27" spans="1:12" x14ac:dyDescent="0.2">
      <c r="A27" t="e">
        <f>Table4[[#This Row],[ID]]</f>
        <v>#VALUE!</v>
      </c>
      <c r="B27" t="e">
        <f>VLOOKUP(Table8[[#This Row],[ME_ID]],Table4[#All],2)</f>
        <v>#VALUE!</v>
      </c>
      <c r="C27" t="e">
        <f>VLOOKUP(Table8[[#This Row],[ME_ID]],Table4[#All],4)</f>
        <v>#VALUE!</v>
      </c>
      <c r="D27" t="e">
        <f>VLOOKUP(Table8[[#This Row],[ME_ID]],Table4[#All],3)</f>
        <v>#VALUE!</v>
      </c>
      <c r="E27" t="e">
        <f>VLOOKUP(Table8[[#This Row],[MLEO_ID]],Table3[#All],4)</f>
        <v>#VALUE!</v>
      </c>
      <c r="F27" t="e">
        <f>VLOOKUP(Table8[[#This Row],[MLEO_ID]],Table3[#All],5)</f>
        <v>#VALUE!</v>
      </c>
      <c r="G27" t="e">
        <f>VLOOKUP(Table8[[#This Row],[MLEO_ID]],Table3[#All],3)</f>
        <v>#VALUE!</v>
      </c>
      <c r="H27" t="e">
        <f>VLOOKUP(Table8[[#This Row],[MLEO_ID]],Table3[#All],2)</f>
        <v>#VALUE!</v>
      </c>
      <c r="I27" t="e">
        <f>VLOOKUP(Table8[[#This Row],[LEO]],Table1[#All],2)</f>
        <v>#VALUE!</v>
      </c>
      <c r="J27" t="e">
        <f>VLOOKUP(Table8[[#This Row],[LEO]],Table1[#All],5)</f>
        <v>#VALUE!</v>
      </c>
      <c r="K27" t="e">
        <f>VLOOKUP(Table8[[#This Row],[LEO]],Table1[#All],3)</f>
        <v>#VALUE!</v>
      </c>
      <c r="L27" s="19" t="e">
        <f>VLOOKUP(Table8[[#This Row],[ME_ID]],Table4[#All],8)</f>
        <v>#VALUE!</v>
      </c>
    </row>
    <row r="28" spans="1:12" x14ac:dyDescent="0.2">
      <c r="A28" t="e">
        <f>Table4[[#This Row],[ID]]</f>
        <v>#VALUE!</v>
      </c>
      <c r="B28" t="e">
        <f>VLOOKUP(Table8[[#This Row],[ME_ID]],Table4[#All],2)</f>
        <v>#VALUE!</v>
      </c>
      <c r="C28" t="e">
        <f>VLOOKUP(Table8[[#This Row],[ME_ID]],Table4[#All],4)</f>
        <v>#VALUE!</v>
      </c>
      <c r="D28" t="e">
        <f>VLOOKUP(Table8[[#This Row],[ME_ID]],Table4[#All],3)</f>
        <v>#VALUE!</v>
      </c>
      <c r="E28" t="e">
        <f>VLOOKUP(Table8[[#This Row],[MLEO_ID]],Table3[#All],4)</f>
        <v>#VALUE!</v>
      </c>
      <c r="F28" t="e">
        <f>VLOOKUP(Table8[[#This Row],[MLEO_ID]],Table3[#All],5)</f>
        <v>#VALUE!</v>
      </c>
      <c r="G28" t="e">
        <f>VLOOKUP(Table8[[#This Row],[MLEO_ID]],Table3[#All],3)</f>
        <v>#VALUE!</v>
      </c>
      <c r="H28" t="e">
        <f>VLOOKUP(Table8[[#This Row],[MLEO_ID]],Table3[#All],2)</f>
        <v>#VALUE!</v>
      </c>
      <c r="I28" t="e">
        <f>VLOOKUP(Table8[[#This Row],[LEO]],Table1[#All],2)</f>
        <v>#VALUE!</v>
      </c>
      <c r="J28" t="e">
        <f>VLOOKUP(Table8[[#This Row],[LEO]],Table1[#All],5)</f>
        <v>#VALUE!</v>
      </c>
      <c r="K28" t="e">
        <f>VLOOKUP(Table8[[#This Row],[LEO]],Table1[#All],3)</f>
        <v>#VALUE!</v>
      </c>
      <c r="L28" s="19" t="e">
        <f>VLOOKUP(Table8[[#This Row],[ME_ID]],Table4[#All],8)</f>
        <v>#VALUE!</v>
      </c>
    </row>
    <row r="29" spans="1:12" x14ac:dyDescent="0.2">
      <c r="A29" t="e">
        <f>Table4[[#This Row],[ID]]</f>
        <v>#VALUE!</v>
      </c>
      <c r="B29" t="e">
        <f>VLOOKUP(Table8[[#This Row],[ME_ID]],Table4[#All],2)</f>
        <v>#VALUE!</v>
      </c>
      <c r="C29" t="e">
        <f>VLOOKUP(Table8[[#This Row],[ME_ID]],Table4[#All],4)</f>
        <v>#VALUE!</v>
      </c>
      <c r="D29" t="e">
        <f>VLOOKUP(Table8[[#This Row],[ME_ID]],Table4[#All],3)</f>
        <v>#VALUE!</v>
      </c>
      <c r="E29" t="e">
        <f>VLOOKUP(Table8[[#This Row],[MLEO_ID]],Table3[#All],4)</f>
        <v>#VALUE!</v>
      </c>
      <c r="F29" t="e">
        <f>VLOOKUP(Table8[[#This Row],[MLEO_ID]],Table3[#All],5)</f>
        <v>#VALUE!</v>
      </c>
      <c r="G29" t="e">
        <f>VLOOKUP(Table8[[#This Row],[MLEO_ID]],Table3[#All],3)</f>
        <v>#VALUE!</v>
      </c>
      <c r="H29" t="e">
        <f>VLOOKUP(Table8[[#This Row],[MLEO_ID]],Table3[#All],2)</f>
        <v>#VALUE!</v>
      </c>
      <c r="I29" t="e">
        <f>VLOOKUP(Table8[[#This Row],[LEO]],Table1[#All],2)</f>
        <v>#VALUE!</v>
      </c>
      <c r="J29" t="e">
        <f>VLOOKUP(Table8[[#This Row],[LEO]],Table1[#All],5)</f>
        <v>#VALUE!</v>
      </c>
      <c r="K29" t="e">
        <f>VLOOKUP(Table8[[#This Row],[LEO]],Table1[#All],3)</f>
        <v>#VALUE!</v>
      </c>
      <c r="L29" s="19" t="e">
        <f>VLOOKUP(Table8[[#This Row],[ME_ID]],Table4[#All],8)</f>
        <v>#VALUE!</v>
      </c>
    </row>
    <row r="30" spans="1:12" x14ac:dyDescent="0.2">
      <c r="A30" t="e">
        <f>Table4[[#This Row],[ID]]</f>
        <v>#VALUE!</v>
      </c>
      <c r="B30" t="e">
        <f>VLOOKUP(Table8[[#This Row],[ME_ID]],Table4[#All],2)</f>
        <v>#VALUE!</v>
      </c>
      <c r="C30" t="e">
        <f>VLOOKUP(Table8[[#This Row],[ME_ID]],Table4[#All],4)</f>
        <v>#VALUE!</v>
      </c>
      <c r="D30" t="e">
        <f>VLOOKUP(Table8[[#This Row],[ME_ID]],Table4[#All],3)</f>
        <v>#VALUE!</v>
      </c>
      <c r="E30" t="e">
        <f>VLOOKUP(Table8[[#This Row],[MLEO_ID]],Table3[#All],4)</f>
        <v>#VALUE!</v>
      </c>
      <c r="F30" t="e">
        <f>VLOOKUP(Table8[[#This Row],[MLEO_ID]],Table3[#All],5)</f>
        <v>#VALUE!</v>
      </c>
      <c r="G30" t="e">
        <f>VLOOKUP(Table8[[#This Row],[MLEO_ID]],Table3[#All],3)</f>
        <v>#VALUE!</v>
      </c>
      <c r="H30" t="e">
        <f>VLOOKUP(Table8[[#This Row],[MLEO_ID]],Table3[#All],2)</f>
        <v>#VALUE!</v>
      </c>
      <c r="I30" t="e">
        <f>VLOOKUP(Table8[[#This Row],[LEO]],Table1[#All],2)</f>
        <v>#VALUE!</v>
      </c>
      <c r="J30" t="e">
        <f>VLOOKUP(Table8[[#This Row],[LEO]],Table1[#All],5)</f>
        <v>#VALUE!</v>
      </c>
      <c r="K30" t="e">
        <f>VLOOKUP(Table8[[#This Row],[LEO]],Table1[#All],3)</f>
        <v>#VALUE!</v>
      </c>
      <c r="L30" s="19" t="e">
        <f>VLOOKUP(Table8[[#This Row],[ME_ID]],Table4[#All],8)</f>
        <v>#VALUE!</v>
      </c>
    </row>
    <row r="31" spans="1:12" x14ac:dyDescent="0.2">
      <c r="A31" t="e">
        <f>Table4[[#This Row],[ID]]</f>
        <v>#VALUE!</v>
      </c>
      <c r="B31" t="e">
        <f>VLOOKUP(Table8[[#This Row],[ME_ID]],Table4[#All],2)</f>
        <v>#VALUE!</v>
      </c>
      <c r="C31" t="e">
        <f>VLOOKUP(Table8[[#This Row],[ME_ID]],Table4[#All],4)</f>
        <v>#VALUE!</v>
      </c>
      <c r="D31" t="e">
        <f>VLOOKUP(Table8[[#This Row],[ME_ID]],Table4[#All],3)</f>
        <v>#VALUE!</v>
      </c>
      <c r="E31" t="e">
        <f>VLOOKUP(Table8[[#This Row],[MLEO_ID]],Table3[#All],4)</f>
        <v>#VALUE!</v>
      </c>
      <c r="F31" t="e">
        <f>VLOOKUP(Table8[[#This Row],[MLEO_ID]],Table3[#All],5)</f>
        <v>#VALUE!</v>
      </c>
      <c r="G31" t="e">
        <f>VLOOKUP(Table8[[#This Row],[MLEO_ID]],Table3[#All],3)</f>
        <v>#VALUE!</v>
      </c>
      <c r="H31" t="e">
        <f>VLOOKUP(Table8[[#This Row],[MLEO_ID]],Table3[#All],2)</f>
        <v>#VALUE!</v>
      </c>
      <c r="I31" t="e">
        <f>VLOOKUP(Table8[[#This Row],[LEO]],Table1[#All],2)</f>
        <v>#VALUE!</v>
      </c>
      <c r="J31" t="e">
        <f>VLOOKUP(Table8[[#This Row],[LEO]],Table1[#All],5)</f>
        <v>#VALUE!</v>
      </c>
      <c r="K31" t="e">
        <f>VLOOKUP(Table8[[#This Row],[LEO]],Table1[#All],3)</f>
        <v>#VALUE!</v>
      </c>
      <c r="L31" s="19" t="e">
        <f>VLOOKUP(Table8[[#This Row],[ME_ID]],Table4[#All],8)</f>
        <v>#VALUE!</v>
      </c>
    </row>
    <row r="32" spans="1:12" x14ac:dyDescent="0.2">
      <c r="A32" t="e">
        <f>Table4[[#This Row],[ID]]</f>
        <v>#VALUE!</v>
      </c>
      <c r="B32" t="e">
        <f>VLOOKUP(Table8[[#This Row],[ME_ID]],Table4[#All],2)</f>
        <v>#VALUE!</v>
      </c>
      <c r="C32" t="e">
        <f>VLOOKUP(Table8[[#This Row],[ME_ID]],Table4[#All],4)</f>
        <v>#VALUE!</v>
      </c>
      <c r="D32" t="e">
        <f>VLOOKUP(Table8[[#This Row],[ME_ID]],Table4[#All],3)</f>
        <v>#VALUE!</v>
      </c>
      <c r="E32" t="e">
        <f>VLOOKUP(Table8[[#This Row],[MLEO_ID]],Table3[#All],4)</f>
        <v>#VALUE!</v>
      </c>
      <c r="F32" t="e">
        <f>VLOOKUP(Table8[[#This Row],[MLEO_ID]],Table3[#All],5)</f>
        <v>#VALUE!</v>
      </c>
      <c r="G32" t="e">
        <f>VLOOKUP(Table8[[#This Row],[MLEO_ID]],Table3[#All],3)</f>
        <v>#VALUE!</v>
      </c>
      <c r="H32" t="e">
        <f>VLOOKUP(Table8[[#This Row],[MLEO_ID]],Table3[#All],2)</f>
        <v>#VALUE!</v>
      </c>
      <c r="I32" t="e">
        <f>VLOOKUP(Table8[[#This Row],[LEO]],Table1[#All],2)</f>
        <v>#VALUE!</v>
      </c>
      <c r="J32" t="e">
        <f>VLOOKUP(Table8[[#This Row],[LEO]],Table1[#All],5)</f>
        <v>#VALUE!</v>
      </c>
      <c r="K32" t="e">
        <f>VLOOKUP(Table8[[#This Row],[LEO]],Table1[#All],3)</f>
        <v>#VALUE!</v>
      </c>
      <c r="L32" s="19" t="e">
        <f>VLOOKUP(Table8[[#This Row],[ME_ID]],Table4[#All],8)</f>
        <v>#VALUE!</v>
      </c>
    </row>
    <row r="33" spans="1:12" x14ac:dyDescent="0.2">
      <c r="A33" t="e">
        <f>Table4[[#This Row],[ID]]</f>
        <v>#VALUE!</v>
      </c>
      <c r="B33" t="e">
        <f>VLOOKUP(Table8[[#This Row],[ME_ID]],Table4[#All],2)</f>
        <v>#VALUE!</v>
      </c>
      <c r="C33" t="e">
        <f>VLOOKUP(Table8[[#This Row],[ME_ID]],Table4[#All],4)</f>
        <v>#VALUE!</v>
      </c>
      <c r="D33" t="e">
        <f>VLOOKUP(Table8[[#This Row],[ME_ID]],Table4[#All],3)</f>
        <v>#VALUE!</v>
      </c>
      <c r="E33" t="e">
        <f>VLOOKUP(Table8[[#This Row],[MLEO_ID]],Table3[#All],4)</f>
        <v>#VALUE!</v>
      </c>
      <c r="F33" t="e">
        <f>VLOOKUP(Table8[[#This Row],[MLEO_ID]],Table3[#All],5)</f>
        <v>#VALUE!</v>
      </c>
      <c r="G33" t="e">
        <f>VLOOKUP(Table8[[#This Row],[MLEO_ID]],Table3[#All],3)</f>
        <v>#VALUE!</v>
      </c>
      <c r="H33" t="e">
        <f>VLOOKUP(Table8[[#This Row],[MLEO_ID]],Table3[#All],2)</f>
        <v>#VALUE!</v>
      </c>
      <c r="I33" t="e">
        <f>VLOOKUP(Table8[[#This Row],[LEO]],Table1[#All],2)</f>
        <v>#VALUE!</v>
      </c>
      <c r="J33" t="e">
        <f>VLOOKUP(Table8[[#This Row],[LEO]],Table1[#All],5)</f>
        <v>#VALUE!</v>
      </c>
      <c r="K33" t="e">
        <f>VLOOKUP(Table8[[#This Row],[LEO]],Table1[#All],3)</f>
        <v>#VALUE!</v>
      </c>
      <c r="L33" s="19" t="e">
        <f>VLOOKUP(Table8[[#This Row],[ME_ID]],Table4[#All],8)</f>
        <v>#VALUE!</v>
      </c>
    </row>
    <row r="34" spans="1:12" x14ac:dyDescent="0.2">
      <c r="A34" t="e">
        <f>Table4[[#This Row],[ID]]</f>
        <v>#VALUE!</v>
      </c>
      <c r="B34" t="e">
        <f>VLOOKUP(Table8[[#This Row],[ME_ID]],Table4[#All],2)</f>
        <v>#VALUE!</v>
      </c>
      <c r="C34" t="e">
        <f>VLOOKUP(Table8[[#This Row],[ME_ID]],Table4[#All],4)</f>
        <v>#VALUE!</v>
      </c>
      <c r="D34" t="e">
        <f>VLOOKUP(Table8[[#This Row],[ME_ID]],Table4[#All],3)</f>
        <v>#VALUE!</v>
      </c>
      <c r="E34" t="e">
        <f>VLOOKUP(Table8[[#This Row],[MLEO_ID]],Table3[#All],4)</f>
        <v>#VALUE!</v>
      </c>
      <c r="F34" t="e">
        <f>VLOOKUP(Table8[[#This Row],[MLEO_ID]],Table3[#All],5)</f>
        <v>#VALUE!</v>
      </c>
      <c r="G34" t="e">
        <f>VLOOKUP(Table8[[#This Row],[MLEO_ID]],Table3[#All],3)</f>
        <v>#VALUE!</v>
      </c>
      <c r="H34" t="e">
        <f>VLOOKUP(Table8[[#This Row],[MLEO_ID]],Table3[#All],2)</f>
        <v>#VALUE!</v>
      </c>
      <c r="I34" t="e">
        <f>VLOOKUP(Table8[[#This Row],[LEO]],Table1[#All],2)</f>
        <v>#VALUE!</v>
      </c>
      <c r="J34" t="e">
        <f>VLOOKUP(Table8[[#This Row],[LEO]],Table1[#All],5)</f>
        <v>#VALUE!</v>
      </c>
      <c r="K34" t="e">
        <f>VLOOKUP(Table8[[#This Row],[LEO]],Table1[#All],3)</f>
        <v>#VALUE!</v>
      </c>
      <c r="L34" s="19" t="e">
        <f>VLOOKUP(Table8[[#This Row],[ME_ID]],Table4[#All],8)</f>
        <v>#VALUE!</v>
      </c>
    </row>
    <row r="35" spans="1:12" x14ac:dyDescent="0.2">
      <c r="A35" t="e">
        <f>Table4[[#This Row],[ID]]</f>
        <v>#VALUE!</v>
      </c>
      <c r="B35" t="e">
        <f>VLOOKUP(Table8[[#This Row],[ME_ID]],Table4[#All],2)</f>
        <v>#VALUE!</v>
      </c>
      <c r="C35" t="e">
        <f>VLOOKUP(Table8[[#This Row],[ME_ID]],Table4[#All],4)</f>
        <v>#VALUE!</v>
      </c>
      <c r="D35" t="e">
        <f>VLOOKUP(Table8[[#This Row],[ME_ID]],Table4[#All],3)</f>
        <v>#VALUE!</v>
      </c>
      <c r="E35" t="e">
        <f>VLOOKUP(Table8[[#This Row],[MLEO_ID]],Table3[#All],4)</f>
        <v>#VALUE!</v>
      </c>
      <c r="F35" t="e">
        <f>VLOOKUP(Table8[[#This Row],[MLEO_ID]],Table3[#All],5)</f>
        <v>#VALUE!</v>
      </c>
      <c r="G35" t="e">
        <f>VLOOKUP(Table8[[#This Row],[MLEO_ID]],Table3[#All],3)</f>
        <v>#VALUE!</v>
      </c>
      <c r="H35" t="e">
        <f>VLOOKUP(Table8[[#This Row],[MLEO_ID]],Table3[#All],2)</f>
        <v>#VALUE!</v>
      </c>
      <c r="I35" t="e">
        <f>VLOOKUP(Table8[[#This Row],[LEO]],Table1[#All],2)</f>
        <v>#VALUE!</v>
      </c>
      <c r="J35" t="e">
        <f>VLOOKUP(Table8[[#This Row],[LEO]],Table1[#All],5)</f>
        <v>#VALUE!</v>
      </c>
      <c r="K35" t="e">
        <f>VLOOKUP(Table8[[#This Row],[LEO]],Table1[#All],3)</f>
        <v>#VALUE!</v>
      </c>
      <c r="L35" s="19" t="e">
        <f>VLOOKUP(Table8[[#This Row],[ME_ID]],Table4[#All],8)</f>
        <v>#VALUE!</v>
      </c>
    </row>
    <row r="36" spans="1:12" x14ac:dyDescent="0.2">
      <c r="A36" t="e">
        <f>Table4[[#This Row],[ID]]</f>
        <v>#VALUE!</v>
      </c>
      <c r="B36" t="e">
        <f>VLOOKUP(Table8[[#This Row],[ME_ID]],Table4[#All],2)</f>
        <v>#VALUE!</v>
      </c>
      <c r="C36" t="e">
        <f>VLOOKUP(Table8[[#This Row],[ME_ID]],Table4[#All],4)</f>
        <v>#VALUE!</v>
      </c>
      <c r="D36" t="e">
        <f>VLOOKUP(Table8[[#This Row],[ME_ID]],Table4[#All],3)</f>
        <v>#VALUE!</v>
      </c>
      <c r="E36" t="e">
        <f>VLOOKUP(Table8[[#This Row],[MLEO_ID]],Table3[#All],4)</f>
        <v>#VALUE!</v>
      </c>
      <c r="F36" t="e">
        <f>VLOOKUP(Table8[[#This Row],[MLEO_ID]],Table3[#All],5)</f>
        <v>#VALUE!</v>
      </c>
      <c r="G36" t="e">
        <f>VLOOKUP(Table8[[#This Row],[MLEO_ID]],Table3[#All],3)</f>
        <v>#VALUE!</v>
      </c>
      <c r="H36" t="e">
        <f>VLOOKUP(Table8[[#This Row],[MLEO_ID]],Table3[#All],2)</f>
        <v>#VALUE!</v>
      </c>
      <c r="I36" t="e">
        <f>VLOOKUP(Table8[[#This Row],[LEO]],Table1[#All],2)</f>
        <v>#VALUE!</v>
      </c>
      <c r="J36" t="e">
        <f>VLOOKUP(Table8[[#This Row],[LEO]],Table1[#All],5)</f>
        <v>#VALUE!</v>
      </c>
      <c r="K36" t="e">
        <f>VLOOKUP(Table8[[#This Row],[LEO]],Table1[#All],3)</f>
        <v>#VALUE!</v>
      </c>
      <c r="L36" s="19" t="e">
        <f>VLOOKUP(Table8[[#This Row],[ME_ID]],Table4[#All],8)</f>
        <v>#VALUE!</v>
      </c>
    </row>
    <row r="37" spans="1:12" x14ac:dyDescent="0.2">
      <c r="A37" t="e">
        <f>Table4[[#This Row],[ID]]</f>
        <v>#VALUE!</v>
      </c>
      <c r="B37" t="e">
        <f>VLOOKUP(Table8[[#This Row],[ME_ID]],Table4[#All],2)</f>
        <v>#VALUE!</v>
      </c>
      <c r="C37" t="e">
        <f>VLOOKUP(Table8[[#This Row],[ME_ID]],Table4[#All],4)</f>
        <v>#VALUE!</v>
      </c>
      <c r="D37" t="e">
        <f>VLOOKUP(Table8[[#This Row],[ME_ID]],Table4[#All],3)</f>
        <v>#VALUE!</v>
      </c>
      <c r="E37" t="e">
        <f>VLOOKUP(Table8[[#This Row],[MLEO_ID]],Table3[#All],4)</f>
        <v>#VALUE!</v>
      </c>
      <c r="F37" t="e">
        <f>VLOOKUP(Table8[[#This Row],[MLEO_ID]],Table3[#All],5)</f>
        <v>#VALUE!</v>
      </c>
      <c r="G37" t="e">
        <f>VLOOKUP(Table8[[#This Row],[MLEO_ID]],Table3[#All],3)</f>
        <v>#VALUE!</v>
      </c>
      <c r="H37" t="e">
        <f>VLOOKUP(Table8[[#This Row],[MLEO_ID]],Table3[#All],2)</f>
        <v>#VALUE!</v>
      </c>
      <c r="I37" t="e">
        <f>VLOOKUP(Table8[[#This Row],[LEO]],Table1[#All],2)</f>
        <v>#VALUE!</v>
      </c>
      <c r="J37" t="e">
        <f>VLOOKUP(Table8[[#This Row],[LEO]],Table1[#All],5)</f>
        <v>#VALUE!</v>
      </c>
      <c r="K37" t="e">
        <f>VLOOKUP(Table8[[#This Row],[LEO]],Table1[#All],3)</f>
        <v>#VALUE!</v>
      </c>
      <c r="L37" s="19" t="e">
        <f>VLOOKUP(Table8[[#This Row],[ME_ID]],Table4[#All],8)</f>
        <v>#VALUE!</v>
      </c>
    </row>
    <row r="38" spans="1:12" x14ac:dyDescent="0.2">
      <c r="A38" t="e">
        <f>Table4[[#This Row],[ID]]</f>
        <v>#VALUE!</v>
      </c>
      <c r="B38" t="e">
        <f>VLOOKUP(Table8[[#This Row],[ME_ID]],Table4[#All],2)</f>
        <v>#VALUE!</v>
      </c>
      <c r="C38" t="e">
        <f>VLOOKUP(Table8[[#This Row],[ME_ID]],Table4[#All],4)</f>
        <v>#VALUE!</v>
      </c>
      <c r="D38" t="e">
        <f>VLOOKUP(Table8[[#This Row],[ME_ID]],Table4[#All],3)</f>
        <v>#VALUE!</v>
      </c>
      <c r="E38" t="e">
        <f>VLOOKUP(Table8[[#This Row],[MLEO_ID]],Table3[#All],4)</f>
        <v>#VALUE!</v>
      </c>
      <c r="F38" t="e">
        <f>VLOOKUP(Table8[[#This Row],[MLEO_ID]],Table3[#All],5)</f>
        <v>#VALUE!</v>
      </c>
      <c r="G38" t="e">
        <f>VLOOKUP(Table8[[#This Row],[MLEO_ID]],Table3[#All],3)</f>
        <v>#VALUE!</v>
      </c>
      <c r="H38" t="e">
        <f>VLOOKUP(Table8[[#This Row],[MLEO_ID]],Table3[#All],2)</f>
        <v>#VALUE!</v>
      </c>
      <c r="I38" t="e">
        <f>VLOOKUP(Table8[[#This Row],[LEO]],Table1[#All],2)</f>
        <v>#VALUE!</v>
      </c>
      <c r="J38" t="e">
        <f>VLOOKUP(Table8[[#This Row],[LEO]],Table1[#All],5)</f>
        <v>#VALUE!</v>
      </c>
      <c r="K38" t="e">
        <f>VLOOKUP(Table8[[#This Row],[LEO]],Table1[#All],3)</f>
        <v>#VALUE!</v>
      </c>
      <c r="L38" s="19" t="e">
        <f>VLOOKUP(Table8[[#This Row],[ME_ID]],Table4[#All],8)</f>
        <v>#VALUE!</v>
      </c>
    </row>
    <row r="39" spans="1:12" x14ac:dyDescent="0.2">
      <c r="A39" t="e">
        <f>Table4[[#This Row],[ID]]</f>
        <v>#VALUE!</v>
      </c>
      <c r="B39" t="e">
        <f>VLOOKUP(Table8[[#This Row],[ME_ID]],Table4[#All],2)</f>
        <v>#VALUE!</v>
      </c>
      <c r="C39" t="e">
        <f>VLOOKUP(Table8[[#This Row],[ME_ID]],Table4[#All],4)</f>
        <v>#VALUE!</v>
      </c>
      <c r="D39" t="e">
        <f>VLOOKUP(Table8[[#This Row],[ME_ID]],Table4[#All],3)</f>
        <v>#VALUE!</v>
      </c>
      <c r="E39" t="e">
        <f>VLOOKUP(Table8[[#This Row],[MLEO_ID]],Table3[#All],4)</f>
        <v>#VALUE!</v>
      </c>
      <c r="F39" t="e">
        <f>VLOOKUP(Table8[[#This Row],[MLEO_ID]],Table3[#All],5)</f>
        <v>#VALUE!</v>
      </c>
      <c r="G39" t="e">
        <f>VLOOKUP(Table8[[#This Row],[MLEO_ID]],Table3[#All],3)</f>
        <v>#VALUE!</v>
      </c>
      <c r="H39" t="e">
        <f>VLOOKUP(Table8[[#This Row],[MLEO_ID]],Table3[#All],2)</f>
        <v>#VALUE!</v>
      </c>
      <c r="I39" t="e">
        <f>VLOOKUP(Table8[[#This Row],[LEO]],Table1[#All],2)</f>
        <v>#VALUE!</v>
      </c>
      <c r="J39" t="e">
        <f>VLOOKUP(Table8[[#This Row],[LEO]],Table1[#All],5)</f>
        <v>#VALUE!</v>
      </c>
      <c r="K39" t="e">
        <f>VLOOKUP(Table8[[#This Row],[LEO]],Table1[#All],3)</f>
        <v>#VALUE!</v>
      </c>
      <c r="L39" s="19" t="e">
        <f>VLOOKUP(Table8[[#This Row],[ME_ID]],Table4[#All],8)</f>
        <v>#VALUE!</v>
      </c>
    </row>
    <row r="40" spans="1:12" x14ac:dyDescent="0.2">
      <c r="A40" t="e">
        <f>Table4[[#This Row],[ID]]</f>
        <v>#VALUE!</v>
      </c>
      <c r="B40" t="e">
        <f>VLOOKUP(Table8[[#This Row],[ME_ID]],Table4[#All],2)</f>
        <v>#VALUE!</v>
      </c>
      <c r="C40" t="e">
        <f>VLOOKUP(Table8[[#This Row],[ME_ID]],Table4[#All],4)</f>
        <v>#VALUE!</v>
      </c>
      <c r="D40" t="e">
        <f>VLOOKUP(Table8[[#This Row],[ME_ID]],Table4[#All],3)</f>
        <v>#VALUE!</v>
      </c>
      <c r="E40" t="e">
        <f>VLOOKUP(Table8[[#This Row],[MLEO_ID]],Table3[#All],4)</f>
        <v>#VALUE!</v>
      </c>
      <c r="F40" t="e">
        <f>VLOOKUP(Table8[[#This Row],[MLEO_ID]],Table3[#All],5)</f>
        <v>#VALUE!</v>
      </c>
      <c r="G40" t="e">
        <f>VLOOKUP(Table8[[#This Row],[MLEO_ID]],Table3[#All],3)</f>
        <v>#VALUE!</v>
      </c>
      <c r="H40" t="e">
        <f>VLOOKUP(Table8[[#This Row],[MLEO_ID]],Table3[#All],2)</f>
        <v>#VALUE!</v>
      </c>
      <c r="I40" t="e">
        <f>VLOOKUP(Table8[[#This Row],[LEO]],Table1[#All],2)</f>
        <v>#VALUE!</v>
      </c>
      <c r="J40" t="e">
        <f>VLOOKUP(Table8[[#This Row],[LEO]],Table1[#All],5)</f>
        <v>#VALUE!</v>
      </c>
      <c r="K40" t="e">
        <f>VLOOKUP(Table8[[#This Row],[LEO]],Table1[#All],3)</f>
        <v>#VALUE!</v>
      </c>
      <c r="L40" s="19" t="e">
        <f>VLOOKUP(Table8[[#This Row],[ME_ID]],Table4[#All],8)</f>
        <v>#VALUE!</v>
      </c>
    </row>
    <row r="41" spans="1:12" x14ac:dyDescent="0.2">
      <c r="A41" t="e">
        <f>Table4[[#This Row],[ID]]</f>
        <v>#VALUE!</v>
      </c>
      <c r="B41" t="e">
        <f>VLOOKUP(Table8[[#This Row],[ME_ID]],Table4[#All],2)</f>
        <v>#VALUE!</v>
      </c>
      <c r="C41" t="e">
        <f>VLOOKUP(Table8[[#This Row],[ME_ID]],Table4[#All],4)</f>
        <v>#VALUE!</v>
      </c>
      <c r="D41" t="e">
        <f>VLOOKUP(Table8[[#This Row],[ME_ID]],Table4[#All],3)</f>
        <v>#VALUE!</v>
      </c>
      <c r="E41" t="e">
        <f>VLOOKUP(Table8[[#This Row],[MLEO_ID]],Table3[#All],4)</f>
        <v>#VALUE!</v>
      </c>
      <c r="F41" t="e">
        <f>VLOOKUP(Table8[[#This Row],[MLEO_ID]],Table3[#All],5)</f>
        <v>#VALUE!</v>
      </c>
      <c r="G41" t="e">
        <f>VLOOKUP(Table8[[#This Row],[MLEO_ID]],Table3[#All],3)</f>
        <v>#VALUE!</v>
      </c>
      <c r="H41" t="e">
        <f>VLOOKUP(Table8[[#This Row],[MLEO_ID]],Table3[#All],2)</f>
        <v>#VALUE!</v>
      </c>
      <c r="I41" t="e">
        <f>VLOOKUP(Table8[[#This Row],[LEO]],Table1[#All],2)</f>
        <v>#VALUE!</v>
      </c>
      <c r="J41" t="e">
        <f>VLOOKUP(Table8[[#This Row],[LEO]],Table1[#All],5)</f>
        <v>#VALUE!</v>
      </c>
      <c r="K41" t="e">
        <f>VLOOKUP(Table8[[#This Row],[LEO]],Table1[#All],3)</f>
        <v>#VALUE!</v>
      </c>
      <c r="L41" s="19" t="e">
        <f>VLOOKUP(Table8[[#This Row],[ME_ID]],Table4[#All],8)</f>
        <v>#VALUE!</v>
      </c>
    </row>
    <row r="42" spans="1:12" x14ac:dyDescent="0.2">
      <c r="A42" t="e">
        <f>Table4[[#This Row],[ID]]</f>
        <v>#VALUE!</v>
      </c>
      <c r="B42" t="e">
        <f>VLOOKUP(Table8[[#This Row],[ME_ID]],Table4[#All],2)</f>
        <v>#VALUE!</v>
      </c>
      <c r="C42" t="e">
        <f>VLOOKUP(Table8[[#This Row],[ME_ID]],Table4[#All],4)</f>
        <v>#VALUE!</v>
      </c>
      <c r="D42" t="e">
        <f>VLOOKUP(Table8[[#This Row],[ME_ID]],Table4[#All],3)</f>
        <v>#VALUE!</v>
      </c>
      <c r="E42" t="e">
        <f>VLOOKUP(Table8[[#This Row],[MLEO_ID]],Table3[#All],4)</f>
        <v>#VALUE!</v>
      </c>
      <c r="F42" t="e">
        <f>VLOOKUP(Table8[[#This Row],[MLEO_ID]],Table3[#All],5)</f>
        <v>#VALUE!</v>
      </c>
      <c r="G42" t="e">
        <f>VLOOKUP(Table8[[#This Row],[MLEO_ID]],Table3[#All],3)</f>
        <v>#VALUE!</v>
      </c>
      <c r="H42" t="e">
        <f>VLOOKUP(Table8[[#This Row],[MLEO_ID]],Table3[#All],2)</f>
        <v>#VALUE!</v>
      </c>
      <c r="I42" t="e">
        <f>VLOOKUP(Table8[[#This Row],[LEO]],Table1[#All],2)</f>
        <v>#VALUE!</v>
      </c>
      <c r="J42" t="e">
        <f>VLOOKUP(Table8[[#This Row],[LEO]],Table1[#All],5)</f>
        <v>#VALUE!</v>
      </c>
      <c r="K42" t="e">
        <f>VLOOKUP(Table8[[#This Row],[LEO]],Table1[#All],3)</f>
        <v>#VALUE!</v>
      </c>
      <c r="L42" s="19" t="e">
        <f>VLOOKUP(Table8[[#This Row],[ME_ID]],Table4[#All],8)</f>
        <v>#VALUE!</v>
      </c>
    </row>
    <row r="43" spans="1:12" x14ac:dyDescent="0.2">
      <c r="A43" t="e">
        <f>Table4[[#This Row],[ID]]</f>
        <v>#VALUE!</v>
      </c>
      <c r="B43" t="e">
        <f>VLOOKUP(Table8[[#This Row],[ME_ID]],Table4[#All],2)</f>
        <v>#VALUE!</v>
      </c>
      <c r="C43" t="e">
        <f>VLOOKUP(Table8[[#This Row],[ME_ID]],Table4[#All],4)</f>
        <v>#VALUE!</v>
      </c>
      <c r="D43" t="e">
        <f>VLOOKUP(Table8[[#This Row],[ME_ID]],Table4[#All],3)</f>
        <v>#VALUE!</v>
      </c>
      <c r="E43" t="e">
        <f>VLOOKUP(Table8[[#This Row],[MLEO_ID]],Table3[#All],4)</f>
        <v>#VALUE!</v>
      </c>
      <c r="F43" t="e">
        <f>VLOOKUP(Table8[[#This Row],[MLEO_ID]],Table3[#All],5)</f>
        <v>#VALUE!</v>
      </c>
      <c r="G43" t="e">
        <f>VLOOKUP(Table8[[#This Row],[MLEO_ID]],Table3[#All],3)</f>
        <v>#VALUE!</v>
      </c>
      <c r="H43" t="e">
        <f>VLOOKUP(Table8[[#This Row],[MLEO_ID]],Table3[#All],2)</f>
        <v>#VALUE!</v>
      </c>
      <c r="I43" t="e">
        <f>VLOOKUP(Table8[[#This Row],[LEO]],Table1[#All],2)</f>
        <v>#VALUE!</v>
      </c>
      <c r="J43" t="e">
        <f>VLOOKUP(Table8[[#This Row],[LEO]],Table1[#All],5)</f>
        <v>#VALUE!</v>
      </c>
      <c r="K43" t="e">
        <f>VLOOKUP(Table8[[#This Row],[LEO]],Table1[#All],3)</f>
        <v>#VALUE!</v>
      </c>
      <c r="L43" s="19" t="e">
        <f>VLOOKUP(Table8[[#This Row],[ME_ID]],Table4[#All],8)</f>
        <v>#VALUE!</v>
      </c>
    </row>
    <row r="44" spans="1:12" x14ac:dyDescent="0.2">
      <c r="A44" t="e">
        <f>Table4[[#This Row],[ID]]</f>
        <v>#VALUE!</v>
      </c>
      <c r="B44" t="e">
        <f>VLOOKUP(Table8[[#This Row],[ME_ID]],Table4[#All],2)</f>
        <v>#VALUE!</v>
      </c>
      <c r="C44" t="e">
        <f>VLOOKUP(Table8[[#This Row],[ME_ID]],Table4[#All],4)</f>
        <v>#VALUE!</v>
      </c>
      <c r="D44" t="e">
        <f>VLOOKUP(Table8[[#This Row],[ME_ID]],Table4[#All],3)</f>
        <v>#VALUE!</v>
      </c>
      <c r="E44" t="e">
        <f>VLOOKUP(Table8[[#This Row],[MLEO_ID]],Table3[#All],4)</f>
        <v>#VALUE!</v>
      </c>
      <c r="F44" t="e">
        <f>VLOOKUP(Table8[[#This Row],[MLEO_ID]],Table3[#All],5)</f>
        <v>#VALUE!</v>
      </c>
      <c r="G44" t="e">
        <f>VLOOKUP(Table8[[#This Row],[MLEO_ID]],Table3[#All],3)</f>
        <v>#VALUE!</v>
      </c>
      <c r="H44" t="e">
        <f>VLOOKUP(Table8[[#This Row],[MLEO_ID]],Table3[#All],2)</f>
        <v>#VALUE!</v>
      </c>
      <c r="I44" t="e">
        <f>VLOOKUP(Table8[[#This Row],[LEO]],Table1[#All],2)</f>
        <v>#VALUE!</v>
      </c>
      <c r="J44" t="e">
        <f>VLOOKUP(Table8[[#This Row],[LEO]],Table1[#All],5)</f>
        <v>#VALUE!</v>
      </c>
      <c r="K44" t="e">
        <f>VLOOKUP(Table8[[#This Row],[LEO]],Table1[#All],3)</f>
        <v>#VALUE!</v>
      </c>
      <c r="L44" s="19" t="e">
        <f>VLOOKUP(Table8[[#This Row],[ME_ID]],Table4[#All],8)</f>
        <v>#VALUE!</v>
      </c>
    </row>
    <row r="45" spans="1:12" x14ac:dyDescent="0.2">
      <c r="A45" t="e">
        <f>Table4[[#This Row],[ID]]</f>
        <v>#VALUE!</v>
      </c>
      <c r="B45" t="e">
        <f>VLOOKUP(Table8[[#This Row],[ME_ID]],Table4[#All],2)</f>
        <v>#VALUE!</v>
      </c>
      <c r="C45" t="e">
        <f>VLOOKUP(Table8[[#This Row],[ME_ID]],Table4[#All],4)</f>
        <v>#VALUE!</v>
      </c>
      <c r="D45" t="e">
        <f>VLOOKUP(Table8[[#This Row],[ME_ID]],Table4[#All],3)</f>
        <v>#VALUE!</v>
      </c>
      <c r="E45" t="e">
        <f>VLOOKUP(Table8[[#This Row],[MLEO_ID]],Table3[#All],4)</f>
        <v>#VALUE!</v>
      </c>
      <c r="F45" t="e">
        <f>VLOOKUP(Table8[[#This Row],[MLEO_ID]],Table3[#All],5)</f>
        <v>#VALUE!</v>
      </c>
      <c r="G45" t="e">
        <f>VLOOKUP(Table8[[#This Row],[MLEO_ID]],Table3[#All],3)</f>
        <v>#VALUE!</v>
      </c>
      <c r="H45" t="e">
        <f>VLOOKUP(Table8[[#This Row],[MLEO_ID]],Table3[#All],2)</f>
        <v>#VALUE!</v>
      </c>
      <c r="I45" t="e">
        <f>VLOOKUP(Table8[[#This Row],[LEO]],Table1[#All],2)</f>
        <v>#VALUE!</v>
      </c>
      <c r="J45" t="e">
        <f>VLOOKUP(Table8[[#This Row],[LEO]],Table1[#All],5)</f>
        <v>#VALUE!</v>
      </c>
      <c r="K45" t="e">
        <f>VLOOKUP(Table8[[#This Row],[LEO]],Table1[#All],3)</f>
        <v>#VALUE!</v>
      </c>
      <c r="L45" s="19" t="e">
        <f>VLOOKUP(Table8[[#This Row],[ME_ID]],Table4[#All],8)</f>
        <v>#VALUE!</v>
      </c>
    </row>
    <row r="46" spans="1:12" x14ac:dyDescent="0.2">
      <c r="A46" t="e">
        <f>Table4[[#This Row],[ID]]</f>
        <v>#VALUE!</v>
      </c>
      <c r="B46" t="e">
        <f>VLOOKUP(Table8[[#This Row],[ME_ID]],Table4[#All],2)</f>
        <v>#VALUE!</v>
      </c>
      <c r="C46" t="e">
        <f>VLOOKUP(Table8[[#This Row],[ME_ID]],Table4[#All],4)</f>
        <v>#VALUE!</v>
      </c>
      <c r="D46" t="e">
        <f>VLOOKUP(Table8[[#This Row],[ME_ID]],Table4[#All],3)</f>
        <v>#VALUE!</v>
      </c>
      <c r="E46" t="e">
        <f>VLOOKUP(Table8[[#This Row],[MLEO_ID]],Table3[#All],4)</f>
        <v>#VALUE!</v>
      </c>
      <c r="F46" t="e">
        <f>VLOOKUP(Table8[[#This Row],[MLEO_ID]],Table3[#All],5)</f>
        <v>#VALUE!</v>
      </c>
      <c r="G46" t="e">
        <f>VLOOKUP(Table8[[#This Row],[MLEO_ID]],Table3[#All],3)</f>
        <v>#VALUE!</v>
      </c>
      <c r="H46" t="e">
        <f>VLOOKUP(Table8[[#This Row],[MLEO_ID]],Table3[#All],2)</f>
        <v>#VALUE!</v>
      </c>
      <c r="I46" t="e">
        <f>VLOOKUP(Table8[[#This Row],[LEO]],Table1[#All],2)</f>
        <v>#VALUE!</v>
      </c>
      <c r="J46" t="e">
        <f>VLOOKUP(Table8[[#This Row],[LEO]],Table1[#All],5)</f>
        <v>#VALUE!</v>
      </c>
      <c r="K46" t="e">
        <f>VLOOKUP(Table8[[#This Row],[LEO]],Table1[#All],3)</f>
        <v>#VALUE!</v>
      </c>
      <c r="L46" s="19" t="e">
        <f>VLOOKUP(Table8[[#This Row],[ME_ID]],Table4[#All],8)</f>
        <v>#VALUE!</v>
      </c>
    </row>
    <row r="47" spans="1:12" x14ac:dyDescent="0.2">
      <c r="A47" t="e">
        <f>Table4[[#This Row],[ID]]</f>
        <v>#VALUE!</v>
      </c>
      <c r="B47" t="e">
        <f>VLOOKUP(Table8[[#This Row],[ME_ID]],Table4[#All],2)</f>
        <v>#VALUE!</v>
      </c>
      <c r="C47" t="e">
        <f>VLOOKUP(Table8[[#This Row],[ME_ID]],Table4[#All],4)</f>
        <v>#VALUE!</v>
      </c>
      <c r="D47" t="e">
        <f>VLOOKUP(Table8[[#This Row],[ME_ID]],Table4[#All],3)</f>
        <v>#VALUE!</v>
      </c>
      <c r="E47" t="e">
        <f>VLOOKUP(Table8[[#This Row],[MLEO_ID]],Table3[#All],4)</f>
        <v>#VALUE!</v>
      </c>
      <c r="F47" t="e">
        <f>VLOOKUP(Table8[[#This Row],[MLEO_ID]],Table3[#All],5)</f>
        <v>#VALUE!</v>
      </c>
      <c r="G47" t="e">
        <f>VLOOKUP(Table8[[#This Row],[MLEO_ID]],Table3[#All],3)</f>
        <v>#VALUE!</v>
      </c>
      <c r="H47" t="e">
        <f>VLOOKUP(Table8[[#This Row],[MLEO_ID]],Table3[#All],2)</f>
        <v>#VALUE!</v>
      </c>
      <c r="I47" t="e">
        <f>VLOOKUP(Table8[[#This Row],[LEO]],Table1[#All],2)</f>
        <v>#VALUE!</v>
      </c>
      <c r="J47" t="e">
        <f>VLOOKUP(Table8[[#This Row],[LEO]],Table1[#All],5)</f>
        <v>#VALUE!</v>
      </c>
      <c r="K47" t="e">
        <f>VLOOKUP(Table8[[#This Row],[LEO]],Table1[#All],3)</f>
        <v>#VALUE!</v>
      </c>
      <c r="L47" s="19" t="e">
        <f>VLOOKUP(Table8[[#This Row],[ME_ID]],Table4[#All],8)</f>
        <v>#VALUE!</v>
      </c>
    </row>
    <row r="48" spans="1:12" x14ac:dyDescent="0.2">
      <c r="A48" t="e">
        <f>Table4[[#This Row],[ID]]</f>
        <v>#VALUE!</v>
      </c>
      <c r="B48" t="e">
        <f>VLOOKUP(Table8[[#This Row],[ME_ID]],Table4[#All],2)</f>
        <v>#VALUE!</v>
      </c>
      <c r="C48" t="e">
        <f>VLOOKUP(Table8[[#This Row],[ME_ID]],Table4[#All],4)</f>
        <v>#VALUE!</v>
      </c>
      <c r="D48" t="e">
        <f>VLOOKUP(Table8[[#This Row],[ME_ID]],Table4[#All],3)</f>
        <v>#VALUE!</v>
      </c>
      <c r="E48" t="e">
        <f>VLOOKUP(Table8[[#This Row],[MLEO_ID]],Table3[#All],4)</f>
        <v>#VALUE!</v>
      </c>
      <c r="F48" t="e">
        <f>VLOOKUP(Table8[[#This Row],[MLEO_ID]],Table3[#All],5)</f>
        <v>#VALUE!</v>
      </c>
      <c r="G48" t="e">
        <f>VLOOKUP(Table8[[#This Row],[MLEO_ID]],Table3[#All],3)</f>
        <v>#VALUE!</v>
      </c>
      <c r="H48" t="e">
        <f>VLOOKUP(Table8[[#This Row],[MLEO_ID]],Table3[#All],2)</f>
        <v>#VALUE!</v>
      </c>
      <c r="I48" t="e">
        <f>VLOOKUP(Table8[[#This Row],[LEO]],Table1[#All],2)</f>
        <v>#VALUE!</v>
      </c>
      <c r="J48" t="e">
        <f>VLOOKUP(Table8[[#This Row],[LEO]],Table1[#All],5)</f>
        <v>#VALUE!</v>
      </c>
      <c r="K48" t="e">
        <f>VLOOKUP(Table8[[#This Row],[LEO]],Table1[#All],3)</f>
        <v>#VALUE!</v>
      </c>
      <c r="L48" s="19" t="e">
        <f>VLOOKUP(Table8[[#This Row],[ME_ID]],Table4[#All],8)</f>
        <v>#VALUE!</v>
      </c>
    </row>
    <row r="49" spans="1:12" x14ac:dyDescent="0.2">
      <c r="A49" t="e">
        <f>Table4[[#This Row],[ID]]</f>
        <v>#VALUE!</v>
      </c>
      <c r="B49" t="e">
        <f>VLOOKUP(Table8[[#This Row],[ME_ID]],Table4[#All],2)</f>
        <v>#VALUE!</v>
      </c>
      <c r="C49" t="e">
        <f>VLOOKUP(Table8[[#This Row],[ME_ID]],Table4[#All],4)</f>
        <v>#VALUE!</v>
      </c>
      <c r="D49" t="e">
        <f>VLOOKUP(Table8[[#This Row],[ME_ID]],Table4[#All],3)</f>
        <v>#VALUE!</v>
      </c>
      <c r="E49" t="e">
        <f>VLOOKUP(Table8[[#This Row],[MLEO_ID]],Table3[#All],4)</f>
        <v>#VALUE!</v>
      </c>
      <c r="F49" t="e">
        <f>VLOOKUP(Table8[[#This Row],[MLEO_ID]],Table3[#All],5)</f>
        <v>#VALUE!</v>
      </c>
      <c r="G49" t="e">
        <f>VLOOKUP(Table8[[#This Row],[MLEO_ID]],Table3[#All],3)</f>
        <v>#VALUE!</v>
      </c>
      <c r="H49" t="e">
        <f>VLOOKUP(Table8[[#This Row],[MLEO_ID]],Table3[#All],2)</f>
        <v>#VALUE!</v>
      </c>
      <c r="I49" t="e">
        <f>VLOOKUP(Table8[[#This Row],[LEO]],Table1[#All],2)</f>
        <v>#VALUE!</v>
      </c>
      <c r="J49" t="e">
        <f>VLOOKUP(Table8[[#This Row],[LEO]],Table1[#All],5)</f>
        <v>#VALUE!</v>
      </c>
      <c r="K49" t="e">
        <f>VLOOKUP(Table8[[#This Row],[LEO]],Table1[#All],3)</f>
        <v>#VALUE!</v>
      </c>
      <c r="L49" s="19" t="e">
        <f>VLOOKUP(Table8[[#This Row],[ME_ID]],Table4[#All],8)</f>
        <v>#VALUE!</v>
      </c>
    </row>
    <row r="50" spans="1:12" x14ac:dyDescent="0.2">
      <c r="A50" t="e">
        <f>Table4[[#This Row],[ID]]</f>
        <v>#VALUE!</v>
      </c>
      <c r="B50" t="e">
        <f>VLOOKUP(Table8[[#This Row],[ME_ID]],Table4[#All],2)</f>
        <v>#VALUE!</v>
      </c>
      <c r="C50" t="e">
        <f>VLOOKUP(Table8[[#This Row],[ME_ID]],Table4[#All],4)</f>
        <v>#VALUE!</v>
      </c>
      <c r="D50" t="e">
        <f>VLOOKUP(Table8[[#This Row],[ME_ID]],Table4[#All],3)</f>
        <v>#VALUE!</v>
      </c>
      <c r="E50" t="e">
        <f>VLOOKUP(Table8[[#This Row],[MLEO_ID]],Table3[#All],4)</f>
        <v>#VALUE!</v>
      </c>
      <c r="F50" t="e">
        <f>VLOOKUP(Table8[[#This Row],[MLEO_ID]],Table3[#All],5)</f>
        <v>#VALUE!</v>
      </c>
      <c r="G50" t="e">
        <f>VLOOKUP(Table8[[#This Row],[MLEO_ID]],Table3[#All],3)</f>
        <v>#VALUE!</v>
      </c>
      <c r="H50" t="e">
        <f>VLOOKUP(Table8[[#This Row],[MLEO_ID]],Table3[#All],2)</f>
        <v>#VALUE!</v>
      </c>
      <c r="I50" t="e">
        <f>VLOOKUP(Table8[[#This Row],[LEO]],Table1[#All],2)</f>
        <v>#VALUE!</v>
      </c>
      <c r="J50" t="e">
        <f>VLOOKUP(Table8[[#This Row],[LEO]],Table1[#All],5)</f>
        <v>#VALUE!</v>
      </c>
      <c r="K50" t="e">
        <f>VLOOKUP(Table8[[#This Row],[LEO]],Table1[#All],3)</f>
        <v>#VALUE!</v>
      </c>
      <c r="L50" s="19" t="e">
        <f>VLOOKUP(Table8[[#This Row],[ME_ID]],Table4[#All],8)</f>
        <v>#VALUE!</v>
      </c>
    </row>
    <row r="51" spans="1:12" x14ac:dyDescent="0.2">
      <c r="A51" t="e">
        <f>Table4[[#This Row],[ID]]</f>
        <v>#VALUE!</v>
      </c>
      <c r="B51" t="e">
        <f>VLOOKUP(Table8[[#This Row],[ME_ID]],Table4[#All],2)</f>
        <v>#VALUE!</v>
      </c>
      <c r="C51" t="e">
        <f>VLOOKUP(Table8[[#This Row],[ME_ID]],Table4[#All],4)</f>
        <v>#VALUE!</v>
      </c>
      <c r="D51" t="e">
        <f>VLOOKUP(Table8[[#This Row],[ME_ID]],Table4[#All],3)</f>
        <v>#VALUE!</v>
      </c>
      <c r="E51" t="e">
        <f>VLOOKUP(Table8[[#This Row],[MLEO_ID]],Table3[#All],4)</f>
        <v>#VALUE!</v>
      </c>
      <c r="F51" t="e">
        <f>VLOOKUP(Table8[[#This Row],[MLEO_ID]],Table3[#All],5)</f>
        <v>#VALUE!</v>
      </c>
      <c r="G51" t="e">
        <f>VLOOKUP(Table8[[#This Row],[MLEO_ID]],Table3[#All],3)</f>
        <v>#VALUE!</v>
      </c>
      <c r="H51" t="e">
        <f>VLOOKUP(Table8[[#This Row],[MLEO_ID]],Table3[#All],2)</f>
        <v>#VALUE!</v>
      </c>
      <c r="I51" t="e">
        <f>VLOOKUP(Table8[[#This Row],[LEO]],Table1[#All],2)</f>
        <v>#VALUE!</v>
      </c>
      <c r="J51" t="e">
        <f>VLOOKUP(Table8[[#This Row],[LEO]],Table1[#All],5)</f>
        <v>#VALUE!</v>
      </c>
      <c r="K51" t="e">
        <f>VLOOKUP(Table8[[#This Row],[LEO]],Table1[#All],3)</f>
        <v>#VALUE!</v>
      </c>
      <c r="L51" s="19" t="e">
        <f>VLOOKUP(Table8[[#This Row],[ME_ID]],Table4[#All],8)</f>
        <v>#VALUE!</v>
      </c>
    </row>
    <row r="52" spans="1:12" x14ac:dyDescent="0.2">
      <c r="A52" t="e">
        <f>Table4[[#This Row],[ID]]</f>
        <v>#VALUE!</v>
      </c>
      <c r="B52" t="e">
        <f>VLOOKUP(Table8[[#This Row],[ME_ID]],Table4[#All],2)</f>
        <v>#VALUE!</v>
      </c>
      <c r="C52" t="e">
        <f>VLOOKUP(Table8[[#This Row],[ME_ID]],Table4[#All],4)</f>
        <v>#VALUE!</v>
      </c>
      <c r="D52" t="e">
        <f>VLOOKUP(Table8[[#This Row],[ME_ID]],Table4[#All],3)</f>
        <v>#VALUE!</v>
      </c>
      <c r="E52" t="e">
        <f>VLOOKUP(Table8[[#This Row],[MLEO_ID]],Table3[#All],4)</f>
        <v>#VALUE!</v>
      </c>
      <c r="F52" t="e">
        <f>VLOOKUP(Table8[[#This Row],[MLEO_ID]],Table3[#All],5)</f>
        <v>#VALUE!</v>
      </c>
      <c r="G52" t="e">
        <f>VLOOKUP(Table8[[#This Row],[MLEO_ID]],Table3[#All],3)</f>
        <v>#VALUE!</v>
      </c>
      <c r="H52" t="e">
        <f>VLOOKUP(Table8[[#This Row],[MLEO_ID]],Table3[#All],2)</f>
        <v>#VALUE!</v>
      </c>
      <c r="I52" t="e">
        <f>VLOOKUP(Table8[[#This Row],[LEO]],Table1[#All],2)</f>
        <v>#VALUE!</v>
      </c>
      <c r="J52" t="e">
        <f>VLOOKUP(Table8[[#This Row],[LEO]],Table1[#All],5)</f>
        <v>#VALUE!</v>
      </c>
      <c r="K52" t="e">
        <f>VLOOKUP(Table8[[#This Row],[LEO]],Table1[#All],3)</f>
        <v>#VALUE!</v>
      </c>
      <c r="L52" s="19" t="e">
        <f>VLOOKUP(Table8[[#This Row],[ME_ID]],Table4[#All],8)</f>
        <v>#VALUE!</v>
      </c>
    </row>
    <row r="53" spans="1:12" x14ac:dyDescent="0.2">
      <c r="A53" t="e">
        <f>Table4[[#This Row],[ID]]</f>
        <v>#VALUE!</v>
      </c>
      <c r="B53" t="e">
        <f>VLOOKUP(Table8[[#This Row],[ME_ID]],Table4[#All],2)</f>
        <v>#VALUE!</v>
      </c>
      <c r="C53" t="e">
        <f>VLOOKUP(Table8[[#This Row],[ME_ID]],Table4[#All],4)</f>
        <v>#VALUE!</v>
      </c>
      <c r="D53" t="e">
        <f>VLOOKUP(Table8[[#This Row],[ME_ID]],Table4[#All],3)</f>
        <v>#VALUE!</v>
      </c>
      <c r="E53" t="e">
        <f>VLOOKUP(Table8[[#This Row],[MLEO_ID]],Table3[#All],4)</f>
        <v>#VALUE!</v>
      </c>
      <c r="F53" t="e">
        <f>VLOOKUP(Table8[[#This Row],[MLEO_ID]],Table3[#All],5)</f>
        <v>#VALUE!</v>
      </c>
      <c r="G53" t="e">
        <f>VLOOKUP(Table8[[#This Row],[MLEO_ID]],Table3[#All],3)</f>
        <v>#VALUE!</v>
      </c>
      <c r="H53" t="e">
        <f>VLOOKUP(Table8[[#This Row],[MLEO_ID]],Table3[#All],2)</f>
        <v>#VALUE!</v>
      </c>
      <c r="I53" t="e">
        <f>VLOOKUP(Table8[[#This Row],[LEO]],Table1[#All],2)</f>
        <v>#VALUE!</v>
      </c>
      <c r="J53" t="e">
        <f>VLOOKUP(Table8[[#This Row],[LEO]],Table1[#All],5)</f>
        <v>#VALUE!</v>
      </c>
      <c r="K53" t="e">
        <f>VLOOKUP(Table8[[#This Row],[LEO]],Table1[#All],3)</f>
        <v>#VALUE!</v>
      </c>
      <c r="L53" s="19" t="e">
        <f>VLOOKUP(Table8[[#This Row],[ME_ID]],Table4[#All],8)</f>
        <v>#VALUE!</v>
      </c>
    </row>
    <row r="54" spans="1:12" x14ac:dyDescent="0.2">
      <c r="A54" t="e">
        <f>Table4[[#This Row],[ID]]</f>
        <v>#VALUE!</v>
      </c>
      <c r="B54" t="e">
        <f>VLOOKUP(Table8[[#This Row],[ME_ID]],Table4[#All],2)</f>
        <v>#VALUE!</v>
      </c>
      <c r="C54" t="e">
        <f>VLOOKUP(Table8[[#This Row],[ME_ID]],Table4[#All],4)</f>
        <v>#VALUE!</v>
      </c>
      <c r="D54" t="e">
        <f>VLOOKUP(Table8[[#This Row],[ME_ID]],Table4[#All],3)</f>
        <v>#VALUE!</v>
      </c>
      <c r="E54" t="e">
        <f>VLOOKUP(Table8[[#This Row],[MLEO_ID]],Table3[#All],4)</f>
        <v>#VALUE!</v>
      </c>
      <c r="F54" t="e">
        <f>VLOOKUP(Table8[[#This Row],[MLEO_ID]],Table3[#All],5)</f>
        <v>#VALUE!</v>
      </c>
      <c r="G54" t="e">
        <f>VLOOKUP(Table8[[#This Row],[MLEO_ID]],Table3[#All],3)</f>
        <v>#VALUE!</v>
      </c>
      <c r="H54" t="e">
        <f>VLOOKUP(Table8[[#This Row],[MLEO_ID]],Table3[#All],2)</f>
        <v>#VALUE!</v>
      </c>
      <c r="I54" t="e">
        <f>VLOOKUP(Table8[[#This Row],[LEO]],Table1[#All],2)</f>
        <v>#VALUE!</v>
      </c>
      <c r="J54" t="e">
        <f>VLOOKUP(Table8[[#This Row],[LEO]],Table1[#All],5)</f>
        <v>#VALUE!</v>
      </c>
      <c r="K54" t="e">
        <f>VLOOKUP(Table8[[#This Row],[LEO]],Table1[#All],3)</f>
        <v>#VALUE!</v>
      </c>
      <c r="L54" s="19" t="e">
        <f>VLOOKUP(Table8[[#This Row],[ME_ID]],Table4[#All],8)</f>
        <v>#VALUE!</v>
      </c>
    </row>
    <row r="55" spans="1:12" x14ac:dyDescent="0.2">
      <c r="A55" t="e">
        <f>Table4[[#This Row],[ID]]</f>
        <v>#VALUE!</v>
      </c>
      <c r="B55" t="e">
        <f>VLOOKUP(Table8[[#This Row],[ME_ID]],Table4[#All],2)</f>
        <v>#VALUE!</v>
      </c>
      <c r="C55" t="e">
        <f>VLOOKUP(Table8[[#This Row],[ME_ID]],Table4[#All],4)</f>
        <v>#VALUE!</v>
      </c>
      <c r="D55" t="e">
        <f>VLOOKUP(Table8[[#This Row],[ME_ID]],Table4[#All],3)</f>
        <v>#VALUE!</v>
      </c>
      <c r="E55" t="e">
        <f>VLOOKUP(Table8[[#This Row],[MLEO_ID]],Table3[#All],4)</f>
        <v>#VALUE!</v>
      </c>
      <c r="F55" t="e">
        <f>VLOOKUP(Table8[[#This Row],[MLEO_ID]],Table3[#All],5)</f>
        <v>#VALUE!</v>
      </c>
      <c r="G55" t="e">
        <f>VLOOKUP(Table8[[#This Row],[MLEO_ID]],Table3[#All],3)</f>
        <v>#VALUE!</v>
      </c>
      <c r="H55" t="e">
        <f>VLOOKUP(Table8[[#This Row],[MLEO_ID]],Table3[#All],2)</f>
        <v>#VALUE!</v>
      </c>
      <c r="I55" t="e">
        <f>VLOOKUP(Table8[[#This Row],[LEO]],Table1[#All],2)</f>
        <v>#VALUE!</v>
      </c>
      <c r="J55" t="e">
        <f>VLOOKUP(Table8[[#This Row],[LEO]],Table1[#All],5)</f>
        <v>#VALUE!</v>
      </c>
      <c r="K55" t="e">
        <f>VLOOKUP(Table8[[#This Row],[LEO]],Table1[#All],3)</f>
        <v>#VALUE!</v>
      </c>
      <c r="L55" s="19" t="e">
        <f>VLOOKUP(Table8[[#This Row],[ME_ID]],Table4[#All],8)</f>
        <v>#VALUE!</v>
      </c>
    </row>
    <row r="56" spans="1:12" x14ac:dyDescent="0.2">
      <c r="A56" t="e">
        <f>Table4[[#This Row],[ID]]</f>
        <v>#VALUE!</v>
      </c>
      <c r="B56" t="e">
        <f>VLOOKUP(Table8[[#This Row],[ME_ID]],Table4[#All],2)</f>
        <v>#VALUE!</v>
      </c>
      <c r="C56" t="e">
        <f>VLOOKUP(Table8[[#This Row],[ME_ID]],Table4[#All],4)</f>
        <v>#VALUE!</v>
      </c>
      <c r="D56" t="e">
        <f>VLOOKUP(Table8[[#This Row],[ME_ID]],Table4[#All],3)</f>
        <v>#VALUE!</v>
      </c>
      <c r="E56" t="e">
        <f>VLOOKUP(Table8[[#This Row],[MLEO_ID]],Table3[#All],4)</f>
        <v>#VALUE!</v>
      </c>
      <c r="F56" t="e">
        <f>VLOOKUP(Table8[[#This Row],[MLEO_ID]],Table3[#All],5)</f>
        <v>#VALUE!</v>
      </c>
      <c r="G56" t="e">
        <f>VLOOKUP(Table8[[#This Row],[MLEO_ID]],Table3[#All],3)</f>
        <v>#VALUE!</v>
      </c>
      <c r="H56" t="e">
        <f>VLOOKUP(Table8[[#This Row],[MLEO_ID]],Table3[#All],2)</f>
        <v>#VALUE!</v>
      </c>
      <c r="I56" t="e">
        <f>VLOOKUP(Table8[[#This Row],[LEO]],Table1[#All],2)</f>
        <v>#VALUE!</v>
      </c>
      <c r="J56" t="e">
        <f>VLOOKUP(Table8[[#This Row],[LEO]],Table1[#All],5)</f>
        <v>#VALUE!</v>
      </c>
      <c r="K56" t="e">
        <f>VLOOKUP(Table8[[#This Row],[LEO]],Table1[#All],3)</f>
        <v>#VALUE!</v>
      </c>
      <c r="L56" s="19" t="e">
        <f>VLOOKUP(Table8[[#This Row],[ME_ID]],Table4[#All],8)</f>
        <v>#VALUE!</v>
      </c>
    </row>
    <row r="57" spans="1:12" x14ac:dyDescent="0.2">
      <c r="A57" t="e">
        <f>Table4[[#This Row],[ID]]</f>
        <v>#VALUE!</v>
      </c>
      <c r="B57" t="e">
        <f>VLOOKUP(Table8[[#This Row],[ME_ID]],Table4[#All],2)</f>
        <v>#VALUE!</v>
      </c>
      <c r="C57" t="e">
        <f>VLOOKUP(Table8[[#This Row],[ME_ID]],Table4[#All],4)</f>
        <v>#VALUE!</v>
      </c>
      <c r="D57" t="e">
        <f>VLOOKUP(Table8[[#This Row],[ME_ID]],Table4[#All],3)</f>
        <v>#VALUE!</v>
      </c>
      <c r="E57" t="e">
        <f>VLOOKUP(Table8[[#This Row],[MLEO_ID]],Table3[#All],4)</f>
        <v>#VALUE!</v>
      </c>
      <c r="F57" t="e">
        <f>VLOOKUP(Table8[[#This Row],[MLEO_ID]],Table3[#All],5)</f>
        <v>#VALUE!</v>
      </c>
      <c r="G57" t="e">
        <f>VLOOKUP(Table8[[#This Row],[MLEO_ID]],Table3[#All],3)</f>
        <v>#VALUE!</v>
      </c>
      <c r="H57" t="e">
        <f>VLOOKUP(Table8[[#This Row],[MLEO_ID]],Table3[#All],2)</f>
        <v>#VALUE!</v>
      </c>
      <c r="I57" t="e">
        <f>VLOOKUP(Table8[[#This Row],[LEO]],Table1[#All],2)</f>
        <v>#VALUE!</v>
      </c>
      <c r="J57" t="e">
        <f>VLOOKUP(Table8[[#This Row],[LEO]],Table1[#All],5)</f>
        <v>#VALUE!</v>
      </c>
      <c r="K57" t="e">
        <f>VLOOKUP(Table8[[#This Row],[LEO]],Table1[#All],3)</f>
        <v>#VALUE!</v>
      </c>
      <c r="L57" s="19" t="e">
        <f>VLOOKUP(Table8[[#This Row],[ME_ID]],Table4[#All],8)</f>
        <v>#VALUE!</v>
      </c>
    </row>
    <row r="58" spans="1:12" x14ac:dyDescent="0.2">
      <c r="A58" t="e">
        <f>Table4[[#This Row],[ID]]</f>
        <v>#VALUE!</v>
      </c>
      <c r="B58" t="e">
        <f>VLOOKUP(Table8[[#This Row],[ME_ID]],Table4[#All],2)</f>
        <v>#VALUE!</v>
      </c>
      <c r="C58" t="e">
        <f>VLOOKUP(Table8[[#This Row],[ME_ID]],Table4[#All],4)</f>
        <v>#VALUE!</v>
      </c>
      <c r="D58" t="e">
        <f>VLOOKUP(Table8[[#This Row],[ME_ID]],Table4[#All],3)</f>
        <v>#VALUE!</v>
      </c>
      <c r="E58" t="e">
        <f>VLOOKUP(Table8[[#This Row],[MLEO_ID]],Table3[#All],4)</f>
        <v>#VALUE!</v>
      </c>
      <c r="F58" t="e">
        <f>VLOOKUP(Table8[[#This Row],[MLEO_ID]],Table3[#All],5)</f>
        <v>#VALUE!</v>
      </c>
      <c r="G58" t="e">
        <f>VLOOKUP(Table8[[#This Row],[MLEO_ID]],Table3[#All],3)</f>
        <v>#VALUE!</v>
      </c>
      <c r="H58" t="e">
        <f>VLOOKUP(Table8[[#This Row],[MLEO_ID]],Table3[#All],2)</f>
        <v>#VALUE!</v>
      </c>
      <c r="I58" t="e">
        <f>VLOOKUP(Table8[[#This Row],[LEO]],Table1[#All],2)</f>
        <v>#VALUE!</v>
      </c>
      <c r="J58" t="e">
        <f>VLOOKUP(Table8[[#This Row],[LEO]],Table1[#All],5)</f>
        <v>#VALUE!</v>
      </c>
      <c r="K58" t="e">
        <f>VLOOKUP(Table8[[#This Row],[LEO]],Table1[#All],3)</f>
        <v>#VALUE!</v>
      </c>
      <c r="L58" s="19" t="e">
        <f>VLOOKUP(Table8[[#This Row],[ME_ID]],Table4[#All],8)</f>
        <v>#VALUE!</v>
      </c>
    </row>
    <row r="59" spans="1:12" x14ac:dyDescent="0.2">
      <c r="A59" t="e">
        <f>Table4[[#This Row],[ID]]</f>
        <v>#VALUE!</v>
      </c>
      <c r="B59" t="e">
        <f>VLOOKUP(Table8[[#This Row],[ME_ID]],Table4[#All],2)</f>
        <v>#VALUE!</v>
      </c>
      <c r="C59" t="e">
        <f>VLOOKUP(Table8[[#This Row],[ME_ID]],Table4[#All],4)</f>
        <v>#VALUE!</v>
      </c>
      <c r="D59" t="e">
        <f>VLOOKUP(Table8[[#This Row],[ME_ID]],Table4[#All],3)</f>
        <v>#VALUE!</v>
      </c>
      <c r="E59" t="e">
        <f>VLOOKUP(Table8[[#This Row],[MLEO_ID]],Table3[#All],4)</f>
        <v>#VALUE!</v>
      </c>
      <c r="F59" t="e">
        <f>VLOOKUP(Table8[[#This Row],[MLEO_ID]],Table3[#All],5)</f>
        <v>#VALUE!</v>
      </c>
      <c r="G59" t="e">
        <f>VLOOKUP(Table8[[#This Row],[MLEO_ID]],Table3[#All],3)</f>
        <v>#VALUE!</v>
      </c>
      <c r="H59" t="e">
        <f>VLOOKUP(Table8[[#This Row],[MLEO_ID]],Table3[#All],2)</f>
        <v>#VALUE!</v>
      </c>
      <c r="I59" t="e">
        <f>VLOOKUP(Table8[[#This Row],[LEO]],Table1[#All],2)</f>
        <v>#VALUE!</v>
      </c>
      <c r="J59" t="e">
        <f>VLOOKUP(Table8[[#This Row],[LEO]],Table1[#All],5)</f>
        <v>#VALUE!</v>
      </c>
      <c r="K59" t="e">
        <f>VLOOKUP(Table8[[#This Row],[LEO]],Table1[#All],3)</f>
        <v>#VALUE!</v>
      </c>
      <c r="L59" s="19" t="e">
        <f>VLOOKUP(Table8[[#This Row],[ME_ID]],Table4[#All],8)</f>
        <v>#VALUE!</v>
      </c>
    </row>
    <row r="60" spans="1:12" x14ac:dyDescent="0.2">
      <c r="A60" t="e">
        <f>Table4[[#This Row],[ID]]</f>
        <v>#VALUE!</v>
      </c>
      <c r="B60" t="e">
        <f>VLOOKUP(Table8[[#This Row],[ME_ID]],Table4[#All],2)</f>
        <v>#VALUE!</v>
      </c>
      <c r="C60" t="e">
        <f>VLOOKUP(Table8[[#This Row],[ME_ID]],Table4[#All],4)</f>
        <v>#VALUE!</v>
      </c>
      <c r="D60" t="e">
        <f>VLOOKUP(Table8[[#This Row],[ME_ID]],Table4[#All],3)</f>
        <v>#VALUE!</v>
      </c>
      <c r="E60" t="e">
        <f>VLOOKUP(Table8[[#This Row],[MLEO_ID]],Table3[#All],4)</f>
        <v>#VALUE!</v>
      </c>
      <c r="F60" t="e">
        <f>VLOOKUP(Table8[[#This Row],[MLEO_ID]],Table3[#All],5)</f>
        <v>#VALUE!</v>
      </c>
      <c r="G60" t="e">
        <f>VLOOKUP(Table8[[#This Row],[MLEO_ID]],Table3[#All],3)</f>
        <v>#VALUE!</v>
      </c>
      <c r="H60" t="e">
        <f>VLOOKUP(Table8[[#This Row],[MLEO_ID]],Table3[#All],2)</f>
        <v>#VALUE!</v>
      </c>
      <c r="I60" t="e">
        <f>VLOOKUP(Table8[[#This Row],[LEO]],Table1[#All],2)</f>
        <v>#VALUE!</v>
      </c>
      <c r="J60" t="e">
        <f>VLOOKUP(Table8[[#This Row],[LEO]],Table1[#All],5)</f>
        <v>#VALUE!</v>
      </c>
      <c r="K60" t="e">
        <f>VLOOKUP(Table8[[#This Row],[LEO]],Table1[#All],3)</f>
        <v>#VALUE!</v>
      </c>
      <c r="L60" s="19" t="e">
        <f>VLOOKUP(Table8[[#This Row],[ME_ID]],Table4[#All],8)</f>
        <v>#VALUE!</v>
      </c>
    </row>
    <row r="61" spans="1:12" x14ac:dyDescent="0.2">
      <c r="A61" t="e">
        <f>Table4[[#This Row],[ID]]</f>
        <v>#VALUE!</v>
      </c>
      <c r="B61" t="e">
        <f>VLOOKUP(Table8[[#This Row],[ME_ID]],Table4[#All],2)</f>
        <v>#VALUE!</v>
      </c>
      <c r="C61" t="e">
        <f>VLOOKUP(Table8[[#This Row],[ME_ID]],Table4[#All],4)</f>
        <v>#VALUE!</v>
      </c>
      <c r="D61" t="e">
        <f>VLOOKUP(Table8[[#This Row],[ME_ID]],Table4[#All],3)</f>
        <v>#VALUE!</v>
      </c>
      <c r="E61" t="e">
        <f>VLOOKUP(Table8[[#This Row],[MLEO_ID]],Table3[#All],4)</f>
        <v>#VALUE!</v>
      </c>
      <c r="F61" t="e">
        <f>VLOOKUP(Table8[[#This Row],[MLEO_ID]],Table3[#All],5)</f>
        <v>#VALUE!</v>
      </c>
      <c r="G61" t="e">
        <f>VLOOKUP(Table8[[#This Row],[MLEO_ID]],Table3[#All],3)</f>
        <v>#VALUE!</v>
      </c>
      <c r="H61" t="e">
        <f>VLOOKUP(Table8[[#This Row],[MLEO_ID]],Table3[#All],2)</f>
        <v>#VALUE!</v>
      </c>
      <c r="I61" t="e">
        <f>VLOOKUP(Table8[[#This Row],[LEO]],Table1[#All],2)</f>
        <v>#VALUE!</v>
      </c>
      <c r="J61" t="e">
        <f>VLOOKUP(Table8[[#This Row],[LEO]],Table1[#All],5)</f>
        <v>#VALUE!</v>
      </c>
      <c r="K61" t="e">
        <f>VLOOKUP(Table8[[#This Row],[LEO]],Table1[#All],3)</f>
        <v>#VALUE!</v>
      </c>
      <c r="L61" s="19" t="e">
        <f>VLOOKUP(Table8[[#This Row],[ME_ID]],Table4[#All],8)</f>
        <v>#VALUE!</v>
      </c>
    </row>
    <row r="62" spans="1:12" x14ac:dyDescent="0.2">
      <c r="A62" t="e">
        <f>Table4[[#This Row],[ID]]</f>
        <v>#VALUE!</v>
      </c>
      <c r="B62" t="e">
        <f>VLOOKUP(Table8[[#This Row],[ME_ID]],Table4[#All],2)</f>
        <v>#VALUE!</v>
      </c>
      <c r="C62" t="e">
        <f>VLOOKUP(Table8[[#This Row],[ME_ID]],Table4[#All],4)</f>
        <v>#VALUE!</v>
      </c>
      <c r="D62" t="e">
        <f>VLOOKUP(Table8[[#This Row],[ME_ID]],Table4[#All],3)</f>
        <v>#VALUE!</v>
      </c>
      <c r="E62" t="e">
        <f>VLOOKUP(Table8[[#This Row],[MLEO_ID]],Table3[#All],4)</f>
        <v>#VALUE!</v>
      </c>
      <c r="F62" t="e">
        <f>VLOOKUP(Table8[[#This Row],[MLEO_ID]],Table3[#All],5)</f>
        <v>#VALUE!</v>
      </c>
      <c r="G62" t="e">
        <f>VLOOKUP(Table8[[#This Row],[MLEO_ID]],Table3[#All],3)</f>
        <v>#VALUE!</v>
      </c>
      <c r="H62" t="e">
        <f>VLOOKUP(Table8[[#This Row],[MLEO_ID]],Table3[#All],2)</f>
        <v>#VALUE!</v>
      </c>
      <c r="I62" t="e">
        <f>VLOOKUP(Table8[[#This Row],[LEO]],Table1[#All],2)</f>
        <v>#VALUE!</v>
      </c>
      <c r="J62" t="e">
        <f>VLOOKUP(Table8[[#This Row],[LEO]],Table1[#All],5)</f>
        <v>#VALUE!</v>
      </c>
      <c r="K62" t="e">
        <f>VLOOKUP(Table8[[#This Row],[LEO]],Table1[#All],3)</f>
        <v>#VALUE!</v>
      </c>
      <c r="L62" s="19" t="e">
        <f>VLOOKUP(Table8[[#This Row],[ME_ID]],Table4[#All],8)</f>
        <v>#VALUE!</v>
      </c>
    </row>
    <row r="63" spans="1:12" x14ac:dyDescent="0.2">
      <c r="A63" t="e">
        <f>Table4[[#This Row],[ID]]</f>
        <v>#VALUE!</v>
      </c>
      <c r="B63" t="e">
        <f>VLOOKUP(Table8[[#This Row],[ME_ID]],Table4[#All],2)</f>
        <v>#VALUE!</v>
      </c>
      <c r="C63" t="e">
        <f>VLOOKUP(Table8[[#This Row],[ME_ID]],Table4[#All],4)</f>
        <v>#VALUE!</v>
      </c>
      <c r="D63" t="e">
        <f>VLOOKUP(Table8[[#This Row],[ME_ID]],Table4[#All],3)</f>
        <v>#VALUE!</v>
      </c>
      <c r="E63" t="e">
        <f>VLOOKUP(Table8[[#This Row],[MLEO_ID]],Table3[#All],4)</f>
        <v>#VALUE!</v>
      </c>
      <c r="F63" t="e">
        <f>VLOOKUP(Table8[[#This Row],[MLEO_ID]],Table3[#All],5)</f>
        <v>#VALUE!</v>
      </c>
      <c r="G63" t="e">
        <f>VLOOKUP(Table8[[#This Row],[MLEO_ID]],Table3[#All],3)</f>
        <v>#VALUE!</v>
      </c>
      <c r="H63" t="e">
        <f>VLOOKUP(Table8[[#This Row],[MLEO_ID]],Table3[#All],2)</f>
        <v>#VALUE!</v>
      </c>
      <c r="I63" t="e">
        <f>VLOOKUP(Table8[[#This Row],[LEO]],Table1[#All],2)</f>
        <v>#VALUE!</v>
      </c>
      <c r="J63" t="e">
        <f>VLOOKUP(Table8[[#This Row],[LEO]],Table1[#All],5)</f>
        <v>#VALUE!</v>
      </c>
      <c r="K63" t="e">
        <f>VLOOKUP(Table8[[#This Row],[LEO]],Table1[#All],3)</f>
        <v>#VALUE!</v>
      </c>
      <c r="L63" s="19" t="e">
        <f>VLOOKUP(Table8[[#This Row],[ME_ID]],Table4[#All],8)</f>
        <v>#VALUE!</v>
      </c>
    </row>
    <row r="64" spans="1:12" x14ac:dyDescent="0.2">
      <c r="A64" t="e">
        <f>Table4[[#This Row],[ID]]</f>
        <v>#VALUE!</v>
      </c>
      <c r="B64" t="e">
        <f>VLOOKUP(Table8[[#This Row],[ME_ID]],Table4[#All],2)</f>
        <v>#VALUE!</v>
      </c>
      <c r="C64" t="e">
        <f>VLOOKUP(Table8[[#This Row],[ME_ID]],Table4[#All],4)</f>
        <v>#VALUE!</v>
      </c>
      <c r="D64" t="e">
        <f>VLOOKUP(Table8[[#This Row],[ME_ID]],Table4[#All],3)</f>
        <v>#VALUE!</v>
      </c>
      <c r="E64" t="e">
        <f>VLOOKUP(Table8[[#This Row],[MLEO_ID]],Table3[#All],4)</f>
        <v>#VALUE!</v>
      </c>
      <c r="F64" t="e">
        <f>VLOOKUP(Table8[[#This Row],[MLEO_ID]],Table3[#All],5)</f>
        <v>#VALUE!</v>
      </c>
      <c r="G64" t="e">
        <f>VLOOKUP(Table8[[#This Row],[MLEO_ID]],Table3[#All],3)</f>
        <v>#VALUE!</v>
      </c>
      <c r="H64" t="e">
        <f>VLOOKUP(Table8[[#This Row],[MLEO_ID]],Table3[#All],2)</f>
        <v>#VALUE!</v>
      </c>
      <c r="I64" t="e">
        <f>VLOOKUP(Table8[[#This Row],[LEO]],Table1[#All],2)</f>
        <v>#VALUE!</v>
      </c>
      <c r="J64" t="e">
        <f>VLOOKUP(Table8[[#This Row],[LEO]],Table1[#All],5)</f>
        <v>#VALUE!</v>
      </c>
      <c r="K64" t="e">
        <f>VLOOKUP(Table8[[#This Row],[LEO]],Table1[#All],3)</f>
        <v>#VALUE!</v>
      </c>
      <c r="L64" s="19" t="e">
        <f>VLOOKUP(Table8[[#This Row],[ME_ID]],Table4[#All],8)</f>
        <v>#VALUE!</v>
      </c>
    </row>
    <row r="65" spans="1:12" x14ac:dyDescent="0.2">
      <c r="A65" t="e">
        <f>Table4[[#This Row],[ID]]</f>
        <v>#VALUE!</v>
      </c>
      <c r="B65" t="e">
        <f>VLOOKUP(Table8[[#This Row],[ME_ID]],Table4[#All],2)</f>
        <v>#VALUE!</v>
      </c>
      <c r="C65" t="e">
        <f>VLOOKUP(Table8[[#This Row],[ME_ID]],Table4[#All],4)</f>
        <v>#VALUE!</v>
      </c>
      <c r="D65" t="e">
        <f>VLOOKUP(Table8[[#This Row],[ME_ID]],Table4[#All],3)</f>
        <v>#VALUE!</v>
      </c>
      <c r="E65" t="e">
        <f>VLOOKUP(Table8[[#This Row],[MLEO_ID]],Table3[#All],4)</f>
        <v>#VALUE!</v>
      </c>
      <c r="F65" t="e">
        <f>VLOOKUP(Table8[[#This Row],[MLEO_ID]],Table3[#All],5)</f>
        <v>#VALUE!</v>
      </c>
      <c r="G65" t="e">
        <f>VLOOKUP(Table8[[#This Row],[MLEO_ID]],Table3[#All],3)</f>
        <v>#VALUE!</v>
      </c>
      <c r="H65" t="e">
        <f>VLOOKUP(Table8[[#This Row],[MLEO_ID]],Table3[#All],2)</f>
        <v>#VALUE!</v>
      </c>
      <c r="I65" t="e">
        <f>VLOOKUP(Table8[[#This Row],[LEO]],Table1[#All],2)</f>
        <v>#VALUE!</v>
      </c>
      <c r="J65" t="e">
        <f>VLOOKUP(Table8[[#This Row],[LEO]],Table1[#All],5)</f>
        <v>#VALUE!</v>
      </c>
      <c r="K65" t="e">
        <f>VLOOKUP(Table8[[#This Row],[LEO]],Table1[#All],3)</f>
        <v>#VALUE!</v>
      </c>
      <c r="L65" s="19" t="e">
        <f>VLOOKUP(Table8[[#This Row],[ME_ID]],Table4[#All],8)</f>
        <v>#VALUE!</v>
      </c>
    </row>
    <row r="66" spans="1:12" x14ac:dyDescent="0.2">
      <c r="A66" t="e">
        <f>Table4[[#This Row],[ID]]</f>
        <v>#VALUE!</v>
      </c>
      <c r="B66" t="e">
        <f>VLOOKUP(Table8[[#This Row],[ME_ID]],Table4[#All],2)</f>
        <v>#VALUE!</v>
      </c>
      <c r="C66" t="e">
        <f>VLOOKUP(Table8[[#This Row],[ME_ID]],Table4[#All],4)</f>
        <v>#VALUE!</v>
      </c>
      <c r="D66" t="e">
        <f>VLOOKUP(Table8[[#This Row],[ME_ID]],Table4[#All],3)</f>
        <v>#VALUE!</v>
      </c>
      <c r="E66" t="e">
        <f>VLOOKUP(Table8[[#This Row],[MLEO_ID]],Table3[#All],4)</f>
        <v>#VALUE!</v>
      </c>
      <c r="F66" t="e">
        <f>VLOOKUP(Table8[[#This Row],[MLEO_ID]],Table3[#All],5)</f>
        <v>#VALUE!</v>
      </c>
      <c r="G66" t="e">
        <f>VLOOKUP(Table8[[#This Row],[MLEO_ID]],Table3[#All],3)</f>
        <v>#VALUE!</v>
      </c>
      <c r="H66" t="e">
        <f>VLOOKUP(Table8[[#This Row],[MLEO_ID]],Table3[#All],2)</f>
        <v>#VALUE!</v>
      </c>
      <c r="I66" t="e">
        <f>VLOOKUP(Table8[[#This Row],[LEO]],Table1[#All],2)</f>
        <v>#VALUE!</v>
      </c>
      <c r="J66" t="e">
        <f>VLOOKUP(Table8[[#This Row],[LEO]],Table1[#All],5)</f>
        <v>#VALUE!</v>
      </c>
      <c r="K66" t="e">
        <f>VLOOKUP(Table8[[#This Row],[LEO]],Table1[#All],3)</f>
        <v>#VALUE!</v>
      </c>
      <c r="L66" s="19" t="e">
        <f>VLOOKUP(Table8[[#This Row],[ME_ID]],Table4[#All],8)</f>
        <v>#VALUE!</v>
      </c>
    </row>
    <row r="67" spans="1:12" x14ac:dyDescent="0.2">
      <c r="A67" t="e">
        <f>Table4[[#This Row],[ID]]</f>
        <v>#VALUE!</v>
      </c>
      <c r="B67" t="e">
        <f>VLOOKUP(Table8[[#This Row],[ME_ID]],Table4[#All],2)</f>
        <v>#VALUE!</v>
      </c>
      <c r="C67" t="e">
        <f>VLOOKUP(Table8[[#This Row],[ME_ID]],Table4[#All],4)</f>
        <v>#VALUE!</v>
      </c>
      <c r="D67" t="e">
        <f>VLOOKUP(Table8[[#This Row],[ME_ID]],Table4[#All],3)</f>
        <v>#VALUE!</v>
      </c>
      <c r="E67" t="e">
        <f>VLOOKUP(Table8[[#This Row],[MLEO_ID]],Table3[#All],4)</f>
        <v>#VALUE!</v>
      </c>
      <c r="F67" t="e">
        <f>VLOOKUP(Table8[[#This Row],[MLEO_ID]],Table3[#All],5)</f>
        <v>#VALUE!</v>
      </c>
      <c r="G67" t="e">
        <f>VLOOKUP(Table8[[#This Row],[MLEO_ID]],Table3[#All],3)</f>
        <v>#VALUE!</v>
      </c>
      <c r="H67" t="e">
        <f>VLOOKUP(Table8[[#This Row],[MLEO_ID]],Table3[#All],2)</f>
        <v>#VALUE!</v>
      </c>
      <c r="I67" t="e">
        <f>VLOOKUP(Table8[[#This Row],[LEO]],Table1[#All],2)</f>
        <v>#VALUE!</v>
      </c>
      <c r="J67" t="e">
        <f>VLOOKUP(Table8[[#This Row],[LEO]],Table1[#All],5)</f>
        <v>#VALUE!</v>
      </c>
      <c r="K67" t="e">
        <f>VLOOKUP(Table8[[#This Row],[LEO]],Table1[#All],3)</f>
        <v>#VALUE!</v>
      </c>
      <c r="L67" s="19" t="e">
        <f>VLOOKUP(Table8[[#This Row],[ME_ID]],Table4[#All],8)</f>
        <v>#VALUE!</v>
      </c>
    </row>
    <row r="68" spans="1:12" x14ac:dyDescent="0.2">
      <c r="A68" t="e">
        <f>Table4[[#This Row],[ID]]</f>
        <v>#VALUE!</v>
      </c>
      <c r="B68" t="e">
        <f>VLOOKUP(Table8[[#This Row],[ME_ID]],Table4[#All],2)</f>
        <v>#VALUE!</v>
      </c>
      <c r="C68" t="e">
        <f>VLOOKUP(Table8[[#This Row],[ME_ID]],Table4[#All],4)</f>
        <v>#VALUE!</v>
      </c>
      <c r="D68" t="e">
        <f>VLOOKUP(Table8[[#This Row],[ME_ID]],Table4[#All],3)</f>
        <v>#VALUE!</v>
      </c>
      <c r="E68" t="e">
        <f>VLOOKUP(Table8[[#This Row],[MLEO_ID]],Table3[#All],4)</f>
        <v>#VALUE!</v>
      </c>
      <c r="F68" t="e">
        <f>VLOOKUP(Table8[[#This Row],[MLEO_ID]],Table3[#All],5)</f>
        <v>#VALUE!</v>
      </c>
      <c r="G68" t="e">
        <f>VLOOKUP(Table8[[#This Row],[MLEO_ID]],Table3[#All],3)</f>
        <v>#VALUE!</v>
      </c>
      <c r="H68" t="e">
        <f>VLOOKUP(Table8[[#This Row],[MLEO_ID]],Table3[#All],2)</f>
        <v>#VALUE!</v>
      </c>
      <c r="I68" t="e">
        <f>VLOOKUP(Table8[[#This Row],[LEO]],Table1[#All],2)</f>
        <v>#VALUE!</v>
      </c>
      <c r="J68" t="e">
        <f>VLOOKUP(Table8[[#This Row],[LEO]],Table1[#All],5)</f>
        <v>#VALUE!</v>
      </c>
      <c r="K68" t="e">
        <f>VLOOKUP(Table8[[#This Row],[LEO]],Table1[#All],3)</f>
        <v>#VALUE!</v>
      </c>
      <c r="L68" s="19" t="e">
        <f>VLOOKUP(Table8[[#This Row],[ME_ID]],Table4[#All],8)</f>
        <v>#VALUE!</v>
      </c>
    </row>
    <row r="69" spans="1:12" x14ac:dyDescent="0.2">
      <c r="A69" t="e">
        <f>Table4[[#This Row],[ID]]</f>
        <v>#VALUE!</v>
      </c>
      <c r="B69" t="e">
        <f>VLOOKUP(Table8[[#This Row],[ME_ID]],Table4[#All],2)</f>
        <v>#VALUE!</v>
      </c>
      <c r="C69" t="e">
        <f>VLOOKUP(Table8[[#This Row],[ME_ID]],Table4[#All],4)</f>
        <v>#VALUE!</v>
      </c>
      <c r="D69" t="e">
        <f>VLOOKUP(Table8[[#This Row],[ME_ID]],Table4[#All],3)</f>
        <v>#VALUE!</v>
      </c>
      <c r="E69" t="e">
        <f>VLOOKUP(Table8[[#This Row],[MLEO_ID]],Table3[#All],4)</f>
        <v>#VALUE!</v>
      </c>
      <c r="F69" t="e">
        <f>VLOOKUP(Table8[[#This Row],[MLEO_ID]],Table3[#All],5)</f>
        <v>#VALUE!</v>
      </c>
      <c r="G69" t="e">
        <f>VLOOKUP(Table8[[#This Row],[MLEO_ID]],Table3[#All],3)</f>
        <v>#VALUE!</v>
      </c>
      <c r="H69" t="e">
        <f>VLOOKUP(Table8[[#This Row],[MLEO_ID]],Table3[#All],2)</f>
        <v>#VALUE!</v>
      </c>
      <c r="I69" t="e">
        <f>VLOOKUP(Table8[[#This Row],[LEO]],Table1[#All],2)</f>
        <v>#VALUE!</v>
      </c>
      <c r="J69" t="e">
        <f>VLOOKUP(Table8[[#This Row],[LEO]],Table1[#All],5)</f>
        <v>#VALUE!</v>
      </c>
      <c r="K69" t="e">
        <f>VLOOKUP(Table8[[#This Row],[LEO]],Table1[#All],3)</f>
        <v>#VALUE!</v>
      </c>
      <c r="L69" s="19" t="e">
        <f>VLOOKUP(Table8[[#This Row],[ME_ID]],Table4[#All],8)</f>
        <v>#VALUE!</v>
      </c>
    </row>
    <row r="70" spans="1:12" x14ac:dyDescent="0.2">
      <c r="A70" t="e">
        <f>Table4[[#This Row],[ID]]</f>
        <v>#VALUE!</v>
      </c>
      <c r="B70" t="e">
        <f>VLOOKUP(Table8[[#This Row],[ME_ID]],Table4[#All],2)</f>
        <v>#VALUE!</v>
      </c>
      <c r="C70" t="e">
        <f>VLOOKUP(Table8[[#This Row],[ME_ID]],Table4[#All],4)</f>
        <v>#VALUE!</v>
      </c>
      <c r="D70" t="e">
        <f>VLOOKUP(Table8[[#This Row],[ME_ID]],Table4[#All],3)</f>
        <v>#VALUE!</v>
      </c>
      <c r="E70" t="e">
        <f>VLOOKUP(Table8[[#This Row],[MLEO_ID]],Table3[#All],4)</f>
        <v>#VALUE!</v>
      </c>
      <c r="F70" t="e">
        <f>VLOOKUP(Table8[[#This Row],[MLEO_ID]],Table3[#All],5)</f>
        <v>#VALUE!</v>
      </c>
      <c r="G70" t="e">
        <f>VLOOKUP(Table8[[#This Row],[MLEO_ID]],Table3[#All],3)</f>
        <v>#VALUE!</v>
      </c>
      <c r="H70" t="e">
        <f>VLOOKUP(Table8[[#This Row],[MLEO_ID]],Table3[#All],2)</f>
        <v>#VALUE!</v>
      </c>
      <c r="I70" t="e">
        <f>VLOOKUP(Table8[[#This Row],[LEO]],Table1[#All],2)</f>
        <v>#VALUE!</v>
      </c>
      <c r="J70" t="e">
        <f>VLOOKUP(Table8[[#This Row],[LEO]],Table1[#All],5)</f>
        <v>#VALUE!</v>
      </c>
      <c r="K70" t="e">
        <f>VLOOKUP(Table8[[#This Row],[LEO]],Table1[#All],3)</f>
        <v>#VALUE!</v>
      </c>
      <c r="L70" s="19" t="e">
        <f>VLOOKUP(Table8[[#This Row],[ME_ID]],Table4[#All],8)</f>
        <v>#VALUE!</v>
      </c>
    </row>
    <row r="71" spans="1:12" x14ac:dyDescent="0.2">
      <c r="A71" t="e">
        <f>Table4[[#This Row],[ID]]</f>
        <v>#VALUE!</v>
      </c>
      <c r="B71" t="e">
        <f>VLOOKUP(Table8[[#This Row],[ME_ID]],Table4[#All],2)</f>
        <v>#VALUE!</v>
      </c>
      <c r="C71" t="e">
        <f>VLOOKUP(Table8[[#This Row],[ME_ID]],Table4[#All],4)</f>
        <v>#VALUE!</v>
      </c>
      <c r="D71" t="e">
        <f>VLOOKUP(Table8[[#This Row],[ME_ID]],Table4[#All],3)</f>
        <v>#VALUE!</v>
      </c>
      <c r="E71" t="e">
        <f>VLOOKUP(Table8[[#This Row],[MLEO_ID]],Table3[#All],4)</f>
        <v>#VALUE!</v>
      </c>
      <c r="F71" t="e">
        <f>VLOOKUP(Table8[[#This Row],[MLEO_ID]],Table3[#All],5)</f>
        <v>#VALUE!</v>
      </c>
      <c r="G71" t="e">
        <f>VLOOKUP(Table8[[#This Row],[MLEO_ID]],Table3[#All],3)</f>
        <v>#VALUE!</v>
      </c>
      <c r="H71" t="e">
        <f>VLOOKUP(Table8[[#This Row],[MLEO_ID]],Table3[#All],2)</f>
        <v>#VALUE!</v>
      </c>
      <c r="I71" t="e">
        <f>VLOOKUP(Table8[[#This Row],[LEO]],Table1[#All],2)</f>
        <v>#VALUE!</v>
      </c>
      <c r="J71" t="e">
        <f>VLOOKUP(Table8[[#This Row],[LEO]],Table1[#All],5)</f>
        <v>#VALUE!</v>
      </c>
      <c r="K71" t="e">
        <f>VLOOKUP(Table8[[#This Row],[LEO]],Table1[#All],3)</f>
        <v>#VALUE!</v>
      </c>
      <c r="L71" s="19" t="e">
        <f>VLOOKUP(Table8[[#This Row],[ME_ID]],Table4[#All],8)</f>
        <v>#VALUE!</v>
      </c>
    </row>
    <row r="72" spans="1:12" x14ac:dyDescent="0.2">
      <c r="A72" t="e">
        <f>Table4[[#This Row],[ID]]</f>
        <v>#VALUE!</v>
      </c>
      <c r="B72" t="e">
        <f>VLOOKUP(Table8[[#This Row],[ME_ID]],Table4[#All],2)</f>
        <v>#VALUE!</v>
      </c>
      <c r="C72" t="e">
        <f>VLOOKUP(Table8[[#This Row],[ME_ID]],Table4[#All],4)</f>
        <v>#VALUE!</v>
      </c>
      <c r="D72" t="e">
        <f>VLOOKUP(Table8[[#This Row],[ME_ID]],Table4[#All],3)</f>
        <v>#VALUE!</v>
      </c>
      <c r="E72" t="e">
        <f>VLOOKUP(Table8[[#This Row],[MLEO_ID]],Table3[#All],4)</f>
        <v>#VALUE!</v>
      </c>
      <c r="F72" t="e">
        <f>VLOOKUP(Table8[[#This Row],[MLEO_ID]],Table3[#All],5)</f>
        <v>#VALUE!</v>
      </c>
      <c r="G72" t="e">
        <f>VLOOKUP(Table8[[#This Row],[MLEO_ID]],Table3[#All],3)</f>
        <v>#VALUE!</v>
      </c>
      <c r="H72" t="e">
        <f>VLOOKUP(Table8[[#This Row],[MLEO_ID]],Table3[#All],2)</f>
        <v>#VALUE!</v>
      </c>
      <c r="I72" t="e">
        <f>VLOOKUP(Table8[[#This Row],[LEO]],Table1[#All],2)</f>
        <v>#VALUE!</v>
      </c>
      <c r="J72" t="e">
        <f>VLOOKUP(Table8[[#This Row],[LEO]],Table1[#All],5)</f>
        <v>#VALUE!</v>
      </c>
      <c r="K72" t="e">
        <f>VLOOKUP(Table8[[#This Row],[LEO]],Table1[#All],3)</f>
        <v>#VALUE!</v>
      </c>
      <c r="L72" s="19" t="e">
        <f>VLOOKUP(Table8[[#This Row],[ME_ID]],Table4[#All],8)</f>
        <v>#VALUE!</v>
      </c>
    </row>
    <row r="73" spans="1:12" x14ac:dyDescent="0.2">
      <c r="A73" t="e">
        <f>Table4[[#This Row],[ID]]</f>
        <v>#VALUE!</v>
      </c>
      <c r="B73" t="e">
        <f>VLOOKUP(Table8[[#This Row],[ME_ID]],Table4[#All],2)</f>
        <v>#VALUE!</v>
      </c>
      <c r="C73" t="e">
        <f>VLOOKUP(Table8[[#This Row],[ME_ID]],Table4[#All],4)</f>
        <v>#VALUE!</v>
      </c>
      <c r="D73" t="e">
        <f>VLOOKUP(Table8[[#This Row],[ME_ID]],Table4[#All],3)</f>
        <v>#VALUE!</v>
      </c>
      <c r="E73" t="e">
        <f>VLOOKUP(Table8[[#This Row],[MLEO_ID]],Table3[#All],4)</f>
        <v>#VALUE!</v>
      </c>
      <c r="F73" t="e">
        <f>VLOOKUP(Table8[[#This Row],[MLEO_ID]],Table3[#All],5)</f>
        <v>#VALUE!</v>
      </c>
      <c r="G73" t="e">
        <f>VLOOKUP(Table8[[#This Row],[MLEO_ID]],Table3[#All],3)</f>
        <v>#VALUE!</v>
      </c>
      <c r="H73" t="e">
        <f>VLOOKUP(Table8[[#This Row],[MLEO_ID]],Table3[#All],2)</f>
        <v>#VALUE!</v>
      </c>
      <c r="I73" t="e">
        <f>VLOOKUP(Table8[[#This Row],[LEO]],Table1[#All],2)</f>
        <v>#VALUE!</v>
      </c>
      <c r="J73" t="e">
        <f>VLOOKUP(Table8[[#This Row],[LEO]],Table1[#All],5)</f>
        <v>#VALUE!</v>
      </c>
      <c r="K73" t="e">
        <f>VLOOKUP(Table8[[#This Row],[LEO]],Table1[#All],3)</f>
        <v>#VALUE!</v>
      </c>
      <c r="L73" s="19" t="e">
        <f>VLOOKUP(Table8[[#This Row],[ME_ID]],Table4[#All],8)</f>
        <v>#VALUE!</v>
      </c>
    </row>
    <row r="74" spans="1:12" x14ac:dyDescent="0.2">
      <c r="A74" t="e">
        <f>Table4[[#This Row],[ID]]</f>
        <v>#VALUE!</v>
      </c>
      <c r="B74" t="e">
        <f>VLOOKUP(Table8[[#This Row],[ME_ID]],Table4[#All],2)</f>
        <v>#VALUE!</v>
      </c>
      <c r="C74" t="e">
        <f>VLOOKUP(Table8[[#This Row],[ME_ID]],Table4[#All],4)</f>
        <v>#VALUE!</v>
      </c>
      <c r="D74" t="e">
        <f>VLOOKUP(Table8[[#This Row],[ME_ID]],Table4[#All],3)</f>
        <v>#VALUE!</v>
      </c>
      <c r="E74" t="e">
        <f>VLOOKUP(Table8[[#This Row],[MLEO_ID]],Table3[#All],4)</f>
        <v>#VALUE!</v>
      </c>
      <c r="F74" t="e">
        <f>VLOOKUP(Table8[[#This Row],[MLEO_ID]],Table3[#All],5)</f>
        <v>#VALUE!</v>
      </c>
      <c r="G74" t="e">
        <f>VLOOKUP(Table8[[#This Row],[MLEO_ID]],Table3[#All],3)</f>
        <v>#VALUE!</v>
      </c>
      <c r="H74" t="e">
        <f>VLOOKUP(Table8[[#This Row],[MLEO_ID]],Table3[#All],2)</f>
        <v>#VALUE!</v>
      </c>
      <c r="I74" t="e">
        <f>VLOOKUP(Table8[[#This Row],[LEO]],Table1[#All],2)</f>
        <v>#VALUE!</v>
      </c>
      <c r="J74" t="e">
        <f>VLOOKUP(Table8[[#This Row],[LEO]],Table1[#All],5)</f>
        <v>#VALUE!</v>
      </c>
      <c r="K74" t="e">
        <f>VLOOKUP(Table8[[#This Row],[LEO]],Table1[#All],3)</f>
        <v>#VALUE!</v>
      </c>
      <c r="L74" s="19" t="e">
        <f>VLOOKUP(Table8[[#This Row],[ME_ID]],Table4[#All],8)</f>
        <v>#VALUE!</v>
      </c>
    </row>
    <row r="75" spans="1:12" x14ac:dyDescent="0.2">
      <c r="A75" t="e">
        <f>Table4[[#This Row],[ID]]</f>
        <v>#VALUE!</v>
      </c>
      <c r="B75" t="e">
        <f>VLOOKUP(Table8[[#This Row],[ME_ID]],Table4[#All],2)</f>
        <v>#VALUE!</v>
      </c>
      <c r="C75" t="e">
        <f>VLOOKUP(Table8[[#This Row],[ME_ID]],Table4[#All],4)</f>
        <v>#VALUE!</v>
      </c>
      <c r="D75" t="e">
        <f>VLOOKUP(Table8[[#This Row],[ME_ID]],Table4[#All],3)</f>
        <v>#VALUE!</v>
      </c>
      <c r="E75" t="e">
        <f>VLOOKUP(Table8[[#This Row],[MLEO_ID]],Table3[#All],4)</f>
        <v>#VALUE!</v>
      </c>
      <c r="F75" t="e">
        <f>VLOOKUP(Table8[[#This Row],[MLEO_ID]],Table3[#All],5)</f>
        <v>#VALUE!</v>
      </c>
      <c r="G75" t="e">
        <f>VLOOKUP(Table8[[#This Row],[MLEO_ID]],Table3[#All],3)</f>
        <v>#VALUE!</v>
      </c>
      <c r="H75" t="e">
        <f>VLOOKUP(Table8[[#This Row],[MLEO_ID]],Table3[#All],2)</f>
        <v>#VALUE!</v>
      </c>
      <c r="I75" t="e">
        <f>VLOOKUP(Table8[[#This Row],[LEO]],Table1[#All],2)</f>
        <v>#VALUE!</v>
      </c>
      <c r="J75" t="e">
        <f>VLOOKUP(Table8[[#This Row],[LEO]],Table1[#All],5)</f>
        <v>#VALUE!</v>
      </c>
      <c r="K75" t="e">
        <f>VLOOKUP(Table8[[#This Row],[LEO]],Table1[#All],3)</f>
        <v>#VALUE!</v>
      </c>
      <c r="L75" s="19" t="e">
        <f>VLOOKUP(Table8[[#This Row],[ME_ID]],Table4[#All],8)</f>
        <v>#VALUE!</v>
      </c>
    </row>
    <row r="76" spans="1:12" x14ac:dyDescent="0.2">
      <c r="A76" t="e">
        <f>Table4[[#This Row],[ID]]</f>
        <v>#VALUE!</v>
      </c>
      <c r="B76" t="e">
        <f>VLOOKUP(Table8[[#This Row],[ME_ID]],Table4[#All],2)</f>
        <v>#VALUE!</v>
      </c>
      <c r="C76" t="e">
        <f>VLOOKUP(Table8[[#This Row],[ME_ID]],Table4[#All],4)</f>
        <v>#VALUE!</v>
      </c>
      <c r="D76" t="e">
        <f>VLOOKUP(Table8[[#This Row],[ME_ID]],Table4[#All],3)</f>
        <v>#VALUE!</v>
      </c>
      <c r="E76" t="e">
        <f>VLOOKUP(Table8[[#This Row],[MLEO_ID]],Table3[#All],4)</f>
        <v>#VALUE!</v>
      </c>
      <c r="F76" t="e">
        <f>VLOOKUP(Table8[[#This Row],[MLEO_ID]],Table3[#All],5)</f>
        <v>#VALUE!</v>
      </c>
      <c r="G76" t="e">
        <f>VLOOKUP(Table8[[#This Row],[MLEO_ID]],Table3[#All],3)</f>
        <v>#VALUE!</v>
      </c>
      <c r="H76" t="e">
        <f>VLOOKUP(Table8[[#This Row],[MLEO_ID]],Table3[#All],2)</f>
        <v>#VALUE!</v>
      </c>
      <c r="I76" t="e">
        <f>VLOOKUP(Table8[[#This Row],[LEO]],Table1[#All],2)</f>
        <v>#VALUE!</v>
      </c>
      <c r="J76" t="e">
        <f>VLOOKUP(Table8[[#This Row],[LEO]],Table1[#All],5)</f>
        <v>#VALUE!</v>
      </c>
      <c r="K76" t="e">
        <f>VLOOKUP(Table8[[#This Row],[LEO]],Table1[#All],3)</f>
        <v>#VALUE!</v>
      </c>
      <c r="L76" s="19" t="e">
        <f>VLOOKUP(Table8[[#This Row],[ME_ID]],Table4[#All],8)</f>
        <v>#VALUE!</v>
      </c>
    </row>
    <row r="77" spans="1:12" x14ac:dyDescent="0.2">
      <c r="A77" t="e">
        <f>Table4[[#This Row],[ID]]</f>
        <v>#VALUE!</v>
      </c>
      <c r="B77" t="e">
        <f>VLOOKUP(Table8[[#This Row],[ME_ID]],Table4[#All],2)</f>
        <v>#VALUE!</v>
      </c>
      <c r="C77" t="e">
        <f>VLOOKUP(Table8[[#This Row],[ME_ID]],Table4[#All],4)</f>
        <v>#VALUE!</v>
      </c>
      <c r="D77" t="e">
        <f>VLOOKUP(Table8[[#This Row],[ME_ID]],Table4[#All],3)</f>
        <v>#VALUE!</v>
      </c>
      <c r="E77" t="e">
        <f>VLOOKUP(Table8[[#This Row],[MLEO_ID]],Table3[#All],4)</f>
        <v>#VALUE!</v>
      </c>
      <c r="F77" t="e">
        <f>VLOOKUP(Table8[[#This Row],[MLEO_ID]],Table3[#All],5)</f>
        <v>#VALUE!</v>
      </c>
      <c r="G77" t="e">
        <f>VLOOKUP(Table8[[#This Row],[MLEO_ID]],Table3[#All],3)</f>
        <v>#VALUE!</v>
      </c>
      <c r="H77" t="e">
        <f>VLOOKUP(Table8[[#This Row],[MLEO_ID]],Table3[#All],2)</f>
        <v>#VALUE!</v>
      </c>
      <c r="I77" t="e">
        <f>VLOOKUP(Table8[[#This Row],[LEO]],Table1[#All],2)</f>
        <v>#VALUE!</v>
      </c>
      <c r="J77" t="e">
        <f>VLOOKUP(Table8[[#This Row],[LEO]],Table1[#All],5)</f>
        <v>#VALUE!</v>
      </c>
      <c r="K77" t="e">
        <f>VLOOKUP(Table8[[#This Row],[LEO]],Table1[#All],3)</f>
        <v>#VALUE!</v>
      </c>
      <c r="L77" s="19" t="e">
        <f>VLOOKUP(Table8[[#This Row],[ME_ID]],Table4[#All],8)</f>
        <v>#VALUE!</v>
      </c>
    </row>
    <row r="78" spans="1:12" x14ac:dyDescent="0.2">
      <c r="A78" t="e">
        <f>Table4[[#This Row],[ID]]</f>
        <v>#VALUE!</v>
      </c>
      <c r="B78" t="e">
        <f>VLOOKUP(Table8[[#This Row],[ME_ID]],Table4[#All],2)</f>
        <v>#VALUE!</v>
      </c>
      <c r="C78" t="e">
        <f>VLOOKUP(Table8[[#This Row],[ME_ID]],Table4[#All],4)</f>
        <v>#VALUE!</v>
      </c>
      <c r="D78" t="e">
        <f>VLOOKUP(Table8[[#This Row],[ME_ID]],Table4[#All],3)</f>
        <v>#VALUE!</v>
      </c>
      <c r="E78" t="e">
        <f>VLOOKUP(Table8[[#This Row],[MLEO_ID]],Table3[#All],4)</f>
        <v>#VALUE!</v>
      </c>
      <c r="F78" t="e">
        <f>VLOOKUP(Table8[[#This Row],[MLEO_ID]],Table3[#All],5)</f>
        <v>#VALUE!</v>
      </c>
      <c r="G78" t="e">
        <f>VLOOKUP(Table8[[#This Row],[MLEO_ID]],Table3[#All],3)</f>
        <v>#VALUE!</v>
      </c>
      <c r="H78" t="e">
        <f>VLOOKUP(Table8[[#This Row],[MLEO_ID]],Table3[#All],2)</f>
        <v>#VALUE!</v>
      </c>
      <c r="I78" t="e">
        <f>VLOOKUP(Table8[[#This Row],[LEO]],Table1[#All],2)</f>
        <v>#VALUE!</v>
      </c>
      <c r="J78" t="e">
        <f>VLOOKUP(Table8[[#This Row],[LEO]],Table1[#All],5)</f>
        <v>#VALUE!</v>
      </c>
      <c r="K78" t="e">
        <f>VLOOKUP(Table8[[#This Row],[LEO]],Table1[#All],3)</f>
        <v>#VALUE!</v>
      </c>
      <c r="L78" s="19" t="e">
        <f>VLOOKUP(Table8[[#This Row],[ME_ID]],Table4[#All],8)</f>
        <v>#VALUE!</v>
      </c>
    </row>
    <row r="79" spans="1:12" x14ac:dyDescent="0.2">
      <c r="A79" t="e">
        <f>Table4[[#This Row],[ID]]</f>
        <v>#VALUE!</v>
      </c>
      <c r="B79" t="e">
        <f>VLOOKUP(Table8[[#This Row],[ME_ID]],Table4[#All],2)</f>
        <v>#VALUE!</v>
      </c>
      <c r="C79" t="e">
        <f>VLOOKUP(Table8[[#This Row],[ME_ID]],Table4[#All],4)</f>
        <v>#VALUE!</v>
      </c>
      <c r="D79" t="e">
        <f>VLOOKUP(Table8[[#This Row],[ME_ID]],Table4[#All],3)</f>
        <v>#VALUE!</v>
      </c>
      <c r="E79" t="e">
        <f>VLOOKUP(Table8[[#This Row],[MLEO_ID]],Table3[#All],4)</f>
        <v>#VALUE!</v>
      </c>
      <c r="F79" t="e">
        <f>VLOOKUP(Table8[[#This Row],[MLEO_ID]],Table3[#All],5)</f>
        <v>#VALUE!</v>
      </c>
      <c r="G79" t="e">
        <f>VLOOKUP(Table8[[#This Row],[MLEO_ID]],Table3[#All],3)</f>
        <v>#VALUE!</v>
      </c>
      <c r="H79" t="e">
        <f>VLOOKUP(Table8[[#This Row],[MLEO_ID]],Table3[#All],2)</f>
        <v>#VALUE!</v>
      </c>
      <c r="I79" t="e">
        <f>VLOOKUP(Table8[[#This Row],[LEO]],Table1[#All],2)</f>
        <v>#VALUE!</v>
      </c>
      <c r="J79" t="e">
        <f>VLOOKUP(Table8[[#This Row],[LEO]],Table1[#All],5)</f>
        <v>#VALUE!</v>
      </c>
      <c r="K79" t="e">
        <f>VLOOKUP(Table8[[#This Row],[LEO]],Table1[#All],3)</f>
        <v>#VALUE!</v>
      </c>
      <c r="L79" s="19" t="e">
        <f>VLOOKUP(Table8[[#This Row],[ME_ID]],Table4[#All],8)</f>
        <v>#VALUE!</v>
      </c>
    </row>
    <row r="80" spans="1:12" x14ac:dyDescent="0.2">
      <c r="A80" t="e">
        <f>Table4[[#This Row],[ID]]</f>
        <v>#VALUE!</v>
      </c>
      <c r="B80" t="e">
        <f>VLOOKUP(Table8[[#This Row],[ME_ID]],Table4[#All],2)</f>
        <v>#VALUE!</v>
      </c>
      <c r="C80" t="e">
        <f>VLOOKUP(Table8[[#This Row],[ME_ID]],Table4[#All],4)</f>
        <v>#VALUE!</v>
      </c>
      <c r="D80" t="e">
        <f>VLOOKUP(Table8[[#This Row],[ME_ID]],Table4[#All],3)</f>
        <v>#VALUE!</v>
      </c>
      <c r="E80" t="e">
        <f>VLOOKUP(Table8[[#This Row],[MLEO_ID]],Table3[#All],4)</f>
        <v>#VALUE!</v>
      </c>
      <c r="F80" t="e">
        <f>VLOOKUP(Table8[[#This Row],[MLEO_ID]],Table3[#All],5)</f>
        <v>#VALUE!</v>
      </c>
      <c r="G80" t="e">
        <f>VLOOKUP(Table8[[#This Row],[MLEO_ID]],Table3[#All],3)</f>
        <v>#VALUE!</v>
      </c>
      <c r="H80" t="e">
        <f>VLOOKUP(Table8[[#This Row],[MLEO_ID]],Table3[#All],2)</f>
        <v>#VALUE!</v>
      </c>
      <c r="I80" t="e">
        <f>VLOOKUP(Table8[[#This Row],[LEO]],Table1[#All],2)</f>
        <v>#VALUE!</v>
      </c>
      <c r="J80" t="e">
        <f>VLOOKUP(Table8[[#This Row],[LEO]],Table1[#All],5)</f>
        <v>#VALUE!</v>
      </c>
      <c r="K80" t="e">
        <f>VLOOKUP(Table8[[#This Row],[LEO]],Table1[#All],3)</f>
        <v>#VALUE!</v>
      </c>
      <c r="L80" s="19" t="e">
        <f>VLOOKUP(Table8[[#This Row],[ME_ID]],Table4[#All],8)</f>
        <v>#VALUE!</v>
      </c>
    </row>
    <row r="81" spans="1:12" x14ac:dyDescent="0.2">
      <c r="A81" t="e">
        <f>Table4[[#This Row],[ID]]</f>
        <v>#VALUE!</v>
      </c>
      <c r="B81" t="e">
        <f>VLOOKUP(Table8[[#This Row],[ME_ID]],Table4[#All],2)</f>
        <v>#VALUE!</v>
      </c>
      <c r="C81" t="e">
        <f>VLOOKUP(Table8[[#This Row],[ME_ID]],Table4[#All],4)</f>
        <v>#VALUE!</v>
      </c>
      <c r="D81" t="e">
        <f>VLOOKUP(Table8[[#This Row],[ME_ID]],Table4[#All],3)</f>
        <v>#VALUE!</v>
      </c>
      <c r="E81" t="e">
        <f>VLOOKUP(Table8[[#This Row],[MLEO_ID]],Table3[#All],4)</f>
        <v>#VALUE!</v>
      </c>
      <c r="F81" t="e">
        <f>VLOOKUP(Table8[[#This Row],[MLEO_ID]],Table3[#All],5)</f>
        <v>#VALUE!</v>
      </c>
      <c r="G81" t="e">
        <f>VLOOKUP(Table8[[#This Row],[MLEO_ID]],Table3[#All],3)</f>
        <v>#VALUE!</v>
      </c>
      <c r="H81" t="e">
        <f>VLOOKUP(Table8[[#This Row],[MLEO_ID]],Table3[#All],2)</f>
        <v>#VALUE!</v>
      </c>
      <c r="I81" t="e">
        <f>VLOOKUP(Table8[[#This Row],[LEO]],Table1[#All],2)</f>
        <v>#VALUE!</v>
      </c>
      <c r="J81" t="e">
        <f>VLOOKUP(Table8[[#This Row],[LEO]],Table1[#All],5)</f>
        <v>#VALUE!</v>
      </c>
      <c r="K81" t="e">
        <f>VLOOKUP(Table8[[#This Row],[LEO]],Table1[#All],3)</f>
        <v>#VALUE!</v>
      </c>
      <c r="L81" s="19" t="e">
        <f>VLOOKUP(Table8[[#This Row],[ME_ID]],Table4[#All],8)</f>
        <v>#VALUE!</v>
      </c>
    </row>
    <row r="82" spans="1:12" x14ac:dyDescent="0.2">
      <c r="A82" t="e">
        <f>Table4[[#This Row],[ID]]</f>
        <v>#VALUE!</v>
      </c>
      <c r="B82" t="e">
        <f>VLOOKUP(Table8[[#This Row],[ME_ID]],Table4[#All],2)</f>
        <v>#VALUE!</v>
      </c>
      <c r="C82" t="e">
        <f>VLOOKUP(Table8[[#This Row],[ME_ID]],Table4[#All],4)</f>
        <v>#VALUE!</v>
      </c>
      <c r="D82" t="e">
        <f>VLOOKUP(Table8[[#This Row],[ME_ID]],Table4[#All],3)</f>
        <v>#VALUE!</v>
      </c>
      <c r="E82" t="e">
        <f>VLOOKUP(Table8[[#This Row],[MLEO_ID]],Table3[#All],4)</f>
        <v>#VALUE!</v>
      </c>
      <c r="F82" t="e">
        <f>VLOOKUP(Table8[[#This Row],[MLEO_ID]],Table3[#All],5)</f>
        <v>#VALUE!</v>
      </c>
      <c r="G82" t="e">
        <f>VLOOKUP(Table8[[#This Row],[MLEO_ID]],Table3[#All],3)</f>
        <v>#VALUE!</v>
      </c>
      <c r="H82" t="e">
        <f>VLOOKUP(Table8[[#This Row],[MLEO_ID]],Table3[#All],2)</f>
        <v>#VALUE!</v>
      </c>
      <c r="I82" t="e">
        <f>VLOOKUP(Table8[[#This Row],[LEO]],Table1[#All],2)</f>
        <v>#VALUE!</v>
      </c>
      <c r="J82" t="e">
        <f>VLOOKUP(Table8[[#This Row],[LEO]],Table1[#All],5)</f>
        <v>#VALUE!</v>
      </c>
      <c r="K82" t="e">
        <f>VLOOKUP(Table8[[#This Row],[LEO]],Table1[#All],3)</f>
        <v>#VALUE!</v>
      </c>
      <c r="L82" s="19" t="e">
        <f>VLOOKUP(Table8[[#This Row],[ME_ID]],Table4[#All],8)</f>
        <v>#VALUE!</v>
      </c>
    </row>
    <row r="83" spans="1:12" x14ac:dyDescent="0.2">
      <c r="A83" t="e">
        <f>Table4[[#This Row],[ID]]</f>
        <v>#VALUE!</v>
      </c>
      <c r="B83" t="e">
        <f>VLOOKUP(Table8[[#This Row],[ME_ID]],Table4[#All],2)</f>
        <v>#VALUE!</v>
      </c>
      <c r="C83" t="e">
        <f>VLOOKUP(Table8[[#This Row],[ME_ID]],Table4[#All],4)</f>
        <v>#VALUE!</v>
      </c>
      <c r="D83" t="e">
        <f>VLOOKUP(Table8[[#This Row],[ME_ID]],Table4[#All],3)</f>
        <v>#VALUE!</v>
      </c>
      <c r="E83" t="e">
        <f>VLOOKUP(Table8[[#This Row],[MLEO_ID]],Table3[#All],4)</f>
        <v>#VALUE!</v>
      </c>
      <c r="F83" t="e">
        <f>VLOOKUP(Table8[[#This Row],[MLEO_ID]],Table3[#All],5)</f>
        <v>#VALUE!</v>
      </c>
      <c r="G83" t="e">
        <f>VLOOKUP(Table8[[#This Row],[MLEO_ID]],Table3[#All],3)</f>
        <v>#VALUE!</v>
      </c>
      <c r="H83" t="e">
        <f>VLOOKUP(Table8[[#This Row],[MLEO_ID]],Table3[#All],2)</f>
        <v>#VALUE!</v>
      </c>
      <c r="I83" t="e">
        <f>VLOOKUP(Table8[[#This Row],[LEO]],Table1[#All],2)</f>
        <v>#VALUE!</v>
      </c>
      <c r="J83" t="e">
        <f>VLOOKUP(Table8[[#This Row],[LEO]],Table1[#All],5)</f>
        <v>#VALUE!</v>
      </c>
      <c r="K83" t="e">
        <f>VLOOKUP(Table8[[#This Row],[LEO]],Table1[#All],3)</f>
        <v>#VALUE!</v>
      </c>
      <c r="L83" s="19" t="e">
        <f>VLOOKUP(Table8[[#This Row],[ME_ID]],Table4[#All],8)</f>
        <v>#VALUE!</v>
      </c>
    </row>
    <row r="84" spans="1:12" x14ac:dyDescent="0.2">
      <c r="A84" t="e">
        <f>Table4[[#This Row],[ID]]</f>
        <v>#VALUE!</v>
      </c>
      <c r="B84" t="e">
        <f>VLOOKUP(Table8[[#This Row],[ME_ID]],Table4[#All],2)</f>
        <v>#VALUE!</v>
      </c>
      <c r="C84" t="e">
        <f>VLOOKUP(Table8[[#This Row],[ME_ID]],Table4[#All],4)</f>
        <v>#VALUE!</v>
      </c>
      <c r="D84" t="e">
        <f>VLOOKUP(Table8[[#This Row],[ME_ID]],Table4[#All],3)</f>
        <v>#VALUE!</v>
      </c>
      <c r="E84" t="e">
        <f>VLOOKUP(Table8[[#This Row],[MLEO_ID]],Table3[#All],4)</f>
        <v>#VALUE!</v>
      </c>
      <c r="F84" t="e">
        <f>VLOOKUP(Table8[[#This Row],[MLEO_ID]],Table3[#All],5)</f>
        <v>#VALUE!</v>
      </c>
      <c r="G84" t="e">
        <f>VLOOKUP(Table8[[#This Row],[MLEO_ID]],Table3[#All],3)</f>
        <v>#VALUE!</v>
      </c>
      <c r="H84" t="e">
        <f>VLOOKUP(Table8[[#This Row],[MLEO_ID]],Table3[#All],2)</f>
        <v>#VALUE!</v>
      </c>
      <c r="I84" t="e">
        <f>VLOOKUP(Table8[[#This Row],[LEO]],Table1[#All],2)</f>
        <v>#VALUE!</v>
      </c>
      <c r="J84" t="e">
        <f>VLOOKUP(Table8[[#This Row],[LEO]],Table1[#All],5)</f>
        <v>#VALUE!</v>
      </c>
      <c r="K84" t="e">
        <f>VLOOKUP(Table8[[#This Row],[LEO]],Table1[#All],3)</f>
        <v>#VALUE!</v>
      </c>
      <c r="L84" s="19" t="e">
        <f>VLOOKUP(Table8[[#This Row],[ME_ID]],Table4[#All],8)</f>
        <v>#VALUE!</v>
      </c>
    </row>
    <row r="85" spans="1:12" x14ac:dyDescent="0.2">
      <c r="A85" t="e">
        <f>Table4[[#This Row],[ID]]</f>
        <v>#VALUE!</v>
      </c>
      <c r="B85" t="e">
        <f>VLOOKUP(Table8[[#This Row],[ME_ID]],Table4[#All],2)</f>
        <v>#VALUE!</v>
      </c>
      <c r="C85" t="e">
        <f>VLOOKUP(Table8[[#This Row],[ME_ID]],Table4[#All],4)</f>
        <v>#VALUE!</v>
      </c>
      <c r="D85" t="e">
        <f>VLOOKUP(Table8[[#This Row],[ME_ID]],Table4[#All],3)</f>
        <v>#VALUE!</v>
      </c>
      <c r="E85" t="e">
        <f>VLOOKUP(Table8[[#This Row],[MLEO_ID]],Table3[#All],4)</f>
        <v>#VALUE!</v>
      </c>
      <c r="F85" t="e">
        <f>VLOOKUP(Table8[[#This Row],[MLEO_ID]],Table3[#All],5)</f>
        <v>#VALUE!</v>
      </c>
      <c r="G85" t="e">
        <f>VLOOKUP(Table8[[#This Row],[MLEO_ID]],Table3[#All],3)</f>
        <v>#VALUE!</v>
      </c>
      <c r="H85" t="e">
        <f>VLOOKUP(Table8[[#This Row],[MLEO_ID]],Table3[#All],2)</f>
        <v>#VALUE!</v>
      </c>
      <c r="I85" t="e">
        <f>VLOOKUP(Table8[[#This Row],[LEO]],Table1[#All],2)</f>
        <v>#VALUE!</v>
      </c>
      <c r="J85" t="e">
        <f>VLOOKUP(Table8[[#This Row],[LEO]],Table1[#All],5)</f>
        <v>#VALUE!</v>
      </c>
      <c r="K85" t="e">
        <f>VLOOKUP(Table8[[#This Row],[LEO]],Table1[#All],3)</f>
        <v>#VALUE!</v>
      </c>
      <c r="L85" s="19" t="e">
        <f>VLOOKUP(Table8[[#This Row],[ME_ID]],Table4[#All],8)</f>
        <v>#VALUE!</v>
      </c>
    </row>
    <row r="86" spans="1:12" x14ac:dyDescent="0.2">
      <c r="A86" t="e">
        <f>Table4[[#This Row],[ID]]</f>
        <v>#VALUE!</v>
      </c>
      <c r="B86" t="e">
        <f>VLOOKUP(Table8[[#This Row],[ME_ID]],Table4[#All],2)</f>
        <v>#VALUE!</v>
      </c>
      <c r="C86" t="e">
        <f>VLOOKUP(Table8[[#This Row],[ME_ID]],Table4[#All],4)</f>
        <v>#VALUE!</v>
      </c>
      <c r="D86" t="e">
        <f>VLOOKUP(Table8[[#This Row],[ME_ID]],Table4[#All],3)</f>
        <v>#VALUE!</v>
      </c>
      <c r="E86" t="e">
        <f>VLOOKUP(Table8[[#This Row],[MLEO_ID]],Table3[#All],4)</f>
        <v>#VALUE!</v>
      </c>
      <c r="F86" t="e">
        <f>VLOOKUP(Table8[[#This Row],[MLEO_ID]],Table3[#All],5)</f>
        <v>#VALUE!</v>
      </c>
      <c r="G86" t="e">
        <f>VLOOKUP(Table8[[#This Row],[MLEO_ID]],Table3[#All],3)</f>
        <v>#VALUE!</v>
      </c>
      <c r="H86" t="e">
        <f>VLOOKUP(Table8[[#This Row],[MLEO_ID]],Table3[#All],2)</f>
        <v>#VALUE!</v>
      </c>
      <c r="I86" t="e">
        <f>VLOOKUP(Table8[[#This Row],[LEO]],Table1[#All],2)</f>
        <v>#VALUE!</v>
      </c>
      <c r="J86" t="e">
        <f>VLOOKUP(Table8[[#This Row],[LEO]],Table1[#All],5)</f>
        <v>#VALUE!</v>
      </c>
      <c r="K86" t="e">
        <f>VLOOKUP(Table8[[#This Row],[LEO]],Table1[#All],3)</f>
        <v>#VALUE!</v>
      </c>
      <c r="L86" s="19" t="e">
        <f>VLOOKUP(Table8[[#This Row],[ME_ID]],Table4[#All],8)</f>
        <v>#VALUE!</v>
      </c>
    </row>
    <row r="87" spans="1:12" x14ac:dyDescent="0.2">
      <c r="A87" t="e">
        <f>Table4[[#This Row],[ID]]</f>
        <v>#VALUE!</v>
      </c>
      <c r="B87" t="e">
        <f>VLOOKUP(Table8[[#This Row],[ME_ID]],Table4[#All],2)</f>
        <v>#VALUE!</v>
      </c>
      <c r="C87" t="e">
        <f>VLOOKUP(Table8[[#This Row],[ME_ID]],Table4[#All],4)</f>
        <v>#VALUE!</v>
      </c>
      <c r="D87" t="e">
        <f>VLOOKUP(Table8[[#This Row],[ME_ID]],Table4[#All],3)</f>
        <v>#VALUE!</v>
      </c>
      <c r="E87" t="e">
        <f>VLOOKUP(Table8[[#This Row],[MLEO_ID]],Table3[#All],4)</f>
        <v>#VALUE!</v>
      </c>
      <c r="F87" t="e">
        <f>VLOOKUP(Table8[[#This Row],[MLEO_ID]],Table3[#All],5)</f>
        <v>#VALUE!</v>
      </c>
      <c r="G87" t="e">
        <f>VLOOKUP(Table8[[#This Row],[MLEO_ID]],Table3[#All],3)</f>
        <v>#VALUE!</v>
      </c>
      <c r="H87" t="e">
        <f>VLOOKUP(Table8[[#This Row],[MLEO_ID]],Table3[#All],2)</f>
        <v>#VALUE!</v>
      </c>
      <c r="I87" t="e">
        <f>VLOOKUP(Table8[[#This Row],[LEO]],Table1[#All],2)</f>
        <v>#VALUE!</v>
      </c>
      <c r="J87" t="e">
        <f>VLOOKUP(Table8[[#This Row],[LEO]],Table1[#All],5)</f>
        <v>#VALUE!</v>
      </c>
      <c r="K87" t="e">
        <f>VLOOKUP(Table8[[#This Row],[LEO]],Table1[#All],3)</f>
        <v>#VALUE!</v>
      </c>
      <c r="L87" s="19" t="e">
        <f>VLOOKUP(Table8[[#This Row],[ME_ID]],Table4[#All],8)</f>
        <v>#VALUE!</v>
      </c>
    </row>
    <row r="88" spans="1:12" x14ac:dyDescent="0.2">
      <c r="A88" t="e">
        <f>Table4[[#This Row],[ID]]</f>
        <v>#VALUE!</v>
      </c>
      <c r="B88" t="e">
        <f>VLOOKUP(Table8[[#This Row],[ME_ID]],Table4[#All],2)</f>
        <v>#VALUE!</v>
      </c>
      <c r="C88" t="e">
        <f>VLOOKUP(Table8[[#This Row],[ME_ID]],Table4[#All],4)</f>
        <v>#VALUE!</v>
      </c>
      <c r="D88" t="e">
        <f>VLOOKUP(Table8[[#This Row],[ME_ID]],Table4[#All],3)</f>
        <v>#VALUE!</v>
      </c>
      <c r="E88" t="e">
        <f>VLOOKUP(Table8[[#This Row],[MLEO_ID]],Table3[#All],4)</f>
        <v>#VALUE!</v>
      </c>
      <c r="F88" t="e">
        <f>VLOOKUP(Table8[[#This Row],[MLEO_ID]],Table3[#All],5)</f>
        <v>#VALUE!</v>
      </c>
      <c r="G88" t="e">
        <f>VLOOKUP(Table8[[#This Row],[MLEO_ID]],Table3[#All],3)</f>
        <v>#VALUE!</v>
      </c>
      <c r="H88" t="e">
        <f>VLOOKUP(Table8[[#This Row],[MLEO_ID]],Table3[#All],2)</f>
        <v>#VALUE!</v>
      </c>
      <c r="I88" t="e">
        <f>VLOOKUP(Table8[[#This Row],[LEO]],Table1[#All],2)</f>
        <v>#VALUE!</v>
      </c>
      <c r="J88" t="e">
        <f>VLOOKUP(Table8[[#This Row],[LEO]],Table1[#All],5)</f>
        <v>#VALUE!</v>
      </c>
      <c r="K88" t="e">
        <f>VLOOKUP(Table8[[#This Row],[LEO]],Table1[#All],3)</f>
        <v>#VALUE!</v>
      </c>
      <c r="L88" s="19" t="e">
        <f>VLOOKUP(Table8[[#This Row],[ME_ID]],Table4[#All],8)</f>
        <v>#VALUE!</v>
      </c>
    </row>
    <row r="89" spans="1:12" x14ac:dyDescent="0.2">
      <c r="A89" t="e">
        <f>Table4[[#This Row],[ID]]</f>
        <v>#VALUE!</v>
      </c>
      <c r="B89" t="e">
        <f>VLOOKUP(Table8[[#This Row],[ME_ID]],Table4[#All],2)</f>
        <v>#VALUE!</v>
      </c>
      <c r="C89" t="e">
        <f>VLOOKUP(Table8[[#This Row],[ME_ID]],Table4[#All],4)</f>
        <v>#VALUE!</v>
      </c>
      <c r="D89" t="e">
        <f>VLOOKUP(Table8[[#This Row],[ME_ID]],Table4[#All],3)</f>
        <v>#VALUE!</v>
      </c>
      <c r="E89" t="e">
        <f>VLOOKUP(Table8[[#This Row],[MLEO_ID]],Table3[#All],4)</f>
        <v>#VALUE!</v>
      </c>
      <c r="F89" t="e">
        <f>VLOOKUP(Table8[[#This Row],[MLEO_ID]],Table3[#All],5)</f>
        <v>#VALUE!</v>
      </c>
      <c r="G89" t="e">
        <f>VLOOKUP(Table8[[#This Row],[MLEO_ID]],Table3[#All],3)</f>
        <v>#VALUE!</v>
      </c>
      <c r="H89" t="e">
        <f>VLOOKUP(Table8[[#This Row],[MLEO_ID]],Table3[#All],2)</f>
        <v>#VALUE!</v>
      </c>
      <c r="I89" t="e">
        <f>VLOOKUP(Table8[[#This Row],[LEO]],Table1[#All],2)</f>
        <v>#VALUE!</v>
      </c>
      <c r="J89" t="e">
        <f>VLOOKUP(Table8[[#This Row],[LEO]],Table1[#All],5)</f>
        <v>#VALUE!</v>
      </c>
      <c r="K89" t="e">
        <f>VLOOKUP(Table8[[#This Row],[LEO]],Table1[#All],3)</f>
        <v>#VALUE!</v>
      </c>
      <c r="L89" s="19" t="e">
        <f>VLOOKUP(Table8[[#This Row],[ME_ID]],Table4[#All],8)</f>
        <v>#VALUE!</v>
      </c>
    </row>
    <row r="90" spans="1:12" x14ac:dyDescent="0.2">
      <c r="A90" t="e">
        <f>Table4[[#This Row],[ID]]</f>
        <v>#VALUE!</v>
      </c>
      <c r="B90" t="e">
        <f>VLOOKUP(Table8[[#This Row],[ME_ID]],Table4[#All],2)</f>
        <v>#VALUE!</v>
      </c>
      <c r="C90" t="e">
        <f>VLOOKUP(Table8[[#This Row],[ME_ID]],Table4[#All],4)</f>
        <v>#VALUE!</v>
      </c>
      <c r="D90" t="e">
        <f>VLOOKUP(Table8[[#This Row],[ME_ID]],Table4[#All],3)</f>
        <v>#VALUE!</v>
      </c>
      <c r="E90" t="e">
        <f>VLOOKUP(Table8[[#This Row],[MLEO_ID]],Table3[#All],4)</f>
        <v>#VALUE!</v>
      </c>
      <c r="F90" t="e">
        <f>VLOOKUP(Table8[[#This Row],[MLEO_ID]],Table3[#All],5)</f>
        <v>#VALUE!</v>
      </c>
      <c r="G90" t="e">
        <f>VLOOKUP(Table8[[#This Row],[MLEO_ID]],Table3[#All],3)</f>
        <v>#VALUE!</v>
      </c>
      <c r="H90" t="e">
        <f>VLOOKUP(Table8[[#This Row],[MLEO_ID]],Table3[#All],2)</f>
        <v>#VALUE!</v>
      </c>
      <c r="I90" t="e">
        <f>VLOOKUP(Table8[[#This Row],[LEO]],Table1[#All],2)</f>
        <v>#VALUE!</v>
      </c>
      <c r="J90" t="e">
        <f>VLOOKUP(Table8[[#This Row],[LEO]],Table1[#All],5)</f>
        <v>#VALUE!</v>
      </c>
      <c r="K90" t="e">
        <f>VLOOKUP(Table8[[#This Row],[LEO]],Table1[#All],3)</f>
        <v>#VALUE!</v>
      </c>
      <c r="L90" s="19" t="e">
        <f>VLOOKUP(Table8[[#This Row],[ME_ID]],Table4[#All],8)</f>
        <v>#VALUE!</v>
      </c>
    </row>
    <row r="91" spans="1:12" x14ac:dyDescent="0.2">
      <c r="A91" t="e">
        <f>Table4[[#This Row],[ID]]</f>
        <v>#VALUE!</v>
      </c>
      <c r="B91" t="e">
        <f>VLOOKUP(Table8[[#This Row],[ME_ID]],Table4[#All],2)</f>
        <v>#VALUE!</v>
      </c>
      <c r="C91" t="e">
        <f>VLOOKUP(Table8[[#This Row],[ME_ID]],Table4[#All],4)</f>
        <v>#VALUE!</v>
      </c>
      <c r="D91" t="e">
        <f>VLOOKUP(Table8[[#This Row],[ME_ID]],Table4[#All],3)</f>
        <v>#VALUE!</v>
      </c>
      <c r="E91" t="e">
        <f>VLOOKUP(Table8[[#This Row],[MLEO_ID]],Table3[#All],4)</f>
        <v>#VALUE!</v>
      </c>
      <c r="F91" t="e">
        <f>VLOOKUP(Table8[[#This Row],[MLEO_ID]],Table3[#All],5)</f>
        <v>#VALUE!</v>
      </c>
      <c r="G91" t="e">
        <f>VLOOKUP(Table8[[#This Row],[MLEO_ID]],Table3[#All],3)</f>
        <v>#VALUE!</v>
      </c>
      <c r="H91" t="e">
        <f>VLOOKUP(Table8[[#This Row],[MLEO_ID]],Table3[#All],2)</f>
        <v>#VALUE!</v>
      </c>
      <c r="I91" t="e">
        <f>VLOOKUP(Table8[[#This Row],[LEO]],Table1[#All],2)</f>
        <v>#VALUE!</v>
      </c>
      <c r="J91" t="e">
        <f>VLOOKUP(Table8[[#This Row],[LEO]],Table1[#All],5)</f>
        <v>#VALUE!</v>
      </c>
      <c r="K91" t="e">
        <f>VLOOKUP(Table8[[#This Row],[LEO]],Table1[#All],3)</f>
        <v>#VALUE!</v>
      </c>
      <c r="L91" s="19" t="e">
        <f>VLOOKUP(Table8[[#This Row],[ME_ID]],Table4[#All],8)</f>
        <v>#VALUE!</v>
      </c>
    </row>
    <row r="92" spans="1:12" x14ac:dyDescent="0.2">
      <c r="A92" t="e">
        <f>Table4[[#This Row],[ID]]</f>
        <v>#VALUE!</v>
      </c>
      <c r="B92" t="e">
        <f>VLOOKUP(Table8[[#This Row],[ME_ID]],Table4[#All],2)</f>
        <v>#VALUE!</v>
      </c>
      <c r="C92" t="e">
        <f>VLOOKUP(Table8[[#This Row],[ME_ID]],Table4[#All],4)</f>
        <v>#VALUE!</v>
      </c>
      <c r="D92" t="e">
        <f>VLOOKUP(Table8[[#This Row],[ME_ID]],Table4[#All],3)</f>
        <v>#VALUE!</v>
      </c>
      <c r="E92" t="e">
        <f>VLOOKUP(Table8[[#This Row],[MLEO_ID]],Table3[#All],4)</f>
        <v>#VALUE!</v>
      </c>
      <c r="F92" t="e">
        <f>VLOOKUP(Table8[[#This Row],[MLEO_ID]],Table3[#All],5)</f>
        <v>#VALUE!</v>
      </c>
      <c r="G92" t="e">
        <f>VLOOKUP(Table8[[#This Row],[MLEO_ID]],Table3[#All],3)</f>
        <v>#VALUE!</v>
      </c>
      <c r="H92" t="e">
        <f>VLOOKUP(Table8[[#This Row],[MLEO_ID]],Table3[#All],2)</f>
        <v>#VALUE!</v>
      </c>
      <c r="I92" t="e">
        <f>VLOOKUP(Table8[[#This Row],[LEO]],Table1[#All],2)</f>
        <v>#VALUE!</v>
      </c>
      <c r="J92" t="e">
        <f>VLOOKUP(Table8[[#This Row],[LEO]],Table1[#All],5)</f>
        <v>#VALUE!</v>
      </c>
      <c r="K92" t="e">
        <f>VLOOKUP(Table8[[#This Row],[LEO]],Table1[#All],3)</f>
        <v>#VALUE!</v>
      </c>
      <c r="L92" s="19" t="e">
        <f>VLOOKUP(Table8[[#This Row],[ME_ID]],Table4[#All],8)</f>
        <v>#VALUE!</v>
      </c>
    </row>
    <row r="93" spans="1:12" x14ac:dyDescent="0.2">
      <c r="A93" t="e">
        <f>Table4[[#This Row],[ID]]</f>
        <v>#VALUE!</v>
      </c>
      <c r="B93" t="e">
        <f>VLOOKUP(Table8[[#This Row],[ME_ID]],Table4[#All],2)</f>
        <v>#VALUE!</v>
      </c>
      <c r="C93" t="e">
        <f>VLOOKUP(Table8[[#This Row],[ME_ID]],Table4[#All],4)</f>
        <v>#VALUE!</v>
      </c>
      <c r="D93" t="e">
        <f>VLOOKUP(Table8[[#This Row],[ME_ID]],Table4[#All],3)</f>
        <v>#VALUE!</v>
      </c>
      <c r="E93" t="e">
        <f>VLOOKUP(Table8[[#This Row],[MLEO_ID]],Table3[#All],4)</f>
        <v>#VALUE!</v>
      </c>
      <c r="F93" t="e">
        <f>VLOOKUP(Table8[[#This Row],[MLEO_ID]],Table3[#All],5)</f>
        <v>#VALUE!</v>
      </c>
      <c r="G93" t="e">
        <f>VLOOKUP(Table8[[#This Row],[MLEO_ID]],Table3[#All],3)</f>
        <v>#VALUE!</v>
      </c>
      <c r="H93" t="e">
        <f>VLOOKUP(Table8[[#This Row],[MLEO_ID]],Table3[#All],2)</f>
        <v>#VALUE!</v>
      </c>
      <c r="I93" t="e">
        <f>VLOOKUP(Table8[[#This Row],[LEO]],Table1[#All],2)</f>
        <v>#VALUE!</v>
      </c>
      <c r="J93" t="e">
        <f>VLOOKUP(Table8[[#This Row],[LEO]],Table1[#All],5)</f>
        <v>#VALUE!</v>
      </c>
      <c r="K93" t="e">
        <f>VLOOKUP(Table8[[#This Row],[LEO]],Table1[#All],3)</f>
        <v>#VALUE!</v>
      </c>
      <c r="L93" s="19" t="e">
        <f>VLOOKUP(Table8[[#This Row],[ME_ID]],Table4[#All],8)</f>
        <v>#VALUE!</v>
      </c>
    </row>
    <row r="94" spans="1:12" x14ac:dyDescent="0.2">
      <c r="A94" t="e">
        <f>Table4[[#This Row],[ID]]</f>
        <v>#VALUE!</v>
      </c>
      <c r="B94" t="e">
        <f>VLOOKUP(Table8[[#This Row],[ME_ID]],Table4[#All],2)</f>
        <v>#VALUE!</v>
      </c>
      <c r="C94" t="e">
        <f>VLOOKUP(Table8[[#This Row],[ME_ID]],Table4[#All],4)</f>
        <v>#VALUE!</v>
      </c>
      <c r="D94" t="e">
        <f>VLOOKUP(Table8[[#This Row],[ME_ID]],Table4[#All],3)</f>
        <v>#VALUE!</v>
      </c>
      <c r="E94" t="e">
        <f>VLOOKUP(Table8[[#This Row],[MLEO_ID]],Table3[#All],4)</f>
        <v>#VALUE!</v>
      </c>
      <c r="F94" t="e">
        <f>VLOOKUP(Table8[[#This Row],[MLEO_ID]],Table3[#All],5)</f>
        <v>#VALUE!</v>
      </c>
      <c r="G94" t="e">
        <f>VLOOKUP(Table8[[#This Row],[MLEO_ID]],Table3[#All],3)</f>
        <v>#VALUE!</v>
      </c>
      <c r="H94" t="e">
        <f>VLOOKUP(Table8[[#This Row],[MLEO_ID]],Table3[#All],2)</f>
        <v>#VALUE!</v>
      </c>
      <c r="I94" t="e">
        <f>VLOOKUP(Table8[[#This Row],[LEO]],Table1[#All],2)</f>
        <v>#VALUE!</v>
      </c>
      <c r="J94" t="e">
        <f>VLOOKUP(Table8[[#This Row],[LEO]],Table1[#All],5)</f>
        <v>#VALUE!</v>
      </c>
      <c r="K94" t="e">
        <f>VLOOKUP(Table8[[#This Row],[LEO]],Table1[#All],3)</f>
        <v>#VALUE!</v>
      </c>
      <c r="L94" s="19" t="e">
        <f>VLOOKUP(Table8[[#This Row],[ME_ID]],Table4[#All],8)</f>
        <v>#VALUE!</v>
      </c>
    </row>
    <row r="95" spans="1:12" x14ac:dyDescent="0.2">
      <c r="A95" t="e">
        <f>Table4[[#This Row],[ID]]</f>
        <v>#VALUE!</v>
      </c>
      <c r="B95" t="e">
        <f>VLOOKUP(Table8[[#This Row],[ME_ID]],Table4[#All],2)</f>
        <v>#VALUE!</v>
      </c>
      <c r="C95" t="e">
        <f>VLOOKUP(Table8[[#This Row],[ME_ID]],Table4[#All],4)</f>
        <v>#VALUE!</v>
      </c>
      <c r="D95" t="e">
        <f>VLOOKUP(Table8[[#This Row],[ME_ID]],Table4[#All],3)</f>
        <v>#VALUE!</v>
      </c>
      <c r="E95" t="e">
        <f>VLOOKUP(Table8[[#This Row],[MLEO_ID]],Table3[#All],4)</f>
        <v>#VALUE!</v>
      </c>
      <c r="F95" t="e">
        <f>VLOOKUP(Table8[[#This Row],[MLEO_ID]],Table3[#All],5)</f>
        <v>#VALUE!</v>
      </c>
      <c r="G95" t="e">
        <f>VLOOKUP(Table8[[#This Row],[MLEO_ID]],Table3[#All],3)</f>
        <v>#VALUE!</v>
      </c>
      <c r="H95" t="e">
        <f>VLOOKUP(Table8[[#This Row],[MLEO_ID]],Table3[#All],2)</f>
        <v>#VALUE!</v>
      </c>
      <c r="I95" t="e">
        <f>VLOOKUP(Table8[[#This Row],[LEO]],Table1[#All],2)</f>
        <v>#VALUE!</v>
      </c>
      <c r="J95" t="e">
        <f>VLOOKUP(Table8[[#This Row],[LEO]],Table1[#All],5)</f>
        <v>#VALUE!</v>
      </c>
      <c r="K95" t="e">
        <f>VLOOKUP(Table8[[#This Row],[LEO]],Table1[#All],3)</f>
        <v>#VALUE!</v>
      </c>
      <c r="L95" s="19" t="e">
        <f>VLOOKUP(Table8[[#This Row],[ME_ID]],Table4[#All],8)</f>
        <v>#VALUE!</v>
      </c>
    </row>
    <row r="96" spans="1:12" x14ac:dyDescent="0.2">
      <c r="A96" t="e">
        <f>Table4[[#This Row],[ID]]</f>
        <v>#VALUE!</v>
      </c>
      <c r="B96" t="e">
        <f>VLOOKUP(Table8[[#This Row],[ME_ID]],Table4[#All],2)</f>
        <v>#VALUE!</v>
      </c>
      <c r="C96" t="e">
        <f>VLOOKUP(Table8[[#This Row],[ME_ID]],Table4[#All],4)</f>
        <v>#VALUE!</v>
      </c>
      <c r="D96" t="e">
        <f>VLOOKUP(Table8[[#This Row],[ME_ID]],Table4[#All],3)</f>
        <v>#VALUE!</v>
      </c>
      <c r="E96" t="e">
        <f>VLOOKUP(Table8[[#This Row],[MLEO_ID]],Table3[#All],4)</f>
        <v>#VALUE!</v>
      </c>
      <c r="F96" t="e">
        <f>VLOOKUP(Table8[[#This Row],[MLEO_ID]],Table3[#All],5)</f>
        <v>#VALUE!</v>
      </c>
      <c r="G96" t="e">
        <f>VLOOKUP(Table8[[#This Row],[MLEO_ID]],Table3[#All],3)</f>
        <v>#VALUE!</v>
      </c>
      <c r="H96" t="e">
        <f>VLOOKUP(Table8[[#This Row],[MLEO_ID]],Table3[#All],2)</f>
        <v>#VALUE!</v>
      </c>
      <c r="I96" t="e">
        <f>VLOOKUP(Table8[[#This Row],[LEO]],Table1[#All],2)</f>
        <v>#VALUE!</v>
      </c>
      <c r="J96" t="e">
        <f>VLOOKUP(Table8[[#This Row],[LEO]],Table1[#All],5)</f>
        <v>#VALUE!</v>
      </c>
      <c r="K96" t="e">
        <f>VLOOKUP(Table8[[#This Row],[LEO]],Table1[#All],3)</f>
        <v>#VALUE!</v>
      </c>
      <c r="L96" s="19" t="e">
        <f>VLOOKUP(Table8[[#This Row],[ME_ID]],Table4[#All],8)</f>
        <v>#VALUE!</v>
      </c>
    </row>
    <row r="97" spans="1:12" x14ac:dyDescent="0.2">
      <c r="A97" t="e">
        <f>Table4[[#This Row],[ID]]</f>
        <v>#VALUE!</v>
      </c>
      <c r="B97" t="e">
        <f>VLOOKUP(Table8[[#This Row],[ME_ID]],Table4[#All],2)</f>
        <v>#VALUE!</v>
      </c>
      <c r="C97" t="e">
        <f>VLOOKUP(Table8[[#This Row],[ME_ID]],Table4[#All],4)</f>
        <v>#VALUE!</v>
      </c>
      <c r="D97" t="e">
        <f>VLOOKUP(Table8[[#This Row],[ME_ID]],Table4[#All],3)</f>
        <v>#VALUE!</v>
      </c>
      <c r="E97" t="e">
        <f>VLOOKUP(Table8[[#This Row],[MLEO_ID]],Table3[#All],4)</f>
        <v>#VALUE!</v>
      </c>
      <c r="F97" t="e">
        <f>VLOOKUP(Table8[[#This Row],[MLEO_ID]],Table3[#All],5)</f>
        <v>#VALUE!</v>
      </c>
      <c r="G97" t="e">
        <f>VLOOKUP(Table8[[#This Row],[MLEO_ID]],Table3[#All],3)</f>
        <v>#VALUE!</v>
      </c>
      <c r="H97" t="e">
        <f>VLOOKUP(Table8[[#This Row],[MLEO_ID]],Table3[#All],2)</f>
        <v>#VALUE!</v>
      </c>
      <c r="I97" t="e">
        <f>VLOOKUP(Table8[[#This Row],[LEO]],Table1[#All],2)</f>
        <v>#VALUE!</v>
      </c>
      <c r="J97" t="e">
        <f>VLOOKUP(Table8[[#This Row],[LEO]],Table1[#All],5)</f>
        <v>#VALUE!</v>
      </c>
      <c r="K97" t="e">
        <f>VLOOKUP(Table8[[#This Row],[LEO]],Table1[#All],3)</f>
        <v>#VALUE!</v>
      </c>
      <c r="L97" s="19" t="e">
        <f>VLOOKUP(Table8[[#This Row],[ME_ID]],Table4[#All],8)</f>
        <v>#VALUE!</v>
      </c>
    </row>
    <row r="98" spans="1:12" x14ac:dyDescent="0.2">
      <c r="A98" t="e">
        <f>Table4[[#This Row],[ID]]</f>
        <v>#VALUE!</v>
      </c>
      <c r="B98" t="e">
        <f>VLOOKUP(Table8[[#This Row],[ME_ID]],Table4[#All],2)</f>
        <v>#VALUE!</v>
      </c>
      <c r="C98" t="e">
        <f>VLOOKUP(Table8[[#This Row],[ME_ID]],Table4[#All],4)</f>
        <v>#VALUE!</v>
      </c>
      <c r="D98" t="e">
        <f>VLOOKUP(Table8[[#This Row],[ME_ID]],Table4[#All],3)</f>
        <v>#VALUE!</v>
      </c>
      <c r="E98" t="e">
        <f>VLOOKUP(Table8[[#This Row],[MLEO_ID]],Table3[#All],4)</f>
        <v>#VALUE!</v>
      </c>
      <c r="F98" t="e">
        <f>VLOOKUP(Table8[[#This Row],[MLEO_ID]],Table3[#All],5)</f>
        <v>#VALUE!</v>
      </c>
      <c r="G98" t="e">
        <f>VLOOKUP(Table8[[#This Row],[MLEO_ID]],Table3[#All],3)</f>
        <v>#VALUE!</v>
      </c>
      <c r="H98" t="e">
        <f>VLOOKUP(Table8[[#This Row],[MLEO_ID]],Table3[#All],2)</f>
        <v>#VALUE!</v>
      </c>
      <c r="I98" t="e">
        <f>VLOOKUP(Table8[[#This Row],[LEO]],Table1[#All],2)</f>
        <v>#VALUE!</v>
      </c>
      <c r="J98" t="e">
        <f>VLOOKUP(Table8[[#This Row],[LEO]],Table1[#All],5)</f>
        <v>#VALUE!</v>
      </c>
      <c r="K98" t="e">
        <f>VLOOKUP(Table8[[#This Row],[LEO]],Table1[#All],3)</f>
        <v>#VALUE!</v>
      </c>
      <c r="L98" s="19" t="e">
        <f>VLOOKUP(Table8[[#This Row],[ME_ID]],Table4[#All],8)</f>
        <v>#VALUE!</v>
      </c>
    </row>
    <row r="99" spans="1:12" x14ac:dyDescent="0.2">
      <c r="A99" t="e">
        <f>Table4[[#This Row],[ID]]</f>
        <v>#VALUE!</v>
      </c>
      <c r="B99" t="e">
        <f>VLOOKUP(Table8[[#This Row],[ME_ID]],Table4[#All],2)</f>
        <v>#VALUE!</v>
      </c>
      <c r="C99" t="e">
        <f>VLOOKUP(Table8[[#This Row],[ME_ID]],Table4[#All],4)</f>
        <v>#VALUE!</v>
      </c>
      <c r="D99" t="e">
        <f>VLOOKUP(Table8[[#This Row],[ME_ID]],Table4[#All],3)</f>
        <v>#VALUE!</v>
      </c>
      <c r="E99" t="e">
        <f>VLOOKUP(Table8[[#This Row],[MLEO_ID]],Table3[#All],4)</f>
        <v>#VALUE!</v>
      </c>
      <c r="F99" t="e">
        <f>VLOOKUP(Table8[[#This Row],[MLEO_ID]],Table3[#All],5)</f>
        <v>#VALUE!</v>
      </c>
      <c r="G99" t="e">
        <f>VLOOKUP(Table8[[#This Row],[MLEO_ID]],Table3[#All],3)</f>
        <v>#VALUE!</v>
      </c>
      <c r="H99" t="e">
        <f>VLOOKUP(Table8[[#This Row],[MLEO_ID]],Table3[#All],2)</f>
        <v>#VALUE!</v>
      </c>
      <c r="I99" t="e">
        <f>VLOOKUP(Table8[[#This Row],[LEO]],Table1[#All],2)</f>
        <v>#VALUE!</v>
      </c>
      <c r="J99" t="e">
        <f>VLOOKUP(Table8[[#This Row],[LEO]],Table1[#All],5)</f>
        <v>#VALUE!</v>
      </c>
      <c r="K99" t="e">
        <f>VLOOKUP(Table8[[#This Row],[LEO]],Table1[#All],3)</f>
        <v>#VALUE!</v>
      </c>
      <c r="L99" s="19" t="e">
        <f>VLOOKUP(Table8[[#This Row],[ME_ID]],Table4[#All],8)</f>
        <v>#VALUE!</v>
      </c>
    </row>
    <row r="100" spans="1:12" x14ac:dyDescent="0.2">
      <c r="A100" t="e">
        <f>Table4[[#This Row],[ID]]</f>
        <v>#VALUE!</v>
      </c>
      <c r="B100" t="e">
        <f>VLOOKUP(Table8[[#This Row],[ME_ID]],Table4[#All],2)</f>
        <v>#VALUE!</v>
      </c>
      <c r="C100" t="e">
        <f>VLOOKUP(Table8[[#This Row],[ME_ID]],Table4[#All],4)</f>
        <v>#VALUE!</v>
      </c>
      <c r="D100" t="e">
        <f>VLOOKUP(Table8[[#This Row],[ME_ID]],Table4[#All],3)</f>
        <v>#VALUE!</v>
      </c>
      <c r="E100" t="e">
        <f>VLOOKUP(Table8[[#This Row],[MLEO_ID]],Table3[#All],4)</f>
        <v>#VALUE!</v>
      </c>
      <c r="F100" t="e">
        <f>VLOOKUP(Table8[[#This Row],[MLEO_ID]],Table3[#All],5)</f>
        <v>#VALUE!</v>
      </c>
      <c r="G100" t="e">
        <f>VLOOKUP(Table8[[#This Row],[MLEO_ID]],Table3[#All],3)</f>
        <v>#VALUE!</v>
      </c>
      <c r="H100" t="e">
        <f>VLOOKUP(Table8[[#This Row],[MLEO_ID]],Table3[#All],2)</f>
        <v>#VALUE!</v>
      </c>
      <c r="I100" t="e">
        <f>VLOOKUP(Table8[[#This Row],[LEO]],Table1[#All],2)</f>
        <v>#VALUE!</v>
      </c>
      <c r="J100" t="e">
        <f>VLOOKUP(Table8[[#This Row],[LEO]],Table1[#All],5)</f>
        <v>#VALUE!</v>
      </c>
      <c r="K100" t="e">
        <f>VLOOKUP(Table8[[#This Row],[LEO]],Table1[#All],3)</f>
        <v>#VALUE!</v>
      </c>
      <c r="L100" s="19" t="e">
        <f>VLOOKUP(Table8[[#This Row],[ME_ID]],Table4[#All],8)</f>
        <v>#VALUE!</v>
      </c>
    </row>
    <row r="101" spans="1:12" x14ac:dyDescent="0.2">
      <c r="A101" t="e">
        <f>Table4[[#This Row],[ID]]</f>
        <v>#VALUE!</v>
      </c>
      <c r="B101" t="e">
        <f>VLOOKUP(Table8[[#This Row],[ME_ID]],Table4[#All],2)</f>
        <v>#VALUE!</v>
      </c>
      <c r="C101" t="e">
        <f>VLOOKUP(Table8[[#This Row],[ME_ID]],Table4[#All],4)</f>
        <v>#VALUE!</v>
      </c>
      <c r="D101" t="e">
        <f>VLOOKUP(Table8[[#This Row],[ME_ID]],Table4[#All],3)</f>
        <v>#VALUE!</v>
      </c>
      <c r="E101" t="e">
        <f>VLOOKUP(Table8[[#This Row],[MLEO_ID]],Table3[#All],4)</f>
        <v>#VALUE!</v>
      </c>
      <c r="F101" t="e">
        <f>VLOOKUP(Table8[[#This Row],[MLEO_ID]],Table3[#All],5)</f>
        <v>#VALUE!</v>
      </c>
      <c r="G101" t="e">
        <f>VLOOKUP(Table8[[#This Row],[MLEO_ID]],Table3[#All],3)</f>
        <v>#VALUE!</v>
      </c>
      <c r="H101" t="e">
        <f>VLOOKUP(Table8[[#This Row],[MLEO_ID]],Table3[#All],2)</f>
        <v>#VALUE!</v>
      </c>
      <c r="I101" t="e">
        <f>VLOOKUP(Table8[[#This Row],[LEO]],Table1[#All],2)</f>
        <v>#VALUE!</v>
      </c>
      <c r="J101" t="e">
        <f>VLOOKUP(Table8[[#This Row],[LEO]],Table1[#All],5)</f>
        <v>#VALUE!</v>
      </c>
      <c r="K101" t="e">
        <f>VLOOKUP(Table8[[#This Row],[LEO]],Table1[#All],3)</f>
        <v>#VALUE!</v>
      </c>
      <c r="L101" s="19" t="e">
        <f>VLOOKUP(Table8[[#This Row],[ME_ID]],Table4[#All],8)</f>
        <v>#VALUE!</v>
      </c>
    </row>
    <row r="102" spans="1:12" x14ac:dyDescent="0.2">
      <c r="A102" t="e">
        <f>Table4[[#This Row],[ID]]</f>
        <v>#VALUE!</v>
      </c>
      <c r="B102" t="e">
        <f>VLOOKUP(Table8[[#This Row],[ME_ID]],Table4[#All],2)</f>
        <v>#VALUE!</v>
      </c>
      <c r="C102" t="e">
        <f>VLOOKUP(Table8[[#This Row],[ME_ID]],Table4[#All],4)</f>
        <v>#VALUE!</v>
      </c>
      <c r="D102" t="e">
        <f>VLOOKUP(Table8[[#This Row],[ME_ID]],Table4[#All],3)</f>
        <v>#VALUE!</v>
      </c>
      <c r="E102" t="e">
        <f>VLOOKUP(Table8[[#This Row],[MLEO_ID]],Table3[#All],4)</f>
        <v>#VALUE!</v>
      </c>
      <c r="F102" t="e">
        <f>VLOOKUP(Table8[[#This Row],[MLEO_ID]],Table3[#All],5)</f>
        <v>#VALUE!</v>
      </c>
      <c r="G102" t="e">
        <f>VLOOKUP(Table8[[#This Row],[MLEO_ID]],Table3[#All],3)</f>
        <v>#VALUE!</v>
      </c>
      <c r="H102" t="e">
        <f>VLOOKUP(Table8[[#This Row],[MLEO_ID]],Table3[#All],2)</f>
        <v>#VALUE!</v>
      </c>
      <c r="I102" t="e">
        <f>VLOOKUP(Table8[[#This Row],[LEO]],Table1[#All],2)</f>
        <v>#VALUE!</v>
      </c>
      <c r="J102" t="e">
        <f>VLOOKUP(Table8[[#This Row],[LEO]],Table1[#All],5)</f>
        <v>#VALUE!</v>
      </c>
      <c r="K102" t="e">
        <f>VLOOKUP(Table8[[#This Row],[LEO]],Table1[#All],3)</f>
        <v>#VALUE!</v>
      </c>
      <c r="L102" s="19" t="e">
        <f>VLOOKUP(Table8[[#This Row],[ME_ID]],Table4[#All],8)</f>
        <v>#VALUE!</v>
      </c>
    </row>
    <row r="103" spans="1:12" x14ac:dyDescent="0.2">
      <c r="A103" t="e">
        <f>Table4[[#This Row],[ID]]</f>
        <v>#VALUE!</v>
      </c>
      <c r="B103" t="e">
        <f>VLOOKUP(Table8[[#This Row],[ME_ID]],Table4[#All],2)</f>
        <v>#VALUE!</v>
      </c>
      <c r="C103" t="e">
        <f>VLOOKUP(Table8[[#This Row],[ME_ID]],Table4[#All],4)</f>
        <v>#VALUE!</v>
      </c>
      <c r="D103" t="e">
        <f>VLOOKUP(Table8[[#This Row],[ME_ID]],Table4[#All],3)</f>
        <v>#VALUE!</v>
      </c>
      <c r="E103" t="e">
        <f>VLOOKUP(Table8[[#This Row],[MLEO_ID]],Table3[#All],4)</f>
        <v>#VALUE!</v>
      </c>
      <c r="F103" t="e">
        <f>VLOOKUP(Table8[[#This Row],[MLEO_ID]],Table3[#All],5)</f>
        <v>#VALUE!</v>
      </c>
      <c r="G103" t="e">
        <f>VLOOKUP(Table8[[#This Row],[MLEO_ID]],Table3[#All],3)</f>
        <v>#VALUE!</v>
      </c>
      <c r="H103" t="e">
        <f>VLOOKUP(Table8[[#This Row],[MLEO_ID]],Table3[#All],2)</f>
        <v>#VALUE!</v>
      </c>
      <c r="I103" t="e">
        <f>VLOOKUP(Table8[[#This Row],[LEO]],Table1[#All],2)</f>
        <v>#VALUE!</v>
      </c>
      <c r="J103" t="e">
        <f>VLOOKUP(Table8[[#This Row],[LEO]],Table1[#All],5)</f>
        <v>#VALUE!</v>
      </c>
      <c r="K103" t="e">
        <f>VLOOKUP(Table8[[#This Row],[LEO]],Table1[#All],3)</f>
        <v>#VALUE!</v>
      </c>
      <c r="L103" s="19" t="e">
        <f>VLOOKUP(Table8[[#This Row],[ME_ID]],Table4[#All],8)</f>
        <v>#VALUE!</v>
      </c>
    </row>
    <row r="104" spans="1:12" x14ac:dyDescent="0.2">
      <c r="A104" t="e">
        <f>Table4[[#This Row],[ID]]</f>
        <v>#VALUE!</v>
      </c>
      <c r="B104" t="e">
        <f>VLOOKUP(Table8[[#This Row],[ME_ID]],Table4[#All],2)</f>
        <v>#VALUE!</v>
      </c>
      <c r="C104" t="e">
        <f>VLOOKUP(Table8[[#This Row],[ME_ID]],Table4[#All],4)</f>
        <v>#VALUE!</v>
      </c>
      <c r="D104" t="e">
        <f>VLOOKUP(Table8[[#This Row],[ME_ID]],Table4[#All],3)</f>
        <v>#VALUE!</v>
      </c>
      <c r="E104" t="e">
        <f>VLOOKUP(Table8[[#This Row],[MLEO_ID]],Table3[#All],4)</f>
        <v>#VALUE!</v>
      </c>
      <c r="F104" t="e">
        <f>VLOOKUP(Table8[[#This Row],[MLEO_ID]],Table3[#All],5)</f>
        <v>#VALUE!</v>
      </c>
      <c r="G104" t="e">
        <f>VLOOKUP(Table8[[#This Row],[MLEO_ID]],Table3[#All],3)</f>
        <v>#VALUE!</v>
      </c>
      <c r="H104" t="e">
        <f>VLOOKUP(Table8[[#This Row],[MLEO_ID]],Table3[#All],2)</f>
        <v>#VALUE!</v>
      </c>
      <c r="I104" t="e">
        <f>VLOOKUP(Table8[[#This Row],[LEO]],Table1[#All],2)</f>
        <v>#VALUE!</v>
      </c>
      <c r="J104" t="e">
        <f>VLOOKUP(Table8[[#This Row],[LEO]],Table1[#All],5)</f>
        <v>#VALUE!</v>
      </c>
      <c r="K104" t="e">
        <f>VLOOKUP(Table8[[#This Row],[LEO]],Table1[#All],3)</f>
        <v>#VALUE!</v>
      </c>
      <c r="L104" s="19" t="e">
        <f>VLOOKUP(Table8[[#This Row],[ME_ID]],Table4[#All],8)</f>
        <v>#VALUE!</v>
      </c>
    </row>
    <row r="105" spans="1:12" x14ac:dyDescent="0.2">
      <c r="A105" t="e">
        <f>Table4[[#This Row],[ID]]</f>
        <v>#VALUE!</v>
      </c>
      <c r="B105" t="e">
        <f>VLOOKUP(Table8[[#This Row],[ME_ID]],Table4[#All],2)</f>
        <v>#VALUE!</v>
      </c>
      <c r="C105" t="e">
        <f>VLOOKUP(Table8[[#This Row],[ME_ID]],Table4[#All],4)</f>
        <v>#VALUE!</v>
      </c>
      <c r="D105" t="e">
        <f>VLOOKUP(Table8[[#This Row],[ME_ID]],Table4[#All],3)</f>
        <v>#VALUE!</v>
      </c>
      <c r="E105" t="e">
        <f>VLOOKUP(Table8[[#This Row],[MLEO_ID]],Table3[#All],4)</f>
        <v>#VALUE!</v>
      </c>
      <c r="F105" t="e">
        <f>VLOOKUP(Table8[[#This Row],[MLEO_ID]],Table3[#All],5)</f>
        <v>#VALUE!</v>
      </c>
      <c r="G105" t="e">
        <f>VLOOKUP(Table8[[#This Row],[MLEO_ID]],Table3[#All],3)</f>
        <v>#VALUE!</v>
      </c>
      <c r="H105" t="e">
        <f>VLOOKUP(Table8[[#This Row],[MLEO_ID]],Table3[#All],2)</f>
        <v>#VALUE!</v>
      </c>
      <c r="I105" t="e">
        <f>VLOOKUP(Table8[[#This Row],[LEO]],Table1[#All],2)</f>
        <v>#VALUE!</v>
      </c>
      <c r="J105" t="e">
        <f>VLOOKUP(Table8[[#This Row],[LEO]],Table1[#All],5)</f>
        <v>#VALUE!</v>
      </c>
      <c r="K105" t="e">
        <f>VLOOKUP(Table8[[#This Row],[LEO]],Table1[#All],3)</f>
        <v>#VALUE!</v>
      </c>
      <c r="L105" s="19" t="e">
        <f>VLOOKUP(Table8[[#This Row],[ME_ID]],Table4[#All],8)</f>
        <v>#VALUE!</v>
      </c>
    </row>
    <row r="106" spans="1:12" x14ac:dyDescent="0.2">
      <c r="A106" t="e">
        <f>Table4[[#This Row],[ID]]</f>
        <v>#VALUE!</v>
      </c>
      <c r="B106" t="e">
        <f>VLOOKUP(Table8[[#This Row],[ME_ID]],Table4[#All],2)</f>
        <v>#VALUE!</v>
      </c>
      <c r="C106" t="e">
        <f>VLOOKUP(Table8[[#This Row],[ME_ID]],Table4[#All],4)</f>
        <v>#VALUE!</v>
      </c>
      <c r="D106" t="e">
        <f>VLOOKUP(Table8[[#This Row],[ME_ID]],Table4[#All],3)</f>
        <v>#VALUE!</v>
      </c>
      <c r="E106" t="e">
        <f>VLOOKUP(Table8[[#This Row],[MLEO_ID]],Table3[#All],4)</f>
        <v>#VALUE!</v>
      </c>
      <c r="F106" t="e">
        <f>VLOOKUP(Table8[[#This Row],[MLEO_ID]],Table3[#All],5)</f>
        <v>#VALUE!</v>
      </c>
      <c r="G106" t="e">
        <f>VLOOKUP(Table8[[#This Row],[MLEO_ID]],Table3[#All],3)</f>
        <v>#VALUE!</v>
      </c>
      <c r="H106" t="e">
        <f>VLOOKUP(Table8[[#This Row],[MLEO_ID]],Table3[#All],2)</f>
        <v>#VALUE!</v>
      </c>
      <c r="I106" t="e">
        <f>VLOOKUP(Table8[[#This Row],[LEO]],Table1[#All],2)</f>
        <v>#VALUE!</v>
      </c>
      <c r="J106" t="e">
        <f>VLOOKUP(Table8[[#This Row],[LEO]],Table1[#All],5)</f>
        <v>#VALUE!</v>
      </c>
      <c r="K106" t="e">
        <f>VLOOKUP(Table8[[#This Row],[LEO]],Table1[#All],3)</f>
        <v>#VALUE!</v>
      </c>
      <c r="L106" s="19" t="e">
        <f>VLOOKUP(Table8[[#This Row],[ME_ID]],Table4[#All],8)</f>
        <v>#VALUE!</v>
      </c>
    </row>
    <row r="107" spans="1:12" x14ac:dyDescent="0.2">
      <c r="A107" t="e">
        <f>Table4[[#This Row],[ID]]</f>
        <v>#VALUE!</v>
      </c>
      <c r="B107" t="e">
        <f>VLOOKUP(Table8[[#This Row],[ME_ID]],Table4[#All],2)</f>
        <v>#VALUE!</v>
      </c>
      <c r="C107" t="e">
        <f>VLOOKUP(Table8[[#This Row],[ME_ID]],Table4[#All],4)</f>
        <v>#VALUE!</v>
      </c>
      <c r="D107" t="e">
        <f>VLOOKUP(Table8[[#This Row],[ME_ID]],Table4[#All],3)</f>
        <v>#VALUE!</v>
      </c>
      <c r="E107" t="e">
        <f>VLOOKUP(Table8[[#This Row],[MLEO_ID]],Table3[#All],4)</f>
        <v>#VALUE!</v>
      </c>
      <c r="F107" t="e">
        <f>VLOOKUP(Table8[[#This Row],[MLEO_ID]],Table3[#All],5)</f>
        <v>#VALUE!</v>
      </c>
      <c r="G107" t="e">
        <f>VLOOKUP(Table8[[#This Row],[MLEO_ID]],Table3[#All],3)</f>
        <v>#VALUE!</v>
      </c>
      <c r="H107" t="e">
        <f>VLOOKUP(Table8[[#This Row],[MLEO_ID]],Table3[#All],2)</f>
        <v>#VALUE!</v>
      </c>
      <c r="I107" t="e">
        <f>VLOOKUP(Table8[[#This Row],[LEO]],Table1[#All],2)</f>
        <v>#VALUE!</v>
      </c>
      <c r="J107" t="e">
        <f>VLOOKUP(Table8[[#This Row],[LEO]],Table1[#All],5)</f>
        <v>#VALUE!</v>
      </c>
      <c r="K107" t="e">
        <f>VLOOKUP(Table8[[#This Row],[LEO]],Table1[#All],3)</f>
        <v>#VALUE!</v>
      </c>
      <c r="L107" s="19" t="e">
        <f>VLOOKUP(Table8[[#This Row],[ME_ID]],Table4[#All],8)</f>
        <v>#VALUE!</v>
      </c>
    </row>
    <row r="108" spans="1:12" x14ac:dyDescent="0.2">
      <c r="A108" t="e">
        <f>Table4[[#This Row],[ID]]</f>
        <v>#VALUE!</v>
      </c>
      <c r="B108" t="e">
        <f>VLOOKUP(Table8[[#This Row],[ME_ID]],Table4[#All],2)</f>
        <v>#VALUE!</v>
      </c>
      <c r="C108" t="e">
        <f>VLOOKUP(Table8[[#This Row],[ME_ID]],Table4[#All],4)</f>
        <v>#VALUE!</v>
      </c>
      <c r="D108" t="e">
        <f>VLOOKUP(Table8[[#This Row],[ME_ID]],Table4[#All],3)</f>
        <v>#VALUE!</v>
      </c>
      <c r="E108" t="e">
        <f>VLOOKUP(Table8[[#This Row],[MLEO_ID]],Table3[#All],4)</f>
        <v>#VALUE!</v>
      </c>
      <c r="F108" t="e">
        <f>VLOOKUP(Table8[[#This Row],[MLEO_ID]],Table3[#All],5)</f>
        <v>#VALUE!</v>
      </c>
      <c r="G108" t="e">
        <f>VLOOKUP(Table8[[#This Row],[MLEO_ID]],Table3[#All],3)</f>
        <v>#VALUE!</v>
      </c>
      <c r="H108" t="e">
        <f>VLOOKUP(Table8[[#This Row],[MLEO_ID]],Table3[#All],2)</f>
        <v>#VALUE!</v>
      </c>
      <c r="I108" t="e">
        <f>VLOOKUP(Table8[[#This Row],[LEO]],Table1[#All],2)</f>
        <v>#VALUE!</v>
      </c>
      <c r="J108" t="e">
        <f>VLOOKUP(Table8[[#This Row],[LEO]],Table1[#All],5)</f>
        <v>#VALUE!</v>
      </c>
      <c r="K108" t="e">
        <f>VLOOKUP(Table8[[#This Row],[LEO]],Table1[#All],3)</f>
        <v>#VALUE!</v>
      </c>
      <c r="L108" s="19" t="e">
        <f>VLOOKUP(Table8[[#This Row],[ME_ID]],Table4[#All],8)</f>
        <v>#VALUE!</v>
      </c>
    </row>
    <row r="109" spans="1:12" x14ac:dyDescent="0.2">
      <c r="A109" t="e">
        <f>Table4[[#This Row],[ID]]</f>
        <v>#VALUE!</v>
      </c>
      <c r="B109" t="e">
        <f>VLOOKUP(Table8[[#This Row],[ME_ID]],Table4[#All],2)</f>
        <v>#VALUE!</v>
      </c>
      <c r="C109" t="e">
        <f>VLOOKUP(Table8[[#This Row],[ME_ID]],Table4[#All],4)</f>
        <v>#VALUE!</v>
      </c>
      <c r="D109" t="e">
        <f>VLOOKUP(Table8[[#This Row],[ME_ID]],Table4[#All],3)</f>
        <v>#VALUE!</v>
      </c>
      <c r="E109" t="e">
        <f>VLOOKUP(Table8[[#This Row],[MLEO_ID]],Table3[#All],4)</f>
        <v>#VALUE!</v>
      </c>
      <c r="F109" t="e">
        <f>VLOOKUP(Table8[[#This Row],[MLEO_ID]],Table3[#All],5)</f>
        <v>#VALUE!</v>
      </c>
      <c r="G109" t="e">
        <f>VLOOKUP(Table8[[#This Row],[MLEO_ID]],Table3[#All],3)</f>
        <v>#VALUE!</v>
      </c>
      <c r="H109" t="e">
        <f>VLOOKUP(Table8[[#This Row],[MLEO_ID]],Table3[#All],2)</f>
        <v>#VALUE!</v>
      </c>
      <c r="I109" t="e">
        <f>VLOOKUP(Table8[[#This Row],[LEO]],Table1[#All],2)</f>
        <v>#VALUE!</v>
      </c>
      <c r="J109" t="e">
        <f>VLOOKUP(Table8[[#This Row],[LEO]],Table1[#All],5)</f>
        <v>#VALUE!</v>
      </c>
      <c r="K109" t="e">
        <f>VLOOKUP(Table8[[#This Row],[LEO]],Table1[#All],3)</f>
        <v>#VALUE!</v>
      </c>
      <c r="L109" s="19" t="e">
        <f>VLOOKUP(Table8[[#This Row],[ME_ID]],Table4[#All],8)</f>
        <v>#VALUE!</v>
      </c>
    </row>
    <row r="110" spans="1:12" x14ac:dyDescent="0.2">
      <c r="A110" t="e">
        <f>Table4[[#This Row],[ID]]</f>
        <v>#VALUE!</v>
      </c>
      <c r="B110" t="e">
        <f>VLOOKUP(Table8[[#This Row],[ME_ID]],Table4[#All],2)</f>
        <v>#VALUE!</v>
      </c>
      <c r="C110" t="e">
        <f>VLOOKUP(Table8[[#This Row],[ME_ID]],Table4[#All],4)</f>
        <v>#VALUE!</v>
      </c>
      <c r="D110" t="e">
        <f>VLOOKUP(Table8[[#This Row],[ME_ID]],Table4[#All],3)</f>
        <v>#VALUE!</v>
      </c>
      <c r="E110" t="e">
        <f>VLOOKUP(Table8[[#This Row],[MLEO_ID]],Table3[#All],4)</f>
        <v>#VALUE!</v>
      </c>
      <c r="F110" t="e">
        <f>VLOOKUP(Table8[[#This Row],[MLEO_ID]],Table3[#All],5)</f>
        <v>#VALUE!</v>
      </c>
      <c r="G110" t="e">
        <f>VLOOKUP(Table8[[#This Row],[MLEO_ID]],Table3[#All],3)</f>
        <v>#VALUE!</v>
      </c>
      <c r="H110" t="e">
        <f>VLOOKUP(Table8[[#This Row],[MLEO_ID]],Table3[#All],2)</f>
        <v>#VALUE!</v>
      </c>
      <c r="I110" t="e">
        <f>VLOOKUP(Table8[[#This Row],[LEO]],Table1[#All],2)</f>
        <v>#VALUE!</v>
      </c>
      <c r="J110" t="e">
        <f>VLOOKUP(Table8[[#This Row],[LEO]],Table1[#All],5)</f>
        <v>#VALUE!</v>
      </c>
      <c r="K110" t="e">
        <f>VLOOKUP(Table8[[#This Row],[LEO]],Table1[#All],3)</f>
        <v>#VALUE!</v>
      </c>
      <c r="L110" s="19" t="e">
        <f>VLOOKUP(Table8[[#This Row],[ME_ID]],Table4[#All],8)</f>
        <v>#VALUE!</v>
      </c>
    </row>
    <row r="111" spans="1:12" x14ac:dyDescent="0.2">
      <c r="A111" t="e">
        <f>Table4[[#This Row],[ID]]</f>
        <v>#VALUE!</v>
      </c>
      <c r="B111" t="e">
        <f>VLOOKUP(Table8[[#This Row],[ME_ID]],Table4[#All],2)</f>
        <v>#VALUE!</v>
      </c>
      <c r="C111" t="e">
        <f>VLOOKUP(Table8[[#This Row],[ME_ID]],Table4[#All],4)</f>
        <v>#VALUE!</v>
      </c>
      <c r="D111" t="e">
        <f>VLOOKUP(Table8[[#This Row],[ME_ID]],Table4[#All],3)</f>
        <v>#VALUE!</v>
      </c>
      <c r="E111" t="e">
        <f>VLOOKUP(Table8[[#This Row],[MLEO_ID]],Table3[#All],4)</f>
        <v>#VALUE!</v>
      </c>
      <c r="F111" t="e">
        <f>VLOOKUP(Table8[[#This Row],[MLEO_ID]],Table3[#All],5)</f>
        <v>#VALUE!</v>
      </c>
      <c r="G111" t="e">
        <f>VLOOKUP(Table8[[#This Row],[MLEO_ID]],Table3[#All],3)</f>
        <v>#VALUE!</v>
      </c>
      <c r="H111" t="e">
        <f>VLOOKUP(Table8[[#This Row],[MLEO_ID]],Table3[#All],2)</f>
        <v>#VALUE!</v>
      </c>
      <c r="I111" t="e">
        <f>VLOOKUP(Table8[[#This Row],[LEO]],Table1[#All],2)</f>
        <v>#VALUE!</v>
      </c>
      <c r="J111" t="e">
        <f>VLOOKUP(Table8[[#This Row],[LEO]],Table1[#All],5)</f>
        <v>#VALUE!</v>
      </c>
      <c r="K111" t="e">
        <f>VLOOKUP(Table8[[#This Row],[LEO]],Table1[#All],3)</f>
        <v>#VALUE!</v>
      </c>
      <c r="L111" s="19" t="e">
        <f>VLOOKUP(Table8[[#This Row],[ME_ID]],Table4[#All],8)</f>
        <v>#VALUE!</v>
      </c>
    </row>
    <row r="112" spans="1:12" x14ac:dyDescent="0.2">
      <c r="A112" t="e">
        <f>Table4[[#This Row],[ID]]</f>
        <v>#VALUE!</v>
      </c>
      <c r="B112" t="e">
        <f>VLOOKUP(Table8[[#This Row],[ME_ID]],Table4[#All],2)</f>
        <v>#VALUE!</v>
      </c>
      <c r="C112" t="e">
        <f>VLOOKUP(Table8[[#This Row],[ME_ID]],Table4[#All],4)</f>
        <v>#VALUE!</v>
      </c>
      <c r="D112" t="e">
        <f>VLOOKUP(Table8[[#This Row],[ME_ID]],Table4[#All],3)</f>
        <v>#VALUE!</v>
      </c>
      <c r="E112" t="e">
        <f>VLOOKUP(Table8[[#This Row],[MLEO_ID]],Table3[#All],4)</f>
        <v>#VALUE!</v>
      </c>
      <c r="F112" t="e">
        <f>VLOOKUP(Table8[[#This Row],[MLEO_ID]],Table3[#All],5)</f>
        <v>#VALUE!</v>
      </c>
      <c r="G112" t="e">
        <f>VLOOKUP(Table8[[#This Row],[MLEO_ID]],Table3[#All],3)</f>
        <v>#VALUE!</v>
      </c>
      <c r="H112" t="e">
        <f>VLOOKUP(Table8[[#This Row],[MLEO_ID]],Table3[#All],2)</f>
        <v>#VALUE!</v>
      </c>
      <c r="I112" t="e">
        <f>VLOOKUP(Table8[[#This Row],[LEO]],Table1[#All],2)</f>
        <v>#VALUE!</v>
      </c>
      <c r="J112" t="e">
        <f>VLOOKUP(Table8[[#This Row],[LEO]],Table1[#All],5)</f>
        <v>#VALUE!</v>
      </c>
      <c r="K112" t="e">
        <f>VLOOKUP(Table8[[#This Row],[LEO]],Table1[#All],3)</f>
        <v>#VALUE!</v>
      </c>
      <c r="L112" s="19" t="e">
        <f>VLOOKUP(Table8[[#This Row],[ME_ID]],Table4[#All],8)</f>
        <v>#VALUE!</v>
      </c>
    </row>
    <row r="113" spans="1:12" x14ac:dyDescent="0.2">
      <c r="A113" t="e">
        <f>Table4[[#This Row],[ID]]</f>
        <v>#VALUE!</v>
      </c>
      <c r="B113" t="e">
        <f>VLOOKUP(Table8[[#This Row],[ME_ID]],Table4[#All],2)</f>
        <v>#VALUE!</v>
      </c>
      <c r="C113" t="e">
        <f>VLOOKUP(Table8[[#This Row],[ME_ID]],Table4[#All],4)</f>
        <v>#VALUE!</v>
      </c>
      <c r="D113" t="e">
        <f>VLOOKUP(Table8[[#This Row],[ME_ID]],Table4[#All],3)</f>
        <v>#VALUE!</v>
      </c>
      <c r="E113" t="e">
        <f>VLOOKUP(Table8[[#This Row],[MLEO_ID]],Table3[#All],4)</f>
        <v>#VALUE!</v>
      </c>
      <c r="F113" t="e">
        <f>VLOOKUP(Table8[[#This Row],[MLEO_ID]],Table3[#All],5)</f>
        <v>#VALUE!</v>
      </c>
      <c r="G113" t="e">
        <f>VLOOKUP(Table8[[#This Row],[MLEO_ID]],Table3[#All],3)</f>
        <v>#VALUE!</v>
      </c>
      <c r="H113" t="e">
        <f>VLOOKUP(Table8[[#This Row],[MLEO_ID]],Table3[#All],2)</f>
        <v>#VALUE!</v>
      </c>
      <c r="I113" t="e">
        <f>VLOOKUP(Table8[[#This Row],[LEO]],Table1[#All],2)</f>
        <v>#VALUE!</v>
      </c>
      <c r="J113" t="e">
        <f>VLOOKUP(Table8[[#This Row],[LEO]],Table1[#All],5)</f>
        <v>#VALUE!</v>
      </c>
      <c r="K113" t="e">
        <f>VLOOKUP(Table8[[#This Row],[LEO]],Table1[#All],3)</f>
        <v>#VALUE!</v>
      </c>
      <c r="L113" s="19" t="e">
        <f>VLOOKUP(Table8[[#This Row],[ME_ID]],Table4[#All],8)</f>
        <v>#VALUE!</v>
      </c>
    </row>
    <row r="114" spans="1:12" x14ac:dyDescent="0.2">
      <c r="A114" t="e">
        <f>Table4[[#This Row],[ID]]</f>
        <v>#VALUE!</v>
      </c>
      <c r="B114" t="e">
        <f>VLOOKUP(Table8[[#This Row],[ME_ID]],Table4[#All],2)</f>
        <v>#VALUE!</v>
      </c>
      <c r="C114" t="e">
        <f>VLOOKUP(Table8[[#This Row],[ME_ID]],Table4[#All],4)</f>
        <v>#VALUE!</v>
      </c>
      <c r="D114" t="e">
        <f>VLOOKUP(Table8[[#This Row],[ME_ID]],Table4[#All],3)</f>
        <v>#VALUE!</v>
      </c>
      <c r="E114" t="e">
        <f>VLOOKUP(Table8[[#This Row],[MLEO_ID]],Table3[#All],4)</f>
        <v>#VALUE!</v>
      </c>
      <c r="F114" t="e">
        <f>VLOOKUP(Table8[[#This Row],[MLEO_ID]],Table3[#All],5)</f>
        <v>#VALUE!</v>
      </c>
      <c r="G114" t="e">
        <f>VLOOKUP(Table8[[#This Row],[MLEO_ID]],Table3[#All],3)</f>
        <v>#VALUE!</v>
      </c>
      <c r="H114" t="e">
        <f>VLOOKUP(Table8[[#This Row],[MLEO_ID]],Table3[#All],2)</f>
        <v>#VALUE!</v>
      </c>
      <c r="I114" t="e">
        <f>VLOOKUP(Table8[[#This Row],[LEO]],Table1[#All],2)</f>
        <v>#VALUE!</v>
      </c>
      <c r="J114" t="e">
        <f>VLOOKUP(Table8[[#This Row],[LEO]],Table1[#All],5)</f>
        <v>#VALUE!</v>
      </c>
      <c r="K114" t="e">
        <f>VLOOKUP(Table8[[#This Row],[LEO]],Table1[#All],3)</f>
        <v>#VALUE!</v>
      </c>
      <c r="L114" s="19" t="e">
        <f>VLOOKUP(Table8[[#This Row],[ME_ID]],Table4[#All],8)</f>
        <v>#VALUE!</v>
      </c>
    </row>
    <row r="115" spans="1:12" x14ac:dyDescent="0.2">
      <c r="A115" t="e">
        <f>Table4[[#This Row],[ID]]</f>
        <v>#VALUE!</v>
      </c>
      <c r="B115" t="e">
        <f>VLOOKUP(Table8[[#This Row],[ME_ID]],Table4[#All],2)</f>
        <v>#VALUE!</v>
      </c>
      <c r="C115" t="e">
        <f>VLOOKUP(Table8[[#This Row],[ME_ID]],Table4[#All],4)</f>
        <v>#VALUE!</v>
      </c>
      <c r="D115" t="e">
        <f>VLOOKUP(Table8[[#This Row],[ME_ID]],Table4[#All],3)</f>
        <v>#VALUE!</v>
      </c>
      <c r="E115" t="e">
        <f>VLOOKUP(Table8[[#This Row],[MLEO_ID]],Table3[#All],4)</f>
        <v>#VALUE!</v>
      </c>
      <c r="F115" t="e">
        <f>VLOOKUP(Table8[[#This Row],[MLEO_ID]],Table3[#All],5)</f>
        <v>#VALUE!</v>
      </c>
      <c r="G115" t="e">
        <f>VLOOKUP(Table8[[#This Row],[MLEO_ID]],Table3[#All],3)</f>
        <v>#VALUE!</v>
      </c>
      <c r="H115" t="e">
        <f>VLOOKUP(Table8[[#This Row],[MLEO_ID]],Table3[#All],2)</f>
        <v>#VALUE!</v>
      </c>
      <c r="I115" t="e">
        <f>VLOOKUP(Table8[[#This Row],[LEO]],Table1[#All],2)</f>
        <v>#VALUE!</v>
      </c>
      <c r="J115" t="e">
        <f>VLOOKUP(Table8[[#This Row],[LEO]],Table1[#All],5)</f>
        <v>#VALUE!</v>
      </c>
      <c r="K115" t="e">
        <f>VLOOKUP(Table8[[#This Row],[LEO]],Table1[#All],3)</f>
        <v>#VALUE!</v>
      </c>
      <c r="L115" s="19" t="e">
        <f>VLOOKUP(Table8[[#This Row],[ME_ID]],Table4[#All],8)</f>
        <v>#VALUE!</v>
      </c>
    </row>
    <row r="116" spans="1:12" x14ac:dyDescent="0.2">
      <c r="A116" t="e">
        <f>Table4[[#This Row],[ID]]</f>
        <v>#VALUE!</v>
      </c>
      <c r="B116" t="e">
        <f>VLOOKUP(Table8[[#This Row],[ME_ID]],Table4[#All],2)</f>
        <v>#VALUE!</v>
      </c>
      <c r="C116" t="e">
        <f>VLOOKUP(Table8[[#This Row],[ME_ID]],Table4[#All],4)</f>
        <v>#VALUE!</v>
      </c>
      <c r="D116" t="e">
        <f>VLOOKUP(Table8[[#This Row],[ME_ID]],Table4[#All],3)</f>
        <v>#VALUE!</v>
      </c>
      <c r="E116" t="e">
        <f>VLOOKUP(Table8[[#This Row],[MLEO_ID]],Table3[#All],4)</f>
        <v>#VALUE!</v>
      </c>
      <c r="F116" t="e">
        <f>VLOOKUP(Table8[[#This Row],[MLEO_ID]],Table3[#All],5)</f>
        <v>#VALUE!</v>
      </c>
      <c r="G116" t="e">
        <f>VLOOKUP(Table8[[#This Row],[MLEO_ID]],Table3[#All],3)</f>
        <v>#VALUE!</v>
      </c>
      <c r="H116" t="e">
        <f>VLOOKUP(Table8[[#This Row],[MLEO_ID]],Table3[#All],2)</f>
        <v>#VALUE!</v>
      </c>
      <c r="I116" t="e">
        <f>VLOOKUP(Table8[[#This Row],[LEO]],Table1[#All],2)</f>
        <v>#VALUE!</v>
      </c>
      <c r="J116" t="e">
        <f>VLOOKUP(Table8[[#This Row],[LEO]],Table1[#All],5)</f>
        <v>#VALUE!</v>
      </c>
      <c r="K116" t="e">
        <f>VLOOKUP(Table8[[#This Row],[LEO]],Table1[#All],3)</f>
        <v>#VALUE!</v>
      </c>
      <c r="L116" s="19" t="e">
        <f>VLOOKUP(Table8[[#This Row],[ME_ID]],Table4[#All],8)</f>
        <v>#VALUE!</v>
      </c>
    </row>
    <row r="117" spans="1:12" x14ac:dyDescent="0.2">
      <c r="A117" t="e">
        <f>Table4[[#This Row],[ID]]</f>
        <v>#VALUE!</v>
      </c>
      <c r="B117" t="e">
        <f>VLOOKUP(Table8[[#This Row],[ME_ID]],Table4[#All],2)</f>
        <v>#VALUE!</v>
      </c>
      <c r="C117" t="e">
        <f>VLOOKUP(Table8[[#This Row],[ME_ID]],Table4[#All],4)</f>
        <v>#VALUE!</v>
      </c>
      <c r="D117" t="e">
        <f>VLOOKUP(Table8[[#This Row],[ME_ID]],Table4[#All],3)</f>
        <v>#VALUE!</v>
      </c>
      <c r="E117" t="e">
        <f>VLOOKUP(Table8[[#This Row],[MLEO_ID]],Table3[#All],4)</f>
        <v>#VALUE!</v>
      </c>
      <c r="F117" t="e">
        <f>VLOOKUP(Table8[[#This Row],[MLEO_ID]],Table3[#All],5)</f>
        <v>#VALUE!</v>
      </c>
      <c r="G117" t="e">
        <f>VLOOKUP(Table8[[#This Row],[MLEO_ID]],Table3[#All],3)</f>
        <v>#VALUE!</v>
      </c>
      <c r="H117" t="e">
        <f>VLOOKUP(Table8[[#This Row],[MLEO_ID]],Table3[#All],2)</f>
        <v>#VALUE!</v>
      </c>
      <c r="I117" t="e">
        <f>VLOOKUP(Table8[[#This Row],[LEO]],Table1[#All],2)</f>
        <v>#VALUE!</v>
      </c>
      <c r="J117" t="e">
        <f>VLOOKUP(Table8[[#This Row],[LEO]],Table1[#All],5)</f>
        <v>#VALUE!</v>
      </c>
      <c r="K117" t="e">
        <f>VLOOKUP(Table8[[#This Row],[LEO]],Table1[#All],3)</f>
        <v>#VALUE!</v>
      </c>
      <c r="L117" s="19" t="e">
        <f>VLOOKUP(Table8[[#This Row],[ME_ID]],Table4[#All],8)</f>
        <v>#VALUE!</v>
      </c>
    </row>
    <row r="118" spans="1:12" x14ac:dyDescent="0.2">
      <c r="A118" t="e">
        <f>Table4[[#This Row],[ID]]</f>
        <v>#VALUE!</v>
      </c>
      <c r="B118" t="e">
        <f>VLOOKUP(Table8[[#This Row],[ME_ID]],Table4[#All],2)</f>
        <v>#VALUE!</v>
      </c>
      <c r="C118" t="e">
        <f>VLOOKUP(Table8[[#This Row],[ME_ID]],Table4[#All],4)</f>
        <v>#VALUE!</v>
      </c>
      <c r="D118" t="e">
        <f>VLOOKUP(Table8[[#This Row],[ME_ID]],Table4[#All],3)</f>
        <v>#VALUE!</v>
      </c>
      <c r="E118" t="e">
        <f>VLOOKUP(Table8[[#This Row],[MLEO_ID]],Table3[#All],4)</f>
        <v>#VALUE!</v>
      </c>
      <c r="F118" t="e">
        <f>VLOOKUP(Table8[[#This Row],[MLEO_ID]],Table3[#All],5)</f>
        <v>#VALUE!</v>
      </c>
      <c r="G118" t="e">
        <f>VLOOKUP(Table8[[#This Row],[MLEO_ID]],Table3[#All],3)</f>
        <v>#VALUE!</v>
      </c>
      <c r="H118" t="e">
        <f>VLOOKUP(Table8[[#This Row],[MLEO_ID]],Table3[#All],2)</f>
        <v>#VALUE!</v>
      </c>
      <c r="I118" t="e">
        <f>VLOOKUP(Table8[[#This Row],[LEO]],Table1[#All],2)</f>
        <v>#VALUE!</v>
      </c>
      <c r="J118" t="e">
        <f>VLOOKUP(Table8[[#This Row],[LEO]],Table1[#All],5)</f>
        <v>#VALUE!</v>
      </c>
      <c r="K118" t="e">
        <f>VLOOKUP(Table8[[#This Row],[LEO]],Table1[#All],3)</f>
        <v>#VALUE!</v>
      </c>
      <c r="L118" s="19" t="e">
        <f>VLOOKUP(Table8[[#This Row],[ME_ID]],Table4[#All],8)</f>
        <v>#VALUE!</v>
      </c>
    </row>
    <row r="119" spans="1:12" x14ac:dyDescent="0.2">
      <c r="A119" t="e">
        <f>Table4[[#This Row],[ID]]</f>
        <v>#VALUE!</v>
      </c>
      <c r="B119" t="e">
        <f>VLOOKUP(Table8[[#This Row],[ME_ID]],Table4[#All],2)</f>
        <v>#VALUE!</v>
      </c>
      <c r="C119" t="e">
        <f>VLOOKUP(Table8[[#This Row],[ME_ID]],Table4[#All],4)</f>
        <v>#VALUE!</v>
      </c>
      <c r="D119" t="e">
        <f>VLOOKUP(Table8[[#This Row],[ME_ID]],Table4[#All],3)</f>
        <v>#VALUE!</v>
      </c>
      <c r="E119" t="e">
        <f>VLOOKUP(Table8[[#This Row],[MLEO_ID]],Table3[#All],4)</f>
        <v>#VALUE!</v>
      </c>
      <c r="F119" t="e">
        <f>VLOOKUP(Table8[[#This Row],[MLEO_ID]],Table3[#All],5)</f>
        <v>#VALUE!</v>
      </c>
      <c r="G119" t="e">
        <f>VLOOKUP(Table8[[#This Row],[MLEO_ID]],Table3[#All],3)</f>
        <v>#VALUE!</v>
      </c>
      <c r="H119" t="e">
        <f>VLOOKUP(Table8[[#This Row],[MLEO_ID]],Table3[#All],2)</f>
        <v>#VALUE!</v>
      </c>
      <c r="I119" t="e">
        <f>VLOOKUP(Table8[[#This Row],[LEO]],Table1[#All],2)</f>
        <v>#VALUE!</v>
      </c>
      <c r="J119" t="e">
        <f>VLOOKUP(Table8[[#This Row],[LEO]],Table1[#All],5)</f>
        <v>#VALUE!</v>
      </c>
      <c r="K119" t="e">
        <f>VLOOKUP(Table8[[#This Row],[LEO]],Table1[#All],3)</f>
        <v>#VALUE!</v>
      </c>
      <c r="L119" s="19" t="e">
        <f>VLOOKUP(Table8[[#This Row],[ME_ID]],Table4[#All],8)</f>
        <v>#VALUE!</v>
      </c>
    </row>
    <row r="120" spans="1:12" x14ac:dyDescent="0.2">
      <c r="A120" t="e">
        <f>Table4[[#This Row],[ID]]</f>
        <v>#VALUE!</v>
      </c>
      <c r="B120" t="e">
        <f>VLOOKUP(Table8[[#This Row],[ME_ID]],Table4[#All],2)</f>
        <v>#VALUE!</v>
      </c>
      <c r="C120" t="e">
        <f>VLOOKUP(Table8[[#This Row],[ME_ID]],Table4[#All],4)</f>
        <v>#VALUE!</v>
      </c>
      <c r="D120" t="e">
        <f>VLOOKUP(Table8[[#This Row],[ME_ID]],Table4[#All],3)</f>
        <v>#VALUE!</v>
      </c>
      <c r="E120" t="e">
        <f>VLOOKUP(Table8[[#This Row],[MLEO_ID]],Table3[#All],4)</f>
        <v>#VALUE!</v>
      </c>
      <c r="F120" t="e">
        <f>VLOOKUP(Table8[[#This Row],[MLEO_ID]],Table3[#All],5)</f>
        <v>#VALUE!</v>
      </c>
      <c r="G120" t="e">
        <f>VLOOKUP(Table8[[#This Row],[MLEO_ID]],Table3[#All],3)</f>
        <v>#VALUE!</v>
      </c>
      <c r="H120" t="e">
        <f>VLOOKUP(Table8[[#This Row],[MLEO_ID]],Table3[#All],2)</f>
        <v>#VALUE!</v>
      </c>
      <c r="I120" t="e">
        <f>VLOOKUP(Table8[[#This Row],[LEO]],Table1[#All],2)</f>
        <v>#VALUE!</v>
      </c>
      <c r="J120" t="e">
        <f>VLOOKUP(Table8[[#This Row],[LEO]],Table1[#All],5)</f>
        <v>#VALUE!</v>
      </c>
      <c r="K120" t="e">
        <f>VLOOKUP(Table8[[#This Row],[LEO]],Table1[#All],3)</f>
        <v>#VALUE!</v>
      </c>
      <c r="L120" s="19" t="e">
        <f>VLOOKUP(Table8[[#This Row],[ME_ID]],Table4[#All],8)</f>
        <v>#VALUE!</v>
      </c>
    </row>
    <row r="121" spans="1:12" x14ac:dyDescent="0.2">
      <c r="A121" t="e">
        <f>Table4[[#This Row],[ID]]</f>
        <v>#VALUE!</v>
      </c>
      <c r="B121" t="e">
        <f>VLOOKUP(Table8[[#This Row],[ME_ID]],Table4[#All],2)</f>
        <v>#VALUE!</v>
      </c>
      <c r="C121" t="e">
        <f>VLOOKUP(Table8[[#This Row],[ME_ID]],Table4[#All],4)</f>
        <v>#VALUE!</v>
      </c>
      <c r="D121" t="e">
        <f>VLOOKUP(Table8[[#This Row],[ME_ID]],Table4[#All],3)</f>
        <v>#VALUE!</v>
      </c>
      <c r="E121" t="e">
        <f>VLOOKUP(Table8[[#This Row],[MLEO_ID]],Table3[#All],4)</f>
        <v>#VALUE!</v>
      </c>
      <c r="F121" t="e">
        <f>VLOOKUP(Table8[[#This Row],[MLEO_ID]],Table3[#All],5)</f>
        <v>#VALUE!</v>
      </c>
      <c r="G121" t="e">
        <f>VLOOKUP(Table8[[#This Row],[MLEO_ID]],Table3[#All],3)</f>
        <v>#VALUE!</v>
      </c>
      <c r="H121" t="e">
        <f>VLOOKUP(Table8[[#This Row],[MLEO_ID]],Table3[#All],2)</f>
        <v>#VALUE!</v>
      </c>
      <c r="I121" t="e">
        <f>VLOOKUP(Table8[[#This Row],[LEO]],Table1[#All],2)</f>
        <v>#VALUE!</v>
      </c>
      <c r="J121" t="e">
        <f>VLOOKUP(Table8[[#This Row],[LEO]],Table1[#All],5)</f>
        <v>#VALUE!</v>
      </c>
      <c r="K121" t="e">
        <f>VLOOKUP(Table8[[#This Row],[LEO]],Table1[#All],3)</f>
        <v>#VALUE!</v>
      </c>
      <c r="L121" s="19" t="e">
        <f>VLOOKUP(Table8[[#This Row],[ME_ID]],Table4[#All],8)</f>
        <v>#VALUE!</v>
      </c>
    </row>
    <row r="122" spans="1:12" x14ac:dyDescent="0.2">
      <c r="A122" t="e">
        <f>Table4[[#This Row],[ID]]</f>
        <v>#VALUE!</v>
      </c>
      <c r="B122" t="e">
        <f>VLOOKUP(Table8[[#This Row],[ME_ID]],Table4[#All],2)</f>
        <v>#VALUE!</v>
      </c>
      <c r="C122" t="e">
        <f>VLOOKUP(Table8[[#This Row],[ME_ID]],Table4[#All],4)</f>
        <v>#VALUE!</v>
      </c>
      <c r="D122" t="e">
        <f>VLOOKUP(Table8[[#This Row],[ME_ID]],Table4[#All],3)</f>
        <v>#VALUE!</v>
      </c>
      <c r="E122" t="e">
        <f>VLOOKUP(Table8[[#This Row],[MLEO_ID]],Table3[#All],4)</f>
        <v>#VALUE!</v>
      </c>
      <c r="F122" t="e">
        <f>VLOOKUP(Table8[[#This Row],[MLEO_ID]],Table3[#All],5)</f>
        <v>#VALUE!</v>
      </c>
      <c r="G122" t="e">
        <f>VLOOKUP(Table8[[#This Row],[MLEO_ID]],Table3[#All],3)</f>
        <v>#VALUE!</v>
      </c>
      <c r="H122" t="e">
        <f>VLOOKUP(Table8[[#This Row],[MLEO_ID]],Table3[#All],2)</f>
        <v>#VALUE!</v>
      </c>
      <c r="I122" t="e">
        <f>VLOOKUP(Table8[[#This Row],[LEO]],Table1[#All],2)</f>
        <v>#VALUE!</v>
      </c>
      <c r="J122" t="e">
        <f>VLOOKUP(Table8[[#This Row],[LEO]],Table1[#All],5)</f>
        <v>#VALUE!</v>
      </c>
      <c r="K122" t="e">
        <f>VLOOKUP(Table8[[#This Row],[LEO]],Table1[#All],3)</f>
        <v>#VALUE!</v>
      </c>
      <c r="L122" s="19" t="e">
        <f>VLOOKUP(Table8[[#This Row],[ME_ID]],Table4[#All],8)</f>
        <v>#VALUE!</v>
      </c>
    </row>
    <row r="123" spans="1:12" x14ac:dyDescent="0.2">
      <c r="A123" t="e">
        <f>Table4[[#This Row],[ID]]</f>
        <v>#VALUE!</v>
      </c>
      <c r="B123" t="e">
        <f>VLOOKUP(Table8[[#This Row],[ME_ID]],Table4[#All],2)</f>
        <v>#VALUE!</v>
      </c>
      <c r="C123" t="e">
        <f>VLOOKUP(Table8[[#This Row],[ME_ID]],Table4[#All],4)</f>
        <v>#VALUE!</v>
      </c>
      <c r="D123" t="e">
        <f>VLOOKUP(Table8[[#This Row],[ME_ID]],Table4[#All],3)</f>
        <v>#VALUE!</v>
      </c>
      <c r="E123" t="e">
        <f>VLOOKUP(Table8[[#This Row],[MLEO_ID]],Table3[#All],4)</f>
        <v>#VALUE!</v>
      </c>
      <c r="F123" t="e">
        <f>VLOOKUP(Table8[[#This Row],[MLEO_ID]],Table3[#All],5)</f>
        <v>#VALUE!</v>
      </c>
      <c r="G123" t="e">
        <f>VLOOKUP(Table8[[#This Row],[MLEO_ID]],Table3[#All],3)</f>
        <v>#VALUE!</v>
      </c>
      <c r="H123" t="e">
        <f>VLOOKUP(Table8[[#This Row],[MLEO_ID]],Table3[#All],2)</f>
        <v>#VALUE!</v>
      </c>
      <c r="I123" t="e">
        <f>VLOOKUP(Table8[[#This Row],[LEO]],Table1[#All],2)</f>
        <v>#VALUE!</v>
      </c>
      <c r="J123" t="e">
        <f>VLOOKUP(Table8[[#This Row],[LEO]],Table1[#All],5)</f>
        <v>#VALUE!</v>
      </c>
      <c r="K123" t="e">
        <f>VLOOKUP(Table8[[#This Row],[LEO]],Table1[#All],3)</f>
        <v>#VALUE!</v>
      </c>
      <c r="L123" s="19" t="e">
        <f>VLOOKUP(Table8[[#This Row],[ME_ID]],Table4[#All],8)</f>
        <v>#VALUE!</v>
      </c>
    </row>
    <row r="124" spans="1:12" x14ac:dyDescent="0.2">
      <c r="A124" t="e">
        <f>Table4[[#This Row],[ID]]</f>
        <v>#VALUE!</v>
      </c>
      <c r="B124" t="e">
        <f>VLOOKUP(Table8[[#This Row],[ME_ID]],Table4[#All],2)</f>
        <v>#VALUE!</v>
      </c>
      <c r="C124" t="e">
        <f>VLOOKUP(Table8[[#This Row],[ME_ID]],Table4[#All],4)</f>
        <v>#VALUE!</v>
      </c>
      <c r="D124" t="e">
        <f>VLOOKUP(Table8[[#This Row],[ME_ID]],Table4[#All],3)</f>
        <v>#VALUE!</v>
      </c>
      <c r="E124" t="e">
        <f>VLOOKUP(Table8[[#This Row],[MLEO_ID]],Table3[#All],4)</f>
        <v>#VALUE!</v>
      </c>
      <c r="F124" t="e">
        <f>VLOOKUP(Table8[[#This Row],[MLEO_ID]],Table3[#All],5)</f>
        <v>#VALUE!</v>
      </c>
      <c r="G124" t="e">
        <f>VLOOKUP(Table8[[#This Row],[MLEO_ID]],Table3[#All],3)</f>
        <v>#VALUE!</v>
      </c>
      <c r="H124" t="e">
        <f>VLOOKUP(Table8[[#This Row],[MLEO_ID]],Table3[#All],2)</f>
        <v>#VALUE!</v>
      </c>
      <c r="I124" t="e">
        <f>VLOOKUP(Table8[[#This Row],[LEO]],Table1[#All],2)</f>
        <v>#VALUE!</v>
      </c>
      <c r="J124" t="e">
        <f>VLOOKUP(Table8[[#This Row],[LEO]],Table1[#All],5)</f>
        <v>#VALUE!</v>
      </c>
      <c r="K124" t="e">
        <f>VLOOKUP(Table8[[#This Row],[LEO]],Table1[#All],3)</f>
        <v>#VALUE!</v>
      </c>
      <c r="L124" s="19" t="e">
        <f>VLOOKUP(Table8[[#This Row],[ME_ID]],Table4[#All],8)</f>
        <v>#VALUE!</v>
      </c>
    </row>
    <row r="125" spans="1:12" x14ac:dyDescent="0.2">
      <c r="A125" t="e">
        <f>Table4[[#This Row],[ID]]</f>
        <v>#VALUE!</v>
      </c>
      <c r="B125" t="e">
        <f>VLOOKUP(Table8[[#This Row],[ME_ID]],Table4[#All],2)</f>
        <v>#VALUE!</v>
      </c>
      <c r="C125" t="e">
        <f>VLOOKUP(Table8[[#This Row],[ME_ID]],Table4[#All],4)</f>
        <v>#VALUE!</v>
      </c>
      <c r="D125" t="e">
        <f>VLOOKUP(Table8[[#This Row],[ME_ID]],Table4[#All],3)</f>
        <v>#VALUE!</v>
      </c>
      <c r="E125" t="e">
        <f>VLOOKUP(Table8[[#This Row],[MLEO_ID]],Table3[#All],4)</f>
        <v>#VALUE!</v>
      </c>
      <c r="F125" t="e">
        <f>VLOOKUP(Table8[[#This Row],[MLEO_ID]],Table3[#All],5)</f>
        <v>#VALUE!</v>
      </c>
      <c r="G125" t="e">
        <f>VLOOKUP(Table8[[#This Row],[MLEO_ID]],Table3[#All],3)</f>
        <v>#VALUE!</v>
      </c>
      <c r="H125" t="e">
        <f>VLOOKUP(Table8[[#This Row],[MLEO_ID]],Table3[#All],2)</f>
        <v>#VALUE!</v>
      </c>
      <c r="I125" t="e">
        <f>VLOOKUP(Table8[[#This Row],[LEO]],Table1[#All],2)</f>
        <v>#VALUE!</v>
      </c>
      <c r="J125" t="e">
        <f>VLOOKUP(Table8[[#This Row],[LEO]],Table1[#All],5)</f>
        <v>#VALUE!</v>
      </c>
      <c r="K125" t="e">
        <f>VLOOKUP(Table8[[#This Row],[LEO]],Table1[#All],3)</f>
        <v>#VALUE!</v>
      </c>
      <c r="L125" s="19" t="e">
        <f>VLOOKUP(Table8[[#This Row],[ME_ID]],Table4[#All],8)</f>
        <v>#VALUE!</v>
      </c>
    </row>
    <row r="126" spans="1:12" x14ac:dyDescent="0.2">
      <c r="A126" t="e">
        <f>Table4[[#This Row],[ID]]</f>
        <v>#VALUE!</v>
      </c>
      <c r="B126" t="e">
        <f>VLOOKUP(Table8[[#This Row],[ME_ID]],Table4[#All],2)</f>
        <v>#VALUE!</v>
      </c>
      <c r="C126" t="e">
        <f>VLOOKUP(Table8[[#This Row],[ME_ID]],Table4[#All],4)</f>
        <v>#VALUE!</v>
      </c>
      <c r="D126" t="e">
        <f>VLOOKUP(Table8[[#This Row],[ME_ID]],Table4[#All],3)</f>
        <v>#VALUE!</v>
      </c>
      <c r="E126" t="e">
        <f>VLOOKUP(Table8[[#This Row],[MLEO_ID]],Table3[#All],4)</f>
        <v>#VALUE!</v>
      </c>
      <c r="F126" t="e">
        <f>VLOOKUP(Table8[[#This Row],[MLEO_ID]],Table3[#All],5)</f>
        <v>#VALUE!</v>
      </c>
      <c r="G126" t="e">
        <f>VLOOKUP(Table8[[#This Row],[MLEO_ID]],Table3[#All],3)</f>
        <v>#VALUE!</v>
      </c>
      <c r="H126" t="e">
        <f>VLOOKUP(Table8[[#This Row],[MLEO_ID]],Table3[#All],2)</f>
        <v>#VALUE!</v>
      </c>
      <c r="I126" t="e">
        <f>VLOOKUP(Table8[[#This Row],[LEO]],Table1[#All],2)</f>
        <v>#VALUE!</v>
      </c>
      <c r="J126" t="e">
        <f>VLOOKUP(Table8[[#This Row],[LEO]],Table1[#All],5)</f>
        <v>#VALUE!</v>
      </c>
      <c r="K126" t="e">
        <f>VLOOKUP(Table8[[#This Row],[LEO]],Table1[#All],3)</f>
        <v>#VALUE!</v>
      </c>
      <c r="L126" s="19" t="e">
        <f>VLOOKUP(Table8[[#This Row],[ME_ID]],Table4[#All],8)</f>
        <v>#VALUE!</v>
      </c>
    </row>
    <row r="127" spans="1:12" x14ac:dyDescent="0.2">
      <c r="A127" t="e">
        <f>Table4[[#This Row],[ID]]</f>
        <v>#VALUE!</v>
      </c>
      <c r="B127" t="e">
        <f>VLOOKUP(Table8[[#This Row],[ME_ID]],Table4[#All],2)</f>
        <v>#VALUE!</v>
      </c>
      <c r="C127" t="e">
        <f>VLOOKUP(Table8[[#This Row],[ME_ID]],Table4[#All],4)</f>
        <v>#VALUE!</v>
      </c>
      <c r="D127" t="e">
        <f>VLOOKUP(Table8[[#This Row],[ME_ID]],Table4[#All],3)</f>
        <v>#VALUE!</v>
      </c>
      <c r="E127" t="e">
        <f>VLOOKUP(Table8[[#This Row],[MLEO_ID]],Table3[#All],4)</f>
        <v>#VALUE!</v>
      </c>
      <c r="F127" t="e">
        <f>VLOOKUP(Table8[[#This Row],[MLEO_ID]],Table3[#All],5)</f>
        <v>#VALUE!</v>
      </c>
      <c r="G127" t="e">
        <f>VLOOKUP(Table8[[#This Row],[MLEO_ID]],Table3[#All],3)</f>
        <v>#VALUE!</v>
      </c>
      <c r="H127" t="e">
        <f>VLOOKUP(Table8[[#This Row],[MLEO_ID]],Table3[#All],2)</f>
        <v>#VALUE!</v>
      </c>
      <c r="I127" t="e">
        <f>VLOOKUP(Table8[[#This Row],[LEO]],Table1[#All],2)</f>
        <v>#VALUE!</v>
      </c>
      <c r="J127" t="e">
        <f>VLOOKUP(Table8[[#This Row],[LEO]],Table1[#All],5)</f>
        <v>#VALUE!</v>
      </c>
      <c r="K127" t="e">
        <f>VLOOKUP(Table8[[#This Row],[LEO]],Table1[#All],3)</f>
        <v>#VALUE!</v>
      </c>
      <c r="L127" s="19" t="e">
        <f>VLOOKUP(Table8[[#This Row],[ME_ID]],Table4[#All],8)</f>
        <v>#VALUE!</v>
      </c>
    </row>
    <row r="128" spans="1:12" x14ac:dyDescent="0.2">
      <c r="A128" t="e">
        <f>Table4[[#This Row],[ID]]</f>
        <v>#VALUE!</v>
      </c>
      <c r="B128" t="e">
        <f>VLOOKUP(Table8[[#This Row],[ME_ID]],Table4[#All],2)</f>
        <v>#VALUE!</v>
      </c>
      <c r="C128" t="e">
        <f>VLOOKUP(Table8[[#This Row],[ME_ID]],Table4[#All],4)</f>
        <v>#VALUE!</v>
      </c>
      <c r="D128" t="e">
        <f>VLOOKUP(Table8[[#This Row],[ME_ID]],Table4[#All],3)</f>
        <v>#VALUE!</v>
      </c>
      <c r="E128" t="e">
        <f>VLOOKUP(Table8[[#This Row],[MLEO_ID]],Table3[#All],4)</f>
        <v>#VALUE!</v>
      </c>
      <c r="F128" t="e">
        <f>VLOOKUP(Table8[[#This Row],[MLEO_ID]],Table3[#All],5)</f>
        <v>#VALUE!</v>
      </c>
      <c r="G128" t="e">
        <f>VLOOKUP(Table8[[#This Row],[MLEO_ID]],Table3[#All],3)</f>
        <v>#VALUE!</v>
      </c>
      <c r="H128" t="e">
        <f>VLOOKUP(Table8[[#This Row],[MLEO_ID]],Table3[#All],2)</f>
        <v>#VALUE!</v>
      </c>
      <c r="I128" t="e">
        <f>VLOOKUP(Table8[[#This Row],[LEO]],Table1[#All],2)</f>
        <v>#VALUE!</v>
      </c>
      <c r="J128" t="e">
        <f>VLOOKUP(Table8[[#This Row],[LEO]],Table1[#All],5)</f>
        <v>#VALUE!</v>
      </c>
      <c r="K128" t="e">
        <f>VLOOKUP(Table8[[#This Row],[LEO]],Table1[#All],3)</f>
        <v>#VALUE!</v>
      </c>
      <c r="L128" s="19" t="e">
        <f>VLOOKUP(Table8[[#This Row],[ME_ID]],Table4[#All],8)</f>
        <v>#VALUE!</v>
      </c>
    </row>
    <row r="129" spans="1:12" x14ac:dyDescent="0.2">
      <c r="A129" t="e">
        <f>Table4[[#This Row],[ID]]</f>
        <v>#VALUE!</v>
      </c>
      <c r="B129" t="e">
        <f>VLOOKUP(Table8[[#This Row],[ME_ID]],Table4[#All],2)</f>
        <v>#VALUE!</v>
      </c>
      <c r="C129" t="e">
        <f>VLOOKUP(Table8[[#This Row],[ME_ID]],Table4[#All],4)</f>
        <v>#VALUE!</v>
      </c>
      <c r="D129" t="e">
        <f>VLOOKUP(Table8[[#This Row],[ME_ID]],Table4[#All],3)</f>
        <v>#VALUE!</v>
      </c>
      <c r="E129" t="e">
        <f>VLOOKUP(Table8[[#This Row],[MLEO_ID]],Table3[#All],4)</f>
        <v>#VALUE!</v>
      </c>
      <c r="F129" t="e">
        <f>VLOOKUP(Table8[[#This Row],[MLEO_ID]],Table3[#All],5)</f>
        <v>#VALUE!</v>
      </c>
      <c r="G129" t="e">
        <f>VLOOKUP(Table8[[#This Row],[MLEO_ID]],Table3[#All],3)</f>
        <v>#VALUE!</v>
      </c>
      <c r="H129" t="e">
        <f>VLOOKUP(Table8[[#This Row],[MLEO_ID]],Table3[#All],2)</f>
        <v>#VALUE!</v>
      </c>
      <c r="I129" t="e">
        <f>VLOOKUP(Table8[[#This Row],[LEO]],Table1[#All],2)</f>
        <v>#VALUE!</v>
      </c>
      <c r="J129" t="e">
        <f>VLOOKUP(Table8[[#This Row],[LEO]],Table1[#All],5)</f>
        <v>#VALUE!</v>
      </c>
      <c r="K129" t="e">
        <f>VLOOKUP(Table8[[#This Row],[LEO]],Table1[#All],3)</f>
        <v>#VALUE!</v>
      </c>
      <c r="L129" s="19" t="e">
        <f>VLOOKUP(Table8[[#This Row],[ME_ID]],Table4[#All],8)</f>
        <v>#VALUE!</v>
      </c>
    </row>
    <row r="130" spans="1:12" x14ac:dyDescent="0.2">
      <c r="A130" t="e">
        <f>Table4[[#This Row],[ID]]</f>
        <v>#VALUE!</v>
      </c>
      <c r="B130" t="e">
        <f>VLOOKUP(Table8[[#This Row],[ME_ID]],Table4[#All],2)</f>
        <v>#VALUE!</v>
      </c>
      <c r="C130" t="e">
        <f>VLOOKUP(Table8[[#This Row],[ME_ID]],Table4[#All],4)</f>
        <v>#VALUE!</v>
      </c>
      <c r="D130" t="e">
        <f>VLOOKUP(Table8[[#This Row],[ME_ID]],Table4[#All],3)</f>
        <v>#VALUE!</v>
      </c>
      <c r="E130" t="e">
        <f>VLOOKUP(Table8[[#This Row],[MLEO_ID]],Table3[#All],4)</f>
        <v>#VALUE!</v>
      </c>
      <c r="F130" t="e">
        <f>VLOOKUP(Table8[[#This Row],[MLEO_ID]],Table3[#All],5)</f>
        <v>#VALUE!</v>
      </c>
      <c r="G130" t="e">
        <f>VLOOKUP(Table8[[#This Row],[MLEO_ID]],Table3[#All],3)</f>
        <v>#VALUE!</v>
      </c>
      <c r="H130" t="e">
        <f>VLOOKUP(Table8[[#This Row],[MLEO_ID]],Table3[#All],2)</f>
        <v>#VALUE!</v>
      </c>
      <c r="I130" t="e">
        <f>VLOOKUP(Table8[[#This Row],[LEO]],Table1[#All],2)</f>
        <v>#VALUE!</v>
      </c>
      <c r="J130" t="e">
        <f>VLOOKUP(Table8[[#This Row],[LEO]],Table1[#All],5)</f>
        <v>#VALUE!</v>
      </c>
      <c r="K130" t="e">
        <f>VLOOKUP(Table8[[#This Row],[LEO]],Table1[#All],3)</f>
        <v>#VALUE!</v>
      </c>
      <c r="L130" s="19" t="e">
        <f>VLOOKUP(Table8[[#This Row],[ME_ID]],Table4[#All],8)</f>
        <v>#VALUE!</v>
      </c>
    </row>
    <row r="131" spans="1:12" x14ac:dyDescent="0.2">
      <c r="A131" t="e">
        <f>Table4[[#This Row],[ID]]</f>
        <v>#VALUE!</v>
      </c>
      <c r="B131" t="e">
        <f>VLOOKUP(Table8[[#This Row],[ME_ID]],Table4[#All],2)</f>
        <v>#VALUE!</v>
      </c>
      <c r="C131" t="e">
        <f>VLOOKUP(Table8[[#This Row],[ME_ID]],Table4[#All],4)</f>
        <v>#VALUE!</v>
      </c>
      <c r="D131" t="e">
        <f>VLOOKUP(Table8[[#This Row],[ME_ID]],Table4[#All],3)</f>
        <v>#VALUE!</v>
      </c>
      <c r="E131" t="e">
        <f>VLOOKUP(Table8[[#This Row],[MLEO_ID]],Table3[#All],4)</f>
        <v>#VALUE!</v>
      </c>
      <c r="F131" t="e">
        <f>VLOOKUP(Table8[[#This Row],[MLEO_ID]],Table3[#All],5)</f>
        <v>#VALUE!</v>
      </c>
      <c r="G131" t="e">
        <f>VLOOKUP(Table8[[#This Row],[MLEO_ID]],Table3[#All],3)</f>
        <v>#VALUE!</v>
      </c>
      <c r="H131" t="e">
        <f>VLOOKUP(Table8[[#This Row],[MLEO_ID]],Table3[#All],2)</f>
        <v>#VALUE!</v>
      </c>
      <c r="I131" t="e">
        <f>VLOOKUP(Table8[[#This Row],[LEO]],Table1[#All],2)</f>
        <v>#VALUE!</v>
      </c>
      <c r="J131" t="e">
        <f>VLOOKUP(Table8[[#This Row],[LEO]],Table1[#All],5)</f>
        <v>#VALUE!</v>
      </c>
      <c r="K131" t="e">
        <f>VLOOKUP(Table8[[#This Row],[LEO]],Table1[#All],3)</f>
        <v>#VALUE!</v>
      </c>
      <c r="L131" s="19" t="e">
        <f>VLOOKUP(Table8[[#This Row],[ME_ID]],Table4[#All],8)</f>
        <v>#VALUE!</v>
      </c>
    </row>
    <row r="132" spans="1:12" x14ac:dyDescent="0.2">
      <c r="A132" t="e">
        <f>Table4[[#This Row],[ID]]</f>
        <v>#VALUE!</v>
      </c>
      <c r="B132" t="e">
        <f>VLOOKUP(Table8[[#This Row],[ME_ID]],Table4[#All],2)</f>
        <v>#VALUE!</v>
      </c>
      <c r="C132" t="e">
        <f>VLOOKUP(Table8[[#This Row],[ME_ID]],Table4[#All],4)</f>
        <v>#VALUE!</v>
      </c>
      <c r="D132" t="e">
        <f>VLOOKUP(Table8[[#This Row],[ME_ID]],Table4[#All],3)</f>
        <v>#VALUE!</v>
      </c>
      <c r="E132" t="e">
        <f>VLOOKUP(Table8[[#This Row],[MLEO_ID]],Table3[#All],4)</f>
        <v>#VALUE!</v>
      </c>
      <c r="F132" t="e">
        <f>VLOOKUP(Table8[[#This Row],[MLEO_ID]],Table3[#All],5)</f>
        <v>#VALUE!</v>
      </c>
      <c r="G132" t="e">
        <f>VLOOKUP(Table8[[#This Row],[MLEO_ID]],Table3[#All],3)</f>
        <v>#VALUE!</v>
      </c>
      <c r="H132" t="e">
        <f>VLOOKUP(Table8[[#This Row],[MLEO_ID]],Table3[#All],2)</f>
        <v>#VALUE!</v>
      </c>
      <c r="I132" t="e">
        <f>VLOOKUP(Table8[[#This Row],[LEO]],Table1[#All],2)</f>
        <v>#VALUE!</v>
      </c>
      <c r="J132" t="e">
        <f>VLOOKUP(Table8[[#This Row],[LEO]],Table1[#All],5)</f>
        <v>#VALUE!</v>
      </c>
      <c r="K132" t="e">
        <f>VLOOKUP(Table8[[#This Row],[LEO]],Table1[#All],3)</f>
        <v>#VALUE!</v>
      </c>
      <c r="L132" s="19" t="e">
        <f>VLOOKUP(Table8[[#This Row],[ME_ID]],Table4[#All],8)</f>
        <v>#VALUE!</v>
      </c>
    </row>
    <row r="133" spans="1:12" x14ac:dyDescent="0.2">
      <c r="A133" t="e">
        <f>Table4[[#This Row],[ID]]</f>
        <v>#VALUE!</v>
      </c>
      <c r="B133" t="e">
        <f>VLOOKUP(Table8[[#This Row],[ME_ID]],Table4[#All],2)</f>
        <v>#VALUE!</v>
      </c>
      <c r="C133" t="e">
        <f>VLOOKUP(Table8[[#This Row],[ME_ID]],Table4[#All],4)</f>
        <v>#VALUE!</v>
      </c>
      <c r="D133" t="e">
        <f>VLOOKUP(Table8[[#This Row],[ME_ID]],Table4[#All],3)</f>
        <v>#VALUE!</v>
      </c>
      <c r="E133" t="e">
        <f>VLOOKUP(Table8[[#This Row],[MLEO_ID]],Table3[#All],4)</f>
        <v>#VALUE!</v>
      </c>
      <c r="F133" t="e">
        <f>VLOOKUP(Table8[[#This Row],[MLEO_ID]],Table3[#All],5)</f>
        <v>#VALUE!</v>
      </c>
      <c r="G133" t="e">
        <f>VLOOKUP(Table8[[#This Row],[MLEO_ID]],Table3[#All],3)</f>
        <v>#VALUE!</v>
      </c>
      <c r="H133" t="e">
        <f>VLOOKUP(Table8[[#This Row],[MLEO_ID]],Table3[#All],2)</f>
        <v>#VALUE!</v>
      </c>
      <c r="I133" t="e">
        <f>VLOOKUP(Table8[[#This Row],[LEO]],Table1[#All],2)</f>
        <v>#VALUE!</v>
      </c>
      <c r="J133" t="e">
        <f>VLOOKUP(Table8[[#This Row],[LEO]],Table1[#All],5)</f>
        <v>#VALUE!</v>
      </c>
      <c r="K133" t="e">
        <f>VLOOKUP(Table8[[#This Row],[LEO]],Table1[#All],3)</f>
        <v>#VALUE!</v>
      </c>
      <c r="L133" s="19" t="e">
        <f>VLOOKUP(Table8[[#This Row],[ME_ID]],Table4[#All],8)</f>
        <v>#VALUE!</v>
      </c>
    </row>
    <row r="134" spans="1:12" x14ac:dyDescent="0.2">
      <c r="A134" t="e">
        <f>Table4[[#This Row],[ID]]</f>
        <v>#VALUE!</v>
      </c>
      <c r="B134" t="e">
        <f>VLOOKUP(Table8[[#This Row],[ME_ID]],Table4[#All],2)</f>
        <v>#VALUE!</v>
      </c>
      <c r="C134" t="e">
        <f>VLOOKUP(Table8[[#This Row],[ME_ID]],Table4[#All],4)</f>
        <v>#VALUE!</v>
      </c>
      <c r="D134" t="e">
        <f>VLOOKUP(Table8[[#This Row],[ME_ID]],Table4[#All],3)</f>
        <v>#VALUE!</v>
      </c>
      <c r="E134" t="e">
        <f>VLOOKUP(Table8[[#This Row],[MLEO_ID]],Table3[#All],4)</f>
        <v>#VALUE!</v>
      </c>
      <c r="F134" t="e">
        <f>VLOOKUP(Table8[[#This Row],[MLEO_ID]],Table3[#All],5)</f>
        <v>#VALUE!</v>
      </c>
      <c r="G134" t="e">
        <f>VLOOKUP(Table8[[#This Row],[MLEO_ID]],Table3[#All],3)</f>
        <v>#VALUE!</v>
      </c>
      <c r="H134" t="e">
        <f>VLOOKUP(Table8[[#This Row],[MLEO_ID]],Table3[#All],2)</f>
        <v>#VALUE!</v>
      </c>
      <c r="I134" t="e">
        <f>VLOOKUP(Table8[[#This Row],[LEO]],Table1[#All],2)</f>
        <v>#VALUE!</v>
      </c>
      <c r="J134" t="e">
        <f>VLOOKUP(Table8[[#This Row],[LEO]],Table1[#All],5)</f>
        <v>#VALUE!</v>
      </c>
      <c r="K134" t="e">
        <f>VLOOKUP(Table8[[#This Row],[LEO]],Table1[#All],3)</f>
        <v>#VALUE!</v>
      </c>
      <c r="L134" s="19" t="e">
        <f>VLOOKUP(Table8[[#This Row],[ME_ID]],Table4[#All],8)</f>
        <v>#VALUE!</v>
      </c>
    </row>
    <row r="135" spans="1:12" x14ac:dyDescent="0.2">
      <c r="A135" t="e">
        <f>Table4[[#This Row],[ID]]</f>
        <v>#VALUE!</v>
      </c>
      <c r="B135" t="e">
        <f>VLOOKUP(Table8[[#This Row],[ME_ID]],Table4[#All],2)</f>
        <v>#VALUE!</v>
      </c>
      <c r="C135" t="e">
        <f>VLOOKUP(Table8[[#This Row],[ME_ID]],Table4[#All],4)</f>
        <v>#VALUE!</v>
      </c>
      <c r="D135" t="e">
        <f>VLOOKUP(Table8[[#This Row],[ME_ID]],Table4[#All],3)</f>
        <v>#VALUE!</v>
      </c>
      <c r="E135" t="e">
        <f>VLOOKUP(Table8[[#This Row],[MLEO_ID]],Table3[#All],4)</f>
        <v>#VALUE!</v>
      </c>
      <c r="F135" t="e">
        <f>VLOOKUP(Table8[[#This Row],[MLEO_ID]],Table3[#All],5)</f>
        <v>#VALUE!</v>
      </c>
      <c r="G135" t="e">
        <f>VLOOKUP(Table8[[#This Row],[MLEO_ID]],Table3[#All],3)</f>
        <v>#VALUE!</v>
      </c>
      <c r="H135" t="e">
        <f>VLOOKUP(Table8[[#This Row],[MLEO_ID]],Table3[#All],2)</f>
        <v>#VALUE!</v>
      </c>
      <c r="I135" t="e">
        <f>VLOOKUP(Table8[[#This Row],[LEO]],Table1[#All],2)</f>
        <v>#VALUE!</v>
      </c>
      <c r="J135" t="e">
        <f>VLOOKUP(Table8[[#This Row],[LEO]],Table1[#All],5)</f>
        <v>#VALUE!</v>
      </c>
      <c r="K135" t="e">
        <f>VLOOKUP(Table8[[#This Row],[LEO]],Table1[#All],3)</f>
        <v>#VALUE!</v>
      </c>
      <c r="L135" s="19" t="e">
        <f>VLOOKUP(Table8[[#This Row],[ME_ID]],Table4[#All],8)</f>
        <v>#VALUE!</v>
      </c>
    </row>
    <row r="136" spans="1:12" x14ac:dyDescent="0.2">
      <c r="A136" t="e">
        <f>Table4[[#This Row],[ID]]</f>
        <v>#VALUE!</v>
      </c>
      <c r="B136" t="e">
        <f>VLOOKUP(Table8[[#This Row],[ME_ID]],Table4[#All],2)</f>
        <v>#VALUE!</v>
      </c>
      <c r="C136" t="e">
        <f>VLOOKUP(Table8[[#This Row],[ME_ID]],Table4[#All],4)</f>
        <v>#VALUE!</v>
      </c>
      <c r="D136" t="e">
        <f>VLOOKUP(Table8[[#This Row],[ME_ID]],Table4[#All],3)</f>
        <v>#VALUE!</v>
      </c>
      <c r="E136" t="e">
        <f>VLOOKUP(Table8[[#This Row],[MLEO_ID]],Table3[#All],4)</f>
        <v>#VALUE!</v>
      </c>
      <c r="F136" t="e">
        <f>VLOOKUP(Table8[[#This Row],[MLEO_ID]],Table3[#All],5)</f>
        <v>#VALUE!</v>
      </c>
      <c r="G136" t="e">
        <f>VLOOKUP(Table8[[#This Row],[MLEO_ID]],Table3[#All],3)</f>
        <v>#VALUE!</v>
      </c>
      <c r="H136" t="e">
        <f>VLOOKUP(Table8[[#This Row],[MLEO_ID]],Table3[#All],2)</f>
        <v>#VALUE!</v>
      </c>
      <c r="I136" t="e">
        <f>VLOOKUP(Table8[[#This Row],[LEO]],Table1[#All],2)</f>
        <v>#VALUE!</v>
      </c>
      <c r="J136" t="e">
        <f>VLOOKUP(Table8[[#This Row],[LEO]],Table1[#All],5)</f>
        <v>#VALUE!</v>
      </c>
      <c r="K136" t="e">
        <f>VLOOKUP(Table8[[#This Row],[LEO]],Table1[#All],3)</f>
        <v>#VALUE!</v>
      </c>
      <c r="L136" s="19" t="e">
        <f>VLOOKUP(Table8[[#This Row],[ME_ID]],Table4[#All],8)</f>
        <v>#VALUE!</v>
      </c>
    </row>
    <row r="137" spans="1:12" x14ac:dyDescent="0.2">
      <c r="A137" t="e">
        <f>Table4[[#This Row],[ID]]</f>
        <v>#VALUE!</v>
      </c>
      <c r="B137" t="e">
        <f>VLOOKUP(Table8[[#This Row],[ME_ID]],Table4[#All],2)</f>
        <v>#VALUE!</v>
      </c>
      <c r="C137" t="e">
        <f>VLOOKUP(Table8[[#This Row],[ME_ID]],Table4[#All],4)</f>
        <v>#VALUE!</v>
      </c>
      <c r="D137" t="e">
        <f>VLOOKUP(Table8[[#This Row],[ME_ID]],Table4[#All],3)</f>
        <v>#VALUE!</v>
      </c>
      <c r="E137" t="e">
        <f>VLOOKUP(Table8[[#This Row],[MLEO_ID]],Table3[#All],4)</f>
        <v>#VALUE!</v>
      </c>
      <c r="F137" t="e">
        <f>VLOOKUP(Table8[[#This Row],[MLEO_ID]],Table3[#All],5)</f>
        <v>#VALUE!</v>
      </c>
      <c r="G137" t="e">
        <f>VLOOKUP(Table8[[#This Row],[MLEO_ID]],Table3[#All],3)</f>
        <v>#VALUE!</v>
      </c>
      <c r="H137" t="e">
        <f>VLOOKUP(Table8[[#This Row],[MLEO_ID]],Table3[#All],2)</f>
        <v>#VALUE!</v>
      </c>
      <c r="I137" t="e">
        <f>VLOOKUP(Table8[[#This Row],[LEO]],Table1[#All],2)</f>
        <v>#VALUE!</v>
      </c>
      <c r="J137" t="e">
        <f>VLOOKUP(Table8[[#This Row],[LEO]],Table1[#All],5)</f>
        <v>#VALUE!</v>
      </c>
      <c r="K137" t="e">
        <f>VLOOKUP(Table8[[#This Row],[LEO]],Table1[#All],3)</f>
        <v>#VALUE!</v>
      </c>
      <c r="L137" s="19" t="e">
        <f>VLOOKUP(Table8[[#This Row],[ME_ID]],Table4[#All],8)</f>
        <v>#VALUE!</v>
      </c>
    </row>
    <row r="138" spans="1:12" x14ac:dyDescent="0.2">
      <c r="A138" t="e">
        <f>Table4[[#This Row],[ID]]</f>
        <v>#VALUE!</v>
      </c>
      <c r="B138" t="e">
        <f>VLOOKUP(Table8[[#This Row],[ME_ID]],Table4[#All],2)</f>
        <v>#VALUE!</v>
      </c>
      <c r="C138" t="e">
        <f>VLOOKUP(Table8[[#This Row],[ME_ID]],Table4[#All],4)</f>
        <v>#VALUE!</v>
      </c>
      <c r="D138" t="e">
        <f>VLOOKUP(Table8[[#This Row],[ME_ID]],Table4[#All],3)</f>
        <v>#VALUE!</v>
      </c>
      <c r="E138" t="e">
        <f>VLOOKUP(Table8[[#This Row],[MLEO_ID]],Table3[#All],4)</f>
        <v>#VALUE!</v>
      </c>
      <c r="F138" t="e">
        <f>VLOOKUP(Table8[[#This Row],[MLEO_ID]],Table3[#All],5)</f>
        <v>#VALUE!</v>
      </c>
      <c r="G138" t="e">
        <f>VLOOKUP(Table8[[#This Row],[MLEO_ID]],Table3[#All],3)</f>
        <v>#VALUE!</v>
      </c>
      <c r="H138" t="e">
        <f>VLOOKUP(Table8[[#This Row],[MLEO_ID]],Table3[#All],2)</f>
        <v>#VALUE!</v>
      </c>
      <c r="I138" t="e">
        <f>VLOOKUP(Table8[[#This Row],[LEO]],Table1[#All],2)</f>
        <v>#VALUE!</v>
      </c>
      <c r="J138" t="e">
        <f>VLOOKUP(Table8[[#This Row],[LEO]],Table1[#All],5)</f>
        <v>#VALUE!</v>
      </c>
      <c r="K138" t="e">
        <f>VLOOKUP(Table8[[#This Row],[LEO]],Table1[#All],3)</f>
        <v>#VALUE!</v>
      </c>
      <c r="L138" s="19" t="e">
        <f>VLOOKUP(Table8[[#This Row],[ME_ID]],Table4[#All],8)</f>
        <v>#VALUE!</v>
      </c>
    </row>
    <row r="139" spans="1:12" x14ac:dyDescent="0.2">
      <c r="A139" t="e">
        <f>Table4[[#This Row],[ID]]</f>
        <v>#VALUE!</v>
      </c>
      <c r="B139" t="e">
        <f>VLOOKUP(Table8[[#This Row],[ME_ID]],Table4[#All],2)</f>
        <v>#VALUE!</v>
      </c>
      <c r="C139" t="e">
        <f>VLOOKUP(Table8[[#This Row],[ME_ID]],Table4[#All],4)</f>
        <v>#VALUE!</v>
      </c>
      <c r="D139" t="e">
        <f>VLOOKUP(Table8[[#This Row],[ME_ID]],Table4[#All],3)</f>
        <v>#VALUE!</v>
      </c>
      <c r="E139" t="e">
        <f>VLOOKUP(Table8[[#This Row],[MLEO_ID]],Table3[#All],4)</f>
        <v>#VALUE!</v>
      </c>
      <c r="F139" t="e">
        <f>VLOOKUP(Table8[[#This Row],[MLEO_ID]],Table3[#All],5)</f>
        <v>#VALUE!</v>
      </c>
      <c r="G139" t="e">
        <f>VLOOKUP(Table8[[#This Row],[MLEO_ID]],Table3[#All],3)</f>
        <v>#VALUE!</v>
      </c>
      <c r="H139" t="e">
        <f>VLOOKUP(Table8[[#This Row],[MLEO_ID]],Table3[#All],2)</f>
        <v>#VALUE!</v>
      </c>
      <c r="I139" t="e">
        <f>VLOOKUP(Table8[[#This Row],[LEO]],Table1[#All],2)</f>
        <v>#VALUE!</v>
      </c>
      <c r="J139" t="e">
        <f>VLOOKUP(Table8[[#This Row],[LEO]],Table1[#All],5)</f>
        <v>#VALUE!</v>
      </c>
      <c r="K139" t="e">
        <f>VLOOKUP(Table8[[#This Row],[LEO]],Table1[#All],3)</f>
        <v>#VALUE!</v>
      </c>
      <c r="L139" s="19" t="e">
        <f>VLOOKUP(Table8[[#This Row],[ME_ID]],Table4[#All],8)</f>
        <v>#VALUE!</v>
      </c>
    </row>
    <row r="140" spans="1:12" x14ac:dyDescent="0.2">
      <c r="A140" t="e">
        <f>Table4[[#This Row],[ID]]</f>
        <v>#VALUE!</v>
      </c>
      <c r="B140" t="e">
        <f>VLOOKUP(Table8[[#This Row],[ME_ID]],Table4[#All],2)</f>
        <v>#VALUE!</v>
      </c>
      <c r="C140" t="e">
        <f>VLOOKUP(Table8[[#This Row],[ME_ID]],Table4[#All],4)</f>
        <v>#VALUE!</v>
      </c>
      <c r="D140" t="e">
        <f>VLOOKUP(Table8[[#This Row],[ME_ID]],Table4[#All],3)</f>
        <v>#VALUE!</v>
      </c>
      <c r="E140" t="e">
        <f>VLOOKUP(Table8[[#This Row],[MLEO_ID]],Table3[#All],4)</f>
        <v>#VALUE!</v>
      </c>
      <c r="F140" t="e">
        <f>VLOOKUP(Table8[[#This Row],[MLEO_ID]],Table3[#All],5)</f>
        <v>#VALUE!</v>
      </c>
      <c r="G140" t="e">
        <f>VLOOKUP(Table8[[#This Row],[MLEO_ID]],Table3[#All],3)</f>
        <v>#VALUE!</v>
      </c>
      <c r="H140" t="e">
        <f>VLOOKUP(Table8[[#This Row],[MLEO_ID]],Table3[#All],2)</f>
        <v>#VALUE!</v>
      </c>
      <c r="I140" t="e">
        <f>VLOOKUP(Table8[[#This Row],[LEO]],Table1[#All],2)</f>
        <v>#VALUE!</v>
      </c>
      <c r="J140" t="e">
        <f>VLOOKUP(Table8[[#This Row],[LEO]],Table1[#All],5)</f>
        <v>#VALUE!</v>
      </c>
      <c r="K140" t="e">
        <f>VLOOKUP(Table8[[#This Row],[LEO]],Table1[#All],3)</f>
        <v>#VALUE!</v>
      </c>
      <c r="L140" s="19" t="e">
        <f>VLOOKUP(Table8[[#This Row],[ME_ID]],Table4[#All],8)</f>
        <v>#VALUE!</v>
      </c>
    </row>
    <row r="141" spans="1:12" x14ac:dyDescent="0.2">
      <c r="A141" t="e">
        <f>Table4[[#This Row],[ID]]</f>
        <v>#VALUE!</v>
      </c>
      <c r="B141" t="e">
        <f>VLOOKUP(Table8[[#This Row],[ME_ID]],Table4[#All],2)</f>
        <v>#VALUE!</v>
      </c>
      <c r="C141" t="e">
        <f>VLOOKUP(Table8[[#This Row],[ME_ID]],Table4[#All],4)</f>
        <v>#VALUE!</v>
      </c>
      <c r="D141" t="e">
        <f>VLOOKUP(Table8[[#This Row],[ME_ID]],Table4[#All],3)</f>
        <v>#VALUE!</v>
      </c>
      <c r="E141" t="e">
        <f>VLOOKUP(Table8[[#This Row],[MLEO_ID]],Table3[#All],4)</f>
        <v>#VALUE!</v>
      </c>
      <c r="F141" t="e">
        <f>VLOOKUP(Table8[[#This Row],[MLEO_ID]],Table3[#All],5)</f>
        <v>#VALUE!</v>
      </c>
      <c r="G141" t="e">
        <f>VLOOKUP(Table8[[#This Row],[MLEO_ID]],Table3[#All],3)</f>
        <v>#VALUE!</v>
      </c>
      <c r="H141" t="e">
        <f>VLOOKUP(Table8[[#This Row],[MLEO_ID]],Table3[#All],2)</f>
        <v>#VALUE!</v>
      </c>
      <c r="I141" t="e">
        <f>VLOOKUP(Table8[[#This Row],[LEO]],Table1[#All],2)</f>
        <v>#VALUE!</v>
      </c>
      <c r="J141" t="e">
        <f>VLOOKUP(Table8[[#This Row],[LEO]],Table1[#All],5)</f>
        <v>#VALUE!</v>
      </c>
      <c r="K141" t="e">
        <f>VLOOKUP(Table8[[#This Row],[LEO]],Table1[#All],3)</f>
        <v>#VALUE!</v>
      </c>
      <c r="L141" s="19" t="e">
        <f>VLOOKUP(Table8[[#This Row],[ME_ID]],Table4[#All],8)</f>
        <v>#VALUE!</v>
      </c>
    </row>
    <row r="142" spans="1:12" x14ac:dyDescent="0.2">
      <c r="A142" t="e">
        <f>Table4[[#This Row],[ID]]</f>
        <v>#VALUE!</v>
      </c>
      <c r="B142" t="e">
        <f>VLOOKUP(Table8[[#This Row],[ME_ID]],Table4[#All],2)</f>
        <v>#VALUE!</v>
      </c>
      <c r="C142" t="e">
        <f>VLOOKUP(Table8[[#This Row],[ME_ID]],Table4[#All],4)</f>
        <v>#VALUE!</v>
      </c>
      <c r="D142" t="e">
        <f>VLOOKUP(Table8[[#This Row],[ME_ID]],Table4[#All],3)</f>
        <v>#VALUE!</v>
      </c>
      <c r="E142" t="e">
        <f>VLOOKUP(Table8[[#This Row],[MLEO_ID]],Table3[#All],4)</f>
        <v>#VALUE!</v>
      </c>
      <c r="F142" t="e">
        <f>VLOOKUP(Table8[[#This Row],[MLEO_ID]],Table3[#All],5)</f>
        <v>#VALUE!</v>
      </c>
      <c r="G142" t="e">
        <f>VLOOKUP(Table8[[#This Row],[MLEO_ID]],Table3[#All],3)</f>
        <v>#VALUE!</v>
      </c>
      <c r="H142" t="e">
        <f>VLOOKUP(Table8[[#This Row],[MLEO_ID]],Table3[#All],2)</f>
        <v>#VALUE!</v>
      </c>
      <c r="I142" t="e">
        <f>VLOOKUP(Table8[[#This Row],[LEO]],Table1[#All],2)</f>
        <v>#VALUE!</v>
      </c>
      <c r="J142" t="e">
        <f>VLOOKUP(Table8[[#This Row],[LEO]],Table1[#All],5)</f>
        <v>#VALUE!</v>
      </c>
      <c r="K142" t="e">
        <f>VLOOKUP(Table8[[#This Row],[LEO]],Table1[#All],3)</f>
        <v>#VALUE!</v>
      </c>
      <c r="L142" s="19" t="e">
        <f>VLOOKUP(Table8[[#This Row],[ME_ID]],Table4[#All],8)</f>
        <v>#VALUE!</v>
      </c>
    </row>
    <row r="143" spans="1:12" x14ac:dyDescent="0.2">
      <c r="A143" t="e">
        <f>Table4[[#This Row],[ID]]</f>
        <v>#VALUE!</v>
      </c>
      <c r="B143" t="e">
        <f>VLOOKUP(Table8[[#This Row],[ME_ID]],Table4[#All],2)</f>
        <v>#VALUE!</v>
      </c>
      <c r="C143" t="e">
        <f>VLOOKUP(Table8[[#This Row],[ME_ID]],Table4[#All],4)</f>
        <v>#VALUE!</v>
      </c>
      <c r="D143" t="e">
        <f>VLOOKUP(Table8[[#This Row],[ME_ID]],Table4[#All],3)</f>
        <v>#VALUE!</v>
      </c>
      <c r="E143" t="e">
        <f>VLOOKUP(Table8[[#This Row],[MLEO_ID]],Table3[#All],4)</f>
        <v>#VALUE!</v>
      </c>
      <c r="F143" t="e">
        <f>VLOOKUP(Table8[[#This Row],[MLEO_ID]],Table3[#All],5)</f>
        <v>#VALUE!</v>
      </c>
      <c r="G143" t="e">
        <f>VLOOKUP(Table8[[#This Row],[MLEO_ID]],Table3[#All],3)</f>
        <v>#VALUE!</v>
      </c>
      <c r="H143" t="e">
        <f>VLOOKUP(Table8[[#This Row],[MLEO_ID]],Table3[#All],2)</f>
        <v>#VALUE!</v>
      </c>
      <c r="I143" t="e">
        <f>VLOOKUP(Table8[[#This Row],[LEO]],Table1[#All],2)</f>
        <v>#VALUE!</v>
      </c>
      <c r="J143" t="e">
        <f>VLOOKUP(Table8[[#This Row],[LEO]],Table1[#All],5)</f>
        <v>#VALUE!</v>
      </c>
      <c r="K143" t="e">
        <f>VLOOKUP(Table8[[#This Row],[LEO]],Table1[#All],3)</f>
        <v>#VALUE!</v>
      </c>
      <c r="L143" s="19" t="e">
        <f>VLOOKUP(Table8[[#This Row],[ME_ID]],Table4[#All],8)</f>
        <v>#VALUE!</v>
      </c>
    </row>
    <row r="144" spans="1:12" x14ac:dyDescent="0.2">
      <c r="A144" t="e">
        <f>Table4[[#This Row],[ID]]</f>
        <v>#VALUE!</v>
      </c>
      <c r="B144" t="e">
        <f>VLOOKUP(Table8[[#This Row],[ME_ID]],Table4[#All],2)</f>
        <v>#VALUE!</v>
      </c>
      <c r="C144" t="e">
        <f>VLOOKUP(Table8[[#This Row],[ME_ID]],Table4[#All],4)</f>
        <v>#VALUE!</v>
      </c>
      <c r="D144" t="e">
        <f>VLOOKUP(Table8[[#This Row],[ME_ID]],Table4[#All],3)</f>
        <v>#VALUE!</v>
      </c>
      <c r="E144" t="e">
        <f>VLOOKUP(Table8[[#This Row],[MLEO_ID]],Table3[#All],4)</f>
        <v>#VALUE!</v>
      </c>
      <c r="F144" t="e">
        <f>VLOOKUP(Table8[[#This Row],[MLEO_ID]],Table3[#All],5)</f>
        <v>#VALUE!</v>
      </c>
      <c r="G144" t="e">
        <f>VLOOKUP(Table8[[#This Row],[MLEO_ID]],Table3[#All],3)</f>
        <v>#VALUE!</v>
      </c>
      <c r="H144" t="e">
        <f>VLOOKUP(Table8[[#This Row],[MLEO_ID]],Table3[#All],2)</f>
        <v>#VALUE!</v>
      </c>
      <c r="I144" t="e">
        <f>VLOOKUP(Table8[[#This Row],[LEO]],Table1[#All],2)</f>
        <v>#VALUE!</v>
      </c>
      <c r="J144" t="e">
        <f>VLOOKUP(Table8[[#This Row],[LEO]],Table1[#All],5)</f>
        <v>#VALUE!</v>
      </c>
      <c r="K144" t="e">
        <f>VLOOKUP(Table8[[#This Row],[LEO]],Table1[#All],3)</f>
        <v>#VALUE!</v>
      </c>
      <c r="L144" s="19" t="e">
        <f>VLOOKUP(Table8[[#This Row],[ME_ID]],Table4[#All],8)</f>
        <v>#VALUE!</v>
      </c>
    </row>
    <row r="145" spans="1:12" x14ac:dyDescent="0.2">
      <c r="A145" t="e">
        <f>Table4[[#This Row],[ID]]</f>
        <v>#VALUE!</v>
      </c>
      <c r="B145" t="e">
        <f>VLOOKUP(Table8[[#This Row],[ME_ID]],Table4[#All],2)</f>
        <v>#VALUE!</v>
      </c>
      <c r="C145" t="e">
        <f>VLOOKUP(Table8[[#This Row],[ME_ID]],Table4[#All],4)</f>
        <v>#VALUE!</v>
      </c>
      <c r="D145" t="e">
        <f>VLOOKUP(Table8[[#This Row],[ME_ID]],Table4[#All],3)</f>
        <v>#VALUE!</v>
      </c>
      <c r="E145" t="e">
        <f>VLOOKUP(Table8[[#This Row],[MLEO_ID]],Table3[#All],4)</f>
        <v>#VALUE!</v>
      </c>
      <c r="F145" t="e">
        <f>VLOOKUP(Table8[[#This Row],[MLEO_ID]],Table3[#All],5)</f>
        <v>#VALUE!</v>
      </c>
      <c r="G145" t="e">
        <f>VLOOKUP(Table8[[#This Row],[MLEO_ID]],Table3[#All],3)</f>
        <v>#VALUE!</v>
      </c>
      <c r="H145" t="e">
        <f>VLOOKUP(Table8[[#This Row],[MLEO_ID]],Table3[#All],2)</f>
        <v>#VALUE!</v>
      </c>
      <c r="I145" t="e">
        <f>VLOOKUP(Table8[[#This Row],[LEO]],Table1[#All],2)</f>
        <v>#VALUE!</v>
      </c>
      <c r="J145" t="e">
        <f>VLOOKUP(Table8[[#This Row],[LEO]],Table1[#All],5)</f>
        <v>#VALUE!</v>
      </c>
      <c r="K145" t="e">
        <f>VLOOKUP(Table8[[#This Row],[LEO]],Table1[#All],3)</f>
        <v>#VALUE!</v>
      </c>
      <c r="L145" s="19" t="e">
        <f>VLOOKUP(Table8[[#This Row],[ME_ID]],Table4[#All],8)</f>
        <v>#VALUE!</v>
      </c>
    </row>
    <row r="146" spans="1:12" x14ac:dyDescent="0.2">
      <c r="A146" t="e">
        <f>Table4[[#This Row],[ID]]</f>
        <v>#VALUE!</v>
      </c>
      <c r="B146" t="e">
        <f>VLOOKUP(Table8[[#This Row],[ME_ID]],Table4[#All],2)</f>
        <v>#VALUE!</v>
      </c>
      <c r="C146" t="e">
        <f>VLOOKUP(Table8[[#This Row],[ME_ID]],Table4[#All],4)</f>
        <v>#VALUE!</v>
      </c>
      <c r="D146" t="e">
        <f>VLOOKUP(Table8[[#This Row],[ME_ID]],Table4[#All],3)</f>
        <v>#VALUE!</v>
      </c>
      <c r="E146" t="e">
        <f>VLOOKUP(Table8[[#This Row],[MLEO_ID]],Table3[#All],4)</f>
        <v>#VALUE!</v>
      </c>
      <c r="F146" t="e">
        <f>VLOOKUP(Table8[[#This Row],[MLEO_ID]],Table3[#All],5)</f>
        <v>#VALUE!</v>
      </c>
      <c r="G146" t="e">
        <f>VLOOKUP(Table8[[#This Row],[MLEO_ID]],Table3[#All],3)</f>
        <v>#VALUE!</v>
      </c>
      <c r="H146" t="e">
        <f>VLOOKUP(Table8[[#This Row],[MLEO_ID]],Table3[#All],2)</f>
        <v>#VALUE!</v>
      </c>
      <c r="I146" t="e">
        <f>VLOOKUP(Table8[[#This Row],[LEO]],Table1[#All],2)</f>
        <v>#VALUE!</v>
      </c>
      <c r="J146" t="e">
        <f>VLOOKUP(Table8[[#This Row],[LEO]],Table1[#All],5)</f>
        <v>#VALUE!</v>
      </c>
      <c r="K146" t="e">
        <f>VLOOKUP(Table8[[#This Row],[LEO]],Table1[#All],3)</f>
        <v>#VALUE!</v>
      </c>
      <c r="L146" s="19" t="e">
        <f>VLOOKUP(Table8[[#This Row],[ME_ID]],Table4[#All],8)</f>
        <v>#VALUE!</v>
      </c>
    </row>
    <row r="147" spans="1:12" x14ac:dyDescent="0.2">
      <c r="A147" t="e">
        <f>Table4[[#This Row],[ID]]</f>
        <v>#VALUE!</v>
      </c>
      <c r="B147" t="e">
        <f>VLOOKUP(Table8[[#This Row],[ME_ID]],Table4[#All],2)</f>
        <v>#VALUE!</v>
      </c>
      <c r="C147" t="e">
        <f>VLOOKUP(Table8[[#This Row],[ME_ID]],Table4[#All],4)</f>
        <v>#VALUE!</v>
      </c>
      <c r="D147" t="e">
        <f>VLOOKUP(Table8[[#This Row],[ME_ID]],Table4[#All],3)</f>
        <v>#VALUE!</v>
      </c>
      <c r="E147" t="e">
        <f>VLOOKUP(Table8[[#This Row],[MLEO_ID]],Table3[#All],4)</f>
        <v>#VALUE!</v>
      </c>
      <c r="F147" t="e">
        <f>VLOOKUP(Table8[[#This Row],[MLEO_ID]],Table3[#All],5)</f>
        <v>#VALUE!</v>
      </c>
      <c r="G147" t="e">
        <f>VLOOKUP(Table8[[#This Row],[MLEO_ID]],Table3[#All],3)</f>
        <v>#VALUE!</v>
      </c>
      <c r="H147" t="e">
        <f>VLOOKUP(Table8[[#This Row],[MLEO_ID]],Table3[#All],2)</f>
        <v>#VALUE!</v>
      </c>
      <c r="I147" t="e">
        <f>VLOOKUP(Table8[[#This Row],[LEO]],Table1[#All],2)</f>
        <v>#VALUE!</v>
      </c>
      <c r="J147" t="e">
        <f>VLOOKUP(Table8[[#This Row],[LEO]],Table1[#All],5)</f>
        <v>#VALUE!</v>
      </c>
      <c r="K147" t="e">
        <f>VLOOKUP(Table8[[#This Row],[LEO]],Table1[#All],3)</f>
        <v>#VALUE!</v>
      </c>
      <c r="L147" s="19" t="e">
        <f>VLOOKUP(Table8[[#This Row],[ME_ID]],Table4[#All],8)</f>
        <v>#VALUE!</v>
      </c>
    </row>
    <row r="148" spans="1:12" x14ac:dyDescent="0.2">
      <c r="A148" t="e">
        <f>Table4[[#This Row],[ID]]</f>
        <v>#VALUE!</v>
      </c>
      <c r="B148" t="e">
        <f>VLOOKUP(Table8[[#This Row],[ME_ID]],Table4[#All],2)</f>
        <v>#VALUE!</v>
      </c>
      <c r="C148" t="e">
        <f>VLOOKUP(Table8[[#This Row],[ME_ID]],Table4[#All],4)</f>
        <v>#VALUE!</v>
      </c>
      <c r="D148" t="e">
        <f>VLOOKUP(Table8[[#This Row],[ME_ID]],Table4[#All],3)</f>
        <v>#VALUE!</v>
      </c>
      <c r="E148" t="e">
        <f>VLOOKUP(Table8[[#This Row],[MLEO_ID]],Table3[#All],4)</f>
        <v>#VALUE!</v>
      </c>
      <c r="F148" t="e">
        <f>VLOOKUP(Table8[[#This Row],[MLEO_ID]],Table3[#All],5)</f>
        <v>#VALUE!</v>
      </c>
      <c r="G148" t="e">
        <f>VLOOKUP(Table8[[#This Row],[MLEO_ID]],Table3[#All],3)</f>
        <v>#VALUE!</v>
      </c>
      <c r="H148" t="e">
        <f>VLOOKUP(Table8[[#This Row],[MLEO_ID]],Table3[#All],2)</f>
        <v>#VALUE!</v>
      </c>
      <c r="I148" t="e">
        <f>VLOOKUP(Table8[[#This Row],[LEO]],Table1[#All],2)</f>
        <v>#VALUE!</v>
      </c>
      <c r="J148" t="e">
        <f>VLOOKUP(Table8[[#This Row],[LEO]],Table1[#All],5)</f>
        <v>#VALUE!</v>
      </c>
      <c r="K148" t="e">
        <f>VLOOKUP(Table8[[#This Row],[LEO]],Table1[#All],3)</f>
        <v>#VALUE!</v>
      </c>
      <c r="L148" s="19" t="e">
        <f>VLOOKUP(Table8[[#This Row],[ME_ID]],Table4[#All],8)</f>
        <v>#VALUE!</v>
      </c>
    </row>
    <row r="149" spans="1:12" x14ac:dyDescent="0.2">
      <c r="A149" t="e">
        <f>Table4[[#This Row],[ID]]</f>
        <v>#VALUE!</v>
      </c>
      <c r="B149" t="e">
        <f>VLOOKUP(Table8[[#This Row],[ME_ID]],Table4[#All],2)</f>
        <v>#VALUE!</v>
      </c>
      <c r="C149" t="e">
        <f>VLOOKUP(Table8[[#This Row],[ME_ID]],Table4[#All],4)</f>
        <v>#VALUE!</v>
      </c>
      <c r="D149" t="e">
        <f>VLOOKUP(Table8[[#This Row],[ME_ID]],Table4[#All],3)</f>
        <v>#VALUE!</v>
      </c>
      <c r="E149" t="e">
        <f>VLOOKUP(Table8[[#This Row],[MLEO_ID]],Table3[#All],4)</f>
        <v>#VALUE!</v>
      </c>
      <c r="F149" t="e">
        <f>VLOOKUP(Table8[[#This Row],[MLEO_ID]],Table3[#All],5)</f>
        <v>#VALUE!</v>
      </c>
      <c r="G149" t="e">
        <f>VLOOKUP(Table8[[#This Row],[MLEO_ID]],Table3[#All],3)</f>
        <v>#VALUE!</v>
      </c>
      <c r="H149" t="e">
        <f>VLOOKUP(Table8[[#This Row],[MLEO_ID]],Table3[#All],2)</f>
        <v>#VALUE!</v>
      </c>
      <c r="I149" t="e">
        <f>VLOOKUP(Table8[[#This Row],[LEO]],Table1[#All],2)</f>
        <v>#VALUE!</v>
      </c>
      <c r="J149" t="e">
        <f>VLOOKUP(Table8[[#This Row],[LEO]],Table1[#All],5)</f>
        <v>#VALUE!</v>
      </c>
      <c r="K149" t="e">
        <f>VLOOKUP(Table8[[#This Row],[LEO]],Table1[#All],3)</f>
        <v>#VALUE!</v>
      </c>
      <c r="L149" s="19" t="e">
        <f>VLOOKUP(Table8[[#This Row],[ME_ID]],Table4[#All],8)</f>
        <v>#VALUE!</v>
      </c>
    </row>
    <row r="150" spans="1:12" x14ac:dyDescent="0.2">
      <c r="A150" t="e">
        <f>Table4[[#This Row],[ID]]</f>
        <v>#VALUE!</v>
      </c>
      <c r="B150" t="e">
        <f>VLOOKUP(Table8[[#This Row],[ME_ID]],Table4[#All],2)</f>
        <v>#VALUE!</v>
      </c>
      <c r="C150" t="e">
        <f>VLOOKUP(Table8[[#This Row],[ME_ID]],Table4[#All],4)</f>
        <v>#VALUE!</v>
      </c>
      <c r="D150" t="e">
        <f>VLOOKUP(Table8[[#This Row],[ME_ID]],Table4[#All],3)</f>
        <v>#VALUE!</v>
      </c>
      <c r="E150" t="e">
        <f>VLOOKUP(Table8[[#This Row],[MLEO_ID]],Table3[#All],4)</f>
        <v>#VALUE!</v>
      </c>
      <c r="F150" t="e">
        <f>VLOOKUP(Table8[[#This Row],[MLEO_ID]],Table3[#All],5)</f>
        <v>#VALUE!</v>
      </c>
      <c r="G150" t="e">
        <f>VLOOKUP(Table8[[#This Row],[MLEO_ID]],Table3[#All],3)</f>
        <v>#VALUE!</v>
      </c>
      <c r="H150" t="e">
        <f>VLOOKUP(Table8[[#This Row],[MLEO_ID]],Table3[#All],2)</f>
        <v>#VALUE!</v>
      </c>
      <c r="I150" t="e">
        <f>VLOOKUP(Table8[[#This Row],[LEO]],Table1[#All],2)</f>
        <v>#VALUE!</v>
      </c>
      <c r="J150" t="e">
        <f>VLOOKUP(Table8[[#This Row],[LEO]],Table1[#All],5)</f>
        <v>#VALUE!</v>
      </c>
      <c r="K150" t="e">
        <f>VLOOKUP(Table8[[#This Row],[LEO]],Table1[#All],3)</f>
        <v>#VALUE!</v>
      </c>
      <c r="L150" s="19" t="e">
        <f>VLOOKUP(Table8[[#This Row],[ME_ID]],Table4[#All],8)</f>
        <v>#VALUE!</v>
      </c>
    </row>
    <row r="151" spans="1:12" x14ac:dyDescent="0.2">
      <c r="A151" t="e">
        <f>Table4[[#This Row],[ID]]</f>
        <v>#VALUE!</v>
      </c>
      <c r="B151" t="e">
        <f>VLOOKUP(Table8[[#This Row],[ME_ID]],Table4[#All],2)</f>
        <v>#VALUE!</v>
      </c>
      <c r="C151" t="e">
        <f>VLOOKUP(Table8[[#This Row],[ME_ID]],Table4[#All],4)</f>
        <v>#VALUE!</v>
      </c>
      <c r="D151" t="e">
        <f>VLOOKUP(Table8[[#This Row],[ME_ID]],Table4[#All],3)</f>
        <v>#VALUE!</v>
      </c>
      <c r="E151" t="e">
        <f>VLOOKUP(Table8[[#This Row],[MLEO_ID]],Table3[#All],4)</f>
        <v>#VALUE!</v>
      </c>
      <c r="F151" t="e">
        <f>VLOOKUP(Table8[[#This Row],[MLEO_ID]],Table3[#All],5)</f>
        <v>#VALUE!</v>
      </c>
      <c r="G151" t="e">
        <f>VLOOKUP(Table8[[#This Row],[MLEO_ID]],Table3[#All],3)</f>
        <v>#VALUE!</v>
      </c>
      <c r="H151" t="e">
        <f>VLOOKUP(Table8[[#This Row],[MLEO_ID]],Table3[#All],2)</f>
        <v>#VALUE!</v>
      </c>
      <c r="I151" t="e">
        <f>VLOOKUP(Table8[[#This Row],[LEO]],Table1[#All],2)</f>
        <v>#VALUE!</v>
      </c>
      <c r="J151" t="e">
        <f>VLOOKUP(Table8[[#This Row],[LEO]],Table1[#All],5)</f>
        <v>#VALUE!</v>
      </c>
      <c r="K151" t="e">
        <f>VLOOKUP(Table8[[#This Row],[LEO]],Table1[#All],3)</f>
        <v>#VALUE!</v>
      </c>
      <c r="L151" s="19" t="e">
        <f>VLOOKUP(Table8[[#This Row],[ME_ID]],Table4[#All],8)</f>
        <v>#VALUE!</v>
      </c>
    </row>
    <row r="152" spans="1:12" x14ac:dyDescent="0.2">
      <c r="A152" t="e">
        <f>Table4[[#This Row],[ID]]</f>
        <v>#VALUE!</v>
      </c>
      <c r="B152" t="e">
        <f>VLOOKUP(Table8[[#This Row],[ME_ID]],Table4[#All],2)</f>
        <v>#VALUE!</v>
      </c>
      <c r="C152" t="e">
        <f>VLOOKUP(Table8[[#This Row],[ME_ID]],Table4[#All],4)</f>
        <v>#VALUE!</v>
      </c>
      <c r="D152" t="e">
        <f>VLOOKUP(Table8[[#This Row],[ME_ID]],Table4[#All],3)</f>
        <v>#VALUE!</v>
      </c>
      <c r="E152" t="e">
        <f>VLOOKUP(Table8[[#This Row],[MLEO_ID]],Table3[#All],4)</f>
        <v>#VALUE!</v>
      </c>
      <c r="F152" t="e">
        <f>VLOOKUP(Table8[[#This Row],[MLEO_ID]],Table3[#All],5)</f>
        <v>#VALUE!</v>
      </c>
      <c r="G152" t="e">
        <f>VLOOKUP(Table8[[#This Row],[MLEO_ID]],Table3[#All],3)</f>
        <v>#VALUE!</v>
      </c>
      <c r="H152" t="e">
        <f>VLOOKUP(Table8[[#This Row],[MLEO_ID]],Table3[#All],2)</f>
        <v>#VALUE!</v>
      </c>
      <c r="I152" t="e">
        <f>VLOOKUP(Table8[[#This Row],[LEO]],Table1[#All],2)</f>
        <v>#VALUE!</v>
      </c>
      <c r="J152" t="e">
        <f>VLOOKUP(Table8[[#This Row],[LEO]],Table1[#All],5)</f>
        <v>#VALUE!</v>
      </c>
      <c r="K152" t="e">
        <f>VLOOKUP(Table8[[#This Row],[LEO]],Table1[#All],3)</f>
        <v>#VALUE!</v>
      </c>
      <c r="L152" s="19" t="e">
        <f>VLOOKUP(Table8[[#This Row],[ME_ID]],Table4[#All],8)</f>
        <v>#VALUE!</v>
      </c>
    </row>
    <row r="153" spans="1:12" x14ac:dyDescent="0.2">
      <c r="A153" t="e">
        <f>Table4[[#This Row],[ID]]</f>
        <v>#VALUE!</v>
      </c>
      <c r="B153" t="e">
        <f>VLOOKUP(Table8[[#This Row],[ME_ID]],Table4[#All],2)</f>
        <v>#VALUE!</v>
      </c>
      <c r="C153" t="e">
        <f>VLOOKUP(Table8[[#This Row],[ME_ID]],Table4[#All],4)</f>
        <v>#VALUE!</v>
      </c>
      <c r="D153" t="e">
        <f>VLOOKUP(Table8[[#This Row],[ME_ID]],Table4[#All],3)</f>
        <v>#VALUE!</v>
      </c>
      <c r="E153" t="e">
        <f>VLOOKUP(Table8[[#This Row],[MLEO_ID]],Table3[#All],4)</f>
        <v>#VALUE!</v>
      </c>
      <c r="F153" t="e">
        <f>VLOOKUP(Table8[[#This Row],[MLEO_ID]],Table3[#All],5)</f>
        <v>#VALUE!</v>
      </c>
      <c r="G153" t="e">
        <f>VLOOKUP(Table8[[#This Row],[MLEO_ID]],Table3[#All],3)</f>
        <v>#VALUE!</v>
      </c>
      <c r="H153" t="e">
        <f>VLOOKUP(Table8[[#This Row],[MLEO_ID]],Table3[#All],2)</f>
        <v>#VALUE!</v>
      </c>
      <c r="I153" t="e">
        <f>VLOOKUP(Table8[[#This Row],[LEO]],Table1[#All],2)</f>
        <v>#VALUE!</v>
      </c>
      <c r="J153" t="e">
        <f>VLOOKUP(Table8[[#This Row],[LEO]],Table1[#All],5)</f>
        <v>#VALUE!</v>
      </c>
      <c r="K153" t="e">
        <f>VLOOKUP(Table8[[#This Row],[LEO]],Table1[#All],3)</f>
        <v>#VALUE!</v>
      </c>
      <c r="L153" s="19" t="e">
        <f>VLOOKUP(Table8[[#This Row],[ME_ID]],Table4[#All],8)</f>
        <v>#VALUE!</v>
      </c>
    </row>
    <row r="154" spans="1:12" x14ac:dyDescent="0.2">
      <c r="A154" t="e">
        <f>Table4[[#This Row],[ID]]</f>
        <v>#VALUE!</v>
      </c>
      <c r="B154" t="e">
        <f>VLOOKUP(Table8[[#This Row],[ME_ID]],Table4[#All],2)</f>
        <v>#VALUE!</v>
      </c>
      <c r="C154" t="e">
        <f>VLOOKUP(Table8[[#This Row],[ME_ID]],Table4[#All],4)</f>
        <v>#VALUE!</v>
      </c>
      <c r="D154" t="e">
        <f>VLOOKUP(Table8[[#This Row],[ME_ID]],Table4[#All],3)</f>
        <v>#VALUE!</v>
      </c>
      <c r="E154" t="e">
        <f>VLOOKUP(Table8[[#This Row],[MLEO_ID]],Table3[#All],4)</f>
        <v>#VALUE!</v>
      </c>
      <c r="F154" t="e">
        <f>VLOOKUP(Table8[[#This Row],[MLEO_ID]],Table3[#All],5)</f>
        <v>#VALUE!</v>
      </c>
      <c r="G154" t="e">
        <f>VLOOKUP(Table8[[#This Row],[MLEO_ID]],Table3[#All],3)</f>
        <v>#VALUE!</v>
      </c>
      <c r="H154" t="e">
        <f>VLOOKUP(Table8[[#This Row],[MLEO_ID]],Table3[#All],2)</f>
        <v>#VALUE!</v>
      </c>
      <c r="I154" t="e">
        <f>VLOOKUP(Table8[[#This Row],[LEO]],Table1[#All],2)</f>
        <v>#VALUE!</v>
      </c>
      <c r="J154" t="e">
        <f>VLOOKUP(Table8[[#This Row],[LEO]],Table1[#All],5)</f>
        <v>#VALUE!</v>
      </c>
      <c r="K154" t="e">
        <f>VLOOKUP(Table8[[#This Row],[LEO]],Table1[#All],3)</f>
        <v>#VALUE!</v>
      </c>
      <c r="L154" s="19" t="e">
        <f>VLOOKUP(Table8[[#This Row],[ME_ID]],Table4[#All],8)</f>
        <v>#VALUE!</v>
      </c>
    </row>
    <row r="155" spans="1:12" x14ac:dyDescent="0.2">
      <c r="A155" t="e">
        <f>Table4[[#This Row],[ID]]</f>
        <v>#VALUE!</v>
      </c>
      <c r="B155" t="e">
        <f>VLOOKUP(Table8[[#This Row],[ME_ID]],Table4[#All],2)</f>
        <v>#VALUE!</v>
      </c>
      <c r="C155" t="e">
        <f>VLOOKUP(Table8[[#This Row],[ME_ID]],Table4[#All],4)</f>
        <v>#VALUE!</v>
      </c>
      <c r="D155" t="e">
        <f>VLOOKUP(Table8[[#This Row],[ME_ID]],Table4[#All],3)</f>
        <v>#VALUE!</v>
      </c>
      <c r="E155" t="e">
        <f>VLOOKUP(Table8[[#This Row],[MLEO_ID]],Table3[#All],4)</f>
        <v>#VALUE!</v>
      </c>
      <c r="F155" t="e">
        <f>VLOOKUP(Table8[[#This Row],[MLEO_ID]],Table3[#All],5)</f>
        <v>#VALUE!</v>
      </c>
      <c r="G155" t="e">
        <f>VLOOKUP(Table8[[#This Row],[MLEO_ID]],Table3[#All],3)</f>
        <v>#VALUE!</v>
      </c>
      <c r="H155" t="e">
        <f>VLOOKUP(Table8[[#This Row],[MLEO_ID]],Table3[#All],2)</f>
        <v>#VALUE!</v>
      </c>
      <c r="I155" t="e">
        <f>VLOOKUP(Table8[[#This Row],[LEO]],Table1[#All],2)</f>
        <v>#VALUE!</v>
      </c>
      <c r="J155" t="e">
        <f>VLOOKUP(Table8[[#This Row],[LEO]],Table1[#All],5)</f>
        <v>#VALUE!</v>
      </c>
      <c r="K155" t="e">
        <f>VLOOKUP(Table8[[#This Row],[LEO]],Table1[#All],3)</f>
        <v>#VALUE!</v>
      </c>
      <c r="L155" s="19" t="e">
        <f>VLOOKUP(Table8[[#This Row],[ME_ID]],Table4[#All],8)</f>
        <v>#VALUE!</v>
      </c>
    </row>
    <row r="156" spans="1:12" x14ac:dyDescent="0.2">
      <c r="A156" t="e">
        <f>Table4[[#This Row],[ID]]</f>
        <v>#VALUE!</v>
      </c>
      <c r="B156" t="e">
        <f>VLOOKUP(Table8[[#This Row],[ME_ID]],Table4[#All],2)</f>
        <v>#VALUE!</v>
      </c>
      <c r="C156" t="e">
        <f>VLOOKUP(Table8[[#This Row],[ME_ID]],Table4[#All],4)</f>
        <v>#VALUE!</v>
      </c>
      <c r="D156" t="e">
        <f>VLOOKUP(Table8[[#This Row],[ME_ID]],Table4[#All],3)</f>
        <v>#VALUE!</v>
      </c>
      <c r="E156" t="e">
        <f>VLOOKUP(Table8[[#This Row],[MLEO_ID]],Table3[#All],4)</f>
        <v>#VALUE!</v>
      </c>
      <c r="F156" t="e">
        <f>VLOOKUP(Table8[[#This Row],[MLEO_ID]],Table3[#All],5)</f>
        <v>#VALUE!</v>
      </c>
      <c r="G156" t="e">
        <f>VLOOKUP(Table8[[#This Row],[MLEO_ID]],Table3[#All],3)</f>
        <v>#VALUE!</v>
      </c>
      <c r="H156" t="e">
        <f>VLOOKUP(Table8[[#This Row],[MLEO_ID]],Table3[#All],2)</f>
        <v>#VALUE!</v>
      </c>
      <c r="I156" t="e">
        <f>VLOOKUP(Table8[[#This Row],[LEO]],Table1[#All],2)</f>
        <v>#VALUE!</v>
      </c>
      <c r="J156" t="e">
        <f>VLOOKUP(Table8[[#This Row],[LEO]],Table1[#All],5)</f>
        <v>#VALUE!</v>
      </c>
      <c r="K156" t="e">
        <f>VLOOKUP(Table8[[#This Row],[LEO]],Table1[#All],3)</f>
        <v>#VALUE!</v>
      </c>
      <c r="L156" s="19" t="e">
        <f>VLOOKUP(Table8[[#This Row],[ME_ID]],Table4[#All],8)</f>
        <v>#VALUE!</v>
      </c>
    </row>
    <row r="157" spans="1:12" x14ac:dyDescent="0.2">
      <c r="A157" t="e">
        <f>Table4[[#This Row],[ID]]</f>
        <v>#VALUE!</v>
      </c>
      <c r="B157" t="e">
        <f>VLOOKUP(Table8[[#This Row],[ME_ID]],Table4[#All],2)</f>
        <v>#VALUE!</v>
      </c>
      <c r="C157" t="e">
        <f>VLOOKUP(Table8[[#This Row],[ME_ID]],Table4[#All],4)</f>
        <v>#VALUE!</v>
      </c>
      <c r="D157" t="e">
        <f>VLOOKUP(Table8[[#This Row],[ME_ID]],Table4[#All],3)</f>
        <v>#VALUE!</v>
      </c>
      <c r="E157" t="e">
        <f>VLOOKUP(Table8[[#This Row],[MLEO_ID]],Table3[#All],4)</f>
        <v>#VALUE!</v>
      </c>
      <c r="F157" t="e">
        <f>VLOOKUP(Table8[[#This Row],[MLEO_ID]],Table3[#All],5)</f>
        <v>#VALUE!</v>
      </c>
      <c r="G157" t="e">
        <f>VLOOKUP(Table8[[#This Row],[MLEO_ID]],Table3[#All],3)</f>
        <v>#VALUE!</v>
      </c>
      <c r="H157" t="e">
        <f>VLOOKUP(Table8[[#This Row],[MLEO_ID]],Table3[#All],2)</f>
        <v>#VALUE!</v>
      </c>
      <c r="I157" t="e">
        <f>VLOOKUP(Table8[[#This Row],[LEO]],Table1[#All],2)</f>
        <v>#VALUE!</v>
      </c>
      <c r="J157" t="e">
        <f>VLOOKUP(Table8[[#This Row],[LEO]],Table1[#All],5)</f>
        <v>#VALUE!</v>
      </c>
      <c r="K157" t="e">
        <f>VLOOKUP(Table8[[#This Row],[LEO]],Table1[#All],3)</f>
        <v>#VALUE!</v>
      </c>
      <c r="L157" s="19" t="e">
        <f>VLOOKUP(Table8[[#This Row],[ME_ID]],Table4[#All],8)</f>
        <v>#VALUE!</v>
      </c>
    </row>
    <row r="158" spans="1:12" x14ac:dyDescent="0.2">
      <c r="A158" t="e">
        <f>Table4[[#This Row],[ID]]</f>
        <v>#VALUE!</v>
      </c>
      <c r="B158" t="e">
        <f>VLOOKUP(Table8[[#This Row],[ME_ID]],Table4[#All],2)</f>
        <v>#VALUE!</v>
      </c>
      <c r="C158" t="e">
        <f>VLOOKUP(Table8[[#This Row],[ME_ID]],Table4[#All],4)</f>
        <v>#VALUE!</v>
      </c>
      <c r="D158" t="e">
        <f>VLOOKUP(Table8[[#This Row],[ME_ID]],Table4[#All],3)</f>
        <v>#VALUE!</v>
      </c>
      <c r="E158" t="e">
        <f>VLOOKUP(Table8[[#This Row],[MLEO_ID]],Table3[#All],4)</f>
        <v>#VALUE!</v>
      </c>
      <c r="F158" t="e">
        <f>VLOOKUP(Table8[[#This Row],[MLEO_ID]],Table3[#All],5)</f>
        <v>#VALUE!</v>
      </c>
      <c r="G158" t="e">
        <f>VLOOKUP(Table8[[#This Row],[MLEO_ID]],Table3[#All],3)</f>
        <v>#VALUE!</v>
      </c>
      <c r="H158" t="e">
        <f>VLOOKUP(Table8[[#This Row],[MLEO_ID]],Table3[#All],2)</f>
        <v>#VALUE!</v>
      </c>
      <c r="I158" t="e">
        <f>VLOOKUP(Table8[[#This Row],[LEO]],Table1[#All],2)</f>
        <v>#VALUE!</v>
      </c>
      <c r="J158" t="e">
        <f>VLOOKUP(Table8[[#This Row],[LEO]],Table1[#All],5)</f>
        <v>#VALUE!</v>
      </c>
      <c r="K158" t="e">
        <f>VLOOKUP(Table8[[#This Row],[LEO]],Table1[#All],3)</f>
        <v>#VALUE!</v>
      </c>
      <c r="L158" s="19" t="e">
        <f>VLOOKUP(Table8[[#This Row],[ME_ID]],Table4[#All],8)</f>
        <v>#VALUE!</v>
      </c>
    </row>
    <row r="159" spans="1:12" x14ac:dyDescent="0.2">
      <c r="A159" t="e">
        <f>Table4[[#This Row],[ID]]</f>
        <v>#VALUE!</v>
      </c>
      <c r="B159" t="e">
        <f>VLOOKUP(Table8[[#This Row],[ME_ID]],Table4[#All],2)</f>
        <v>#VALUE!</v>
      </c>
      <c r="C159" t="e">
        <f>VLOOKUP(Table8[[#This Row],[ME_ID]],Table4[#All],4)</f>
        <v>#VALUE!</v>
      </c>
      <c r="D159" t="e">
        <f>VLOOKUP(Table8[[#This Row],[ME_ID]],Table4[#All],3)</f>
        <v>#VALUE!</v>
      </c>
      <c r="E159" t="e">
        <f>VLOOKUP(Table8[[#This Row],[MLEO_ID]],Table3[#All],4)</f>
        <v>#VALUE!</v>
      </c>
      <c r="F159" t="e">
        <f>VLOOKUP(Table8[[#This Row],[MLEO_ID]],Table3[#All],5)</f>
        <v>#VALUE!</v>
      </c>
      <c r="G159" t="e">
        <f>VLOOKUP(Table8[[#This Row],[MLEO_ID]],Table3[#All],3)</f>
        <v>#VALUE!</v>
      </c>
      <c r="H159" t="e">
        <f>VLOOKUP(Table8[[#This Row],[MLEO_ID]],Table3[#All],2)</f>
        <v>#VALUE!</v>
      </c>
      <c r="I159" t="e">
        <f>VLOOKUP(Table8[[#This Row],[LEO]],Table1[#All],2)</f>
        <v>#VALUE!</v>
      </c>
      <c r="J159" t="e">
        <f>VLOOKUP(Table8[[#This Row],[LEO]],Table1[#All],5)</f>
        <v>#VALUE!</v>
      </c>
      <c r="K159" t="e">
        <f>VLOOKUP(Table8[[#This Row],[LEO]],Table1[#All],3)</f>
        <v>#VALUE!</v>
      </c>
      <c r="L159" s="19" t="e">
        <f>VLOOKUP(Table8[[#This Row],[ME_ID]],Table4[#All],8)</f>
        <v>#VALUE!</v>
      </c>
    </row>
    <row r="160" spans="1:12" x14ac:dyDescent="0.2">
      <c r="A160" t="e">
        <f>Table4[[#This Row],[ID]]</f>
        <v>#VALUE!</v>
      </c>
      <c r="B160" t="e">
        <f>VLOOKUP(Table8[[#This Row],[ME_ID]],Table4[#All],2)</f>
        <v>#VALUE!</v>
      </c>
      <c r="C160" t="e">
        <f>VLOOKUP(Table8[[#This Row],[ME_ID]],Table4[#All],4)</f>
        <v>#VALUE!</v>
      </c>
      <c r="D160" t="e">
        <f>VLOOKUP(Table8[[#This Row],[ME_ID]],Table4[#All],3)</f>
        <v>#VALUE!</v>
      </c>
      <c r="E160" t="e">
        <f>VLOOKUP(Table8[[#This Row],[MLEO_ID]],Table3[#All],4)</f>
        <v>#VALUE!</v>
      </c>
      <c r="F160" t="e">
        <f>VLOOKUP(Table8[[#This Row],[MLEO_ID]],Table3[#All],5)</f>
        <v>#VALUE!</v>
      </c>
      <c r="G160" t="e">
        <f>VLOOKUP(Table8[[#This Row],[MLEO_ID]],Table3[#All],3)</f>
        <v>#VALUE!</v>
      </c>
      <c r="H160" t="e">
        <f>VLOOKUP(Table8[[#This Row],[MLEO_ID]],Table3[#All],2)</f>
        <v>#VALUE!</v>
      </c>
      <c r="I160" t="e">
        <f>VLOOKUP(Table8[[#This Row],[LEO]],Table1[#All],2)</f>
        <v>#VALUE!</v>
      </c>
      <c r="J160" t="e">
        <f>VLOOKUP(Table8[[#This Row],[LEO]],Table1[#All],5)</f>
        <v>#VALUE!</v>
      </c>
      <c r="K160" t="e">
        <f>VLOOKUP(Table8[[#This Row],[LEO]],Table1[#All],3)</f>
        <v>#VALUE!</v>
      </c>
      <c r="L160" s="19" t="e">
        <f>VLOOKUP(Table8[[#This Row],[ME_ID]],Table4[#All],8)</f>
        <v>#VALUE!</v>
      </c>
    </row>
    <row r="161" spans="1:12" x14ac:dyDescent="0.2">
      <c r="A161" t="e">
        <f>Table4[[#This Row],[ID]]</f>
        <v>#VALUE!</v>
      </c>
      <c r="B161" t="e">
        <f>VLOOKUP(Table8[[#This Row],[ME_ID]],Table4[#All],2)</f>
        <v>#VALUE!</v>
      </c>
      <c r="C161" t="e">
        <f>VLOOKUP(Table8[[#This Row],[ME_ID]],Table4[#All],4)</f>
        <v>#VALUE!</v>
      </c>
      <c r="D161" t="e">
        <f>VLOOKUP(Table8[[#This Row],[ME_ID]],Table4[#All],3)</f>
        <v>#VALUE!</v>
      </c>
      <c r="E161" t="e">
        <f>VLOOKUP(Table8[[#This Row],[MLEO_ID]],Table3[#All],4)</f>
        <v>#VALUE!</v>
      </c>
      <c r="F161" t="e">
        <f>VLOOKUP(Table8[[#This Row],[MLEO_ID]],Table3[#All],5)</f>
        <v>#VALUE!</v>
      </c>
      <c r="G161" t="e">
        <f>VLOOKUP(Table8[[#This Row],[MLEO_ID]],Table3[#All],3)</f>
        <v>#VALUE!</v>
      </c>
      <c r="H161" t="e">
        <f>VLOOKUP(Table8[[#This Row],[MLEO_ID]],Table3[#All],2)</f>
        <v>#VALUE!</v>
      </c>
      <c r="I161" t="e">
        <f>VLOOKUP(Table8[[#This Row],[LEO]],Table1[#All],2)</f>
        <v>#VALUE!</v>
      </c>
      <c r="J161" t="e">
        <f>VLOOKUP(Table8[[#This Row],[LEO]],Table1[#All],5)</f>
        <v>#VALUE!</v>
      </c>
      <c r="K161" t="e">
        <f>VLOOKUP(Table8[[#This Row],[LEO]],Table1[#All],3)</f>
        <v>#VALUE!</v>
      </c>
      <c r="L161" s="19" t="e">
        <f>VLOOKUP(Table8[[#This Row],[ME_ID]],Table4[#All],8)</f>
        <v>#VALUE!</v>
      </c>
    </row>
    <row r="162" spans="1:12" x14ac:dyDescent="0.2">
      <c r="A162" t="e">
        <f>Table4[[#This Row],[ID]]</f>
        <v>#VALUE!</v>
      </c>
      <c r="B162" t="e">
        <f>VLOOKUP(Table8[[#This Row],[ME_ID]],Table4[#All],2)</f>
        <v>#VALUE!</v>
      </c>
      <c r="C162" t="e">
        <f>VLOOKUP(Table8[[#This Row],[ME_ID]],Table4[#All],4)</f>
        <v>#VALUE!</v>
      </c>
      <c r="D162" t="e">
        <f>VLOOKUP(Table8[[#This Row],[ME_ID]],Table4[#All],3)</f>
        <v>#VALUE!</v>
      </c>
      <c r="E162" t="e">
        <f>VLOOKUP(Table8[[#This Row],[MLEO_ID]],Table3[#All],4)</f>
        <v>#VALUE!</v>
      </c>
      <c r="F162" t="e">
        <f>VLOOKUP(Table8[[#This Row],[MLEO_ID]],Table3[#All],5)</f>
        <v>#VALUE!</v>
      </c>
      <c r="G162" t="e">
        <f>VLOOKUP(Table8[[#This Row],[MLEO_ID]],Table3[#All],3)</f>
        <v>#VALUE!</v>
      </c>
      <c r="H162" t="e">
        <f>VLOOKUP(Table8[[#This Row],[MLEO_ID]],Table3[#All],2)</f>
        <v>#VALUE!</v>
      </c>
      <c r="I162" t="e">
        <f>VLOOKUP(Table8[[#This Row],[LEO]],Table1[#All],2)</f>
        <v>#VALUE!</v>
      </c>
      <c r="J162" t="e">
        <f>VLOOKUP(Table8[[#This Row],[LEO]],Table1[#All],5)</f>
        <v>#VALUE!</v>
      </c>
      <c r="K162" t="e">
        <f>VLOOKUP(Table8[[#This Row],[LEO]],Table1[#All],3)</f>
        <v>#VALUE!</v>
      </c>
      <c r="L162" s="19" t="e">
        <f>VLOOKUP(Table8[[#This Row],[ME_ID]],Table4[#All],8)</f>
        <v>#VALUE!</v>
      </c>
    </row>
    <row r="163" spans="1:12" x14ac:dyDescent="0.2">
      <c r="A163" t="e">
        <f>Table4[[#This Row],[ID]]</f>
        <v>#VALUE!</v>
      </c>
      <c r="B163" t="e">
        <f>VLOOKUP(Table8[[#This Row],[ME_ID]],Table4[#All],2)</f>
        <v>#VALUE!</v>
      </c>
      <c r="C163" t="e">
        <f>VLOOKUP(Table8[[#This Row],[ME_ID]],Table4[#All],4)</f>
        <v>#VALUE!</v>
      </c>
      <c r="D163" t="e">
        <f>VLOOKUP(Table8[[#This Row],[ME_ID]],Table4[#All],3)</f>
        <v>#VALUE!</v>
      </c>
      <c r="E163" t="e">
        <f>VLOOKUP(Table8[[#This Row],[MLEO_ID]],Table3[#All],4)</f>
        <v>#VALUE!</v>
      </c>
      <c r="F163" t="e">
        <f>VLOOKUP(Table8[[#This Row],[MLEO_ID]],Table3[#All],5)</f>
        <v>#VALUE!</v>
      </c>
      <c r="G163" t="e">
        <f>VLOOKUP(Table8[[#This Row],[MLEO_ID]],Table3[#All],3)</f>
        <v>#VALUE!</v>
      </c>
      <c r="H163" t="e">
        <f>VLOOKUP(Table8[[#This Row],[MLEO_ID]],Table3[#All],2)</f>
        <v>#VALUE!</v>
      </c>
      <c r="I163" t="e">
        <f>VLOOKUP(Table8[[#This Row],[LEO]],Table1[#All],2)</f>
        <v>#VALUE!</v>
      </c>
      <c r="J163" t="e">
        <f>VLOOKUP(Table8[[#This Row],[LEO]],Table1[#All],5)</f>
        <v>#VALUE!</v>
      </c>
      <c r="K163" t="e">
        <f>VLOOKUP(Table8[[#This Row],[LEO]],Table1[#All],3)</f>
        <v>#VALUE!</v>
      </c>
      <c r="L163" s="19" t="e">
        <f>VLOOKUP(Table8[[#This Row],[ME_ID]],Table4[#All],8)</f>
        <v>#VALUE!</v>
      </c>
    </row>
    <row r="164" spans="1:12" x14ac:dyDescent="0.2">
      <c r="A164" t="e">
        <f>Table4[[#This Row],[ID]]</f>
        <v>#VALUE!</v>
      </c>
      <c r="B164" t="e">
        <f>VLOOKUP(Table8[[#This Row],[ME_ID]],Table4[#All],2)</f>
        <v>#VALUE!</v>
      </c>
      <c r="C164" t="e">
        <f>VLOOKUP(Table8[[#This Row],[ME_ID]],Table4[#All],4)</f>
        <v>#VALUE!</v>
      </c>
      <c r="D164" t="e">
        <f>VLOOKUP(Table8[[#This Row],[ME_ID]],Table4[#All],3)</f>
        <v>#VALUE!</v>
      </c>
      <c r="E164" t="e">
        <f>VLOOKUP(Table8[[#This Row],[MLEO_ID]],Table3[#All],4)</f>
        <v>#VALUE!</v>
      </c>
      <c r="F164" t="e">
        <f>VLOOKUP(Table8[[#This Row],[MLEO_ID]],Table3[#All],5)</f>
        <v>#VALUE!</v>
      </c>
      <c r="G164" t="e">
        <f>VLOOKUP(Table8[[#This Row],[MLEO_ID]],Table3[#All],3)</f>
        <v>#VALUE!</v>
      </c>
      <c r="H164" t="e">
        <f>VLOOKUP(Table8[[#This Row],[MLEO_ID]],Table3[#All],2)</f>
        <v>#VALUE!</v>
      </c>
      <c r="I164" t="e">
        <f>VLOOKUP(Table8[[#This Row],[LEO]],Table1[#All],2)</f>
        <v>#VALUE!</v>
      </c>
      <c r="J164" t="e">
        <f>VLOOKUP(Table8[[#This Row],[LEO]],Table1[#All],5)</f>
        <v>#VALUE!</v>
      </c>
      <c r="K164" t="e">
        <f>VLOOKUP(Table8[[#This Row],[LEO]],Table1[#All],3)</f>
        <v>#VALUE!</v>
      </c>
      <c r="L164" s="19" t="e">
        <f>VLOOKUP(Table8[[#This Row],[ME_ID]],Table4[#All],8)</f>
        <v>#VALUE!</v>
      </c>
    </row>
    <row r="165" spans="1:12" x14ac:dyDescent="0.2">
      <c r="A165" t="e">
        <f>Table4[[#This Row],[ID]]</f>
        <v>#VALUE!</v>
      </c>
      <c r="B165" t="e">
        <f>VLOOKUP(Table8[[#This Row],[ME_ID]],Table4[#All],2)</f>
        <v>#VALUE!</v>
      </c>
      <c r="C165" t="e">
        <f>VLOOKUP(Table8[[#This Row],[ME_ID]],Table4[#All],4)</f>
        <v>#VALUE!</v>
      </c>
      <c r="D165" t="e">
        <f>VLOOKUP(Table8[[#This Row],[ME_ID]],Table4[#All],3)</f>
        <v>#VALUE!</v>
      </c>
      <c r="E165" t="e">
        <f>VLOOKUP(Table8[[#This Row],[MLEO_ID]],Table3[#All],4)</f>
        <v>#VALUE!</v>
      </c>
      <c r="F165" t="e">
        <f>VLOOKUP(Table8[[#This Row],[MLEO_ID]],Table3[#All],5)</f>
        <v>#VALUE!</v>
      </c>
      <c r="G165" t="e">
        <f>VLOOKUP(Table8[[#This Row],[MLEO_ID]],Table3[#All],3)</f>
        <v>#VALUE!</v>
      </c>
      <c r="H165" t="e">
        <f>VLOOKUP(Table8[[#This Row],[MLEO_ID]],Table3[#All],2)</f>
        <v>#VALUE!</v>
      </c>
      <c r="I165" t="e">
        <f>VLOOKUP(Table8[[#This Row],[LEO]],Table1[#All],2)</f>
        <v>#VALUE!</v>
      </c>
      <c r="J165" t="e">
        <f>VLOOKUP(Table8[[#This Row],[LEO]],Table1[#All],5)</f>
        <v>#VALUE!</v>
      </c>
      <c r="K165" t="e">
        <f>VLOOKUP(Table8[[#This Row],[LEO]],Table1[#All],3)</f>
        <v>#VALUE!</v>
      </c>
      <c r="L165" s="19" t="e">
        <f>VLOOKUP(Table8[[#This Row],[ME_ID]],Table4[#All],8)</f>
        <v>#VALUE!</v>
      </c>
    </row>
    <row r="166" spans="1:12" x14ac:dyDescent="0.2">
      <c r="A166" t="e">
        <f>Table4[[#This Row],[ID]]</f>
        <v>#VALUE!</v>
      </c>
      <c r="B166" t="e">
        <f>VLOOKUP(Table8[[#This Row],[ME_ID]],Table4[#All],2)</f>
        <v>#VALUE!</v>
      </c>
      <c r="C166" t="e">
        <f>VLOOKUP(Table8[[#This Row],[ME_ID]],Table4[#All],4)</f>
        <v>#VALUE!</v>
      </c>
      <c r="D166" t="e">
        <f>VLOOKUP(Table8[[#This Row],[ME_ID]],Table4[#All],3)</f>
        <v>#VALUE!</v>
      </c>
      <c r="E166" t="e">
        <f>VLOOKUP(Table8[[#This Row],[MLEO_ID]],Table3[#All],4)</f>
        <v>#VALUE!</v>
      </c>
      <c r="F166" t="e">
        <f>VLOOKUP(Table8[[#This Row],[MLEO_ID]],Table3[#All],5)</f>
        <v>#VALUE!</v>
      </c>
      <c r="G166" t="e">
        <f>VLOOKUP(Table8[[#This Row],[MLEO_ID]],Table3[#All],3)</f>
        <v>#VALUE!</v>
      </c>
      <c r="H166" t="e">
        <f>VLOOKUP(Table8[[#This Row],[MLEO_ID]],Table3[#All],2)</f>
        <v>#VALUE!</v>
      </c>
      <c r="I166" t="e">
        <f>VLOOKUP(Table8[[#This Row],[LEO]],Table1[#All],2)</f>
        <v>#VALUE!</v>
      </c>
      <c r="J166" t="e">
        <f>VLOOKUP(Table8[[#This Row],[LEO]],Table1[#All],5)</f>
        <v>#VALUE!</v>
      </c>
      <c r="K166" t="e">
        <f>VLOOKUP(Table8[[#This Row],[LEO]],Table1[#All],3)</f>
        <v>#VALUE!</v>
      </c>
      <c r="L166" s="19" t="e">
        <f>VLOOKUP(Table8[[#This Row],[ME_ID]],Table4[#All],8)</f>
        <v>#VALUE!</v>
      </c>
    </row>
    <row r="167" spans="1:12" x14ac:dyDescent="0.2">
      <c r="A167" t="e">
        <f>Table4[[#This Row],[ID]]</f>
        <v>#VALUE!</v>
      </c>
      <c r="B167" t="e">
        <f>VLOOKUP(Table8[[#This Row],[ME_ID]],Table4[#All],2)</f>
        <v>#VALUE!</v>
      </c>
      <c r="C167" t="e">
        <f>VLOOKUP(Table8[[#This Row],[ME_ID]],Table4[#All],4)</f>
        <v>#VALUE!</v>
      </c>
      <c r="D167" t="e">
        <f>VLOOKUP(Table8[[#This Row],[ME_ID]],Table4[#All],3)</f>
        <v>#VALUE!</v>
      </c>
      <c r="E167" t="e">
        <f>VLOOKUP(Table8[[#This Row],[MLEO_ID]],Table3[#All],4)</f>
        <v>#VALUE!</v>
      </c>
      <c r="F167" t="e">
        <f>VLOOKUP(Table8[[#This Row],[MLEO_ID]],Table3[#All],5)</f>
        <v>#VALUE!</v>
      </c>
      <c r="G167" t="e">
        <f>VLOOKUP(Table8[[#This Row],[MLEO_ID]],Table3[#All],3)</f>
        <v>#VALUE!</v>
      </c>
      <c r="H167" t="e">
        <f>VLOOKUP(Table8[[#This Row],[MLEO_ID]],Table3[#All],2)</f>
        <v>#VALUE!</v>
      </c>
      <c r="I167" t="e">
        <f>VLOOKUP(Table8[[#This Row],[LEO]],Table1[#All],2)</f>
        <v>#VALUE!</v>
      </c>
      <c r="J167" t="e">
        <f>VLOOKUP(Table8[[#This Row],[LEO]],Table1[#All],5)</f>
        <v>#VALUE!</v>
      </c>
      <c r="K167" t="e">
        <f>VLOOKUP(Table8[[#This Row],[LEO]],Table1[#All],3)</f>
        <v>#VALUE!</v>
      </c>
      <c r="L167" s="19" t="e">
        <f>VLOOKUP(Table8[[#This Row],[ME_ID]],Table4[#All],8)</f>
        <v>#VALUE!</v>
      </c>
    </row>
    <row r="168" spans="1:12" x14ac:dyDescent="0.2">
      <c r="A168" t="e">
        <f>Table4[[#This Row],[ID]]</f>
        <v>#VALUE!</v>
      </c>
      <c r="B168" t="e">
        <f>VLOOKUP(Table8[[#This Row],[ME_ID]],Table4[#All],2)</f>
        <v>#VALUE!</v>
      </c>
      <c r="C168" t="e">
        <f>VLOOKUP(Table8[[#This Row],[ME_ID]],Table4[#All],4)</f>
        <v>#VALUE!</v>
      </c>
      <c r="D168" t="e">
        <f>VLOOKUP(Table8[[#This Row],[ME_ID]],Table4[#All],3)</f>
        <v>#VALUE!</v>
      </c>
      <c r="E168" t="e">
        <f>VLOOKUP(Table8[[#This Row],[MLEO_ID]],Table3[#All],4)</f>
        <v>#VALUE!</v>
      </c>
      <c r="F168" t="e">
        <f>VLOOKUP(Table8[[#This Row],[MLEO_ID]],Table3[#All],5)</f>
        <v>#VALUE!</v>
      </c>
      <c r="G168" t="e">
        <f>VLOOKUP(Table8[[#This Row],[MLEO_ID]],Table3[#All],3)</f>
        <v>#VALUE!</v>
      </c>
      <c r="H168" t="e">
        <f>VLOOKUP(Table8[[#This Row],[MLEO_ID]],Table3[#All],2)</f>
        <v>#VALUE!</v>
      </c>
      <c r="I168" t="e">
        <f>VLOOKUP(Table8[[#This Row],[LEO]],Table1[#All],2)</f>
        <v>#VALUE!</v>
      </c>
      <c r="J168" t="e">
        <f>VLOOKUP(Table8[[#This Row],[LEO]],Table1[#All],5)</f>
        <v>#VALUE!</v>
      </c>
      <c r="K168" t="e">
        <f>VLOOKUP(Table8[[#This Row],[LEO]],Table1[#All],3)</f>
        <v>#VALUE!</v>
      </c>
      <c r="L168" s="19" t="e">
        <f>VLOOKUP(Table8[[#This Row],[ME_ID]],Table4[#All],8)</f>
        <v>#VALUE!</v>
      </c>
    </row>
    <row r="169" spans="1:12" x14ac:dyDescent="0.2">
      <c r="A169" t="e">
        <f>Table4[[#This Row],[ID]]</f>
        <v>#VALUE!</v>
      </c>
      <c r="B169" t="e">
        <f>VLOOKUP(Table8[[#This Row],[ME_ID]],Table4[#All],2)</f>
        <v>#VALUE!</v>
      </c>
      <c r="C169" t="e">
        <f>VLOOKUP(Table8[[#This Row],[ME_ID]],Table4[#All],4)</f>
        <v>#VALUE!</v>
      </c>
      <c r="D169" t="e">
        <f>VLOOKUP(Table8[[#This Row],[ME_ID]],Table4[#All],3)</f>
        <v>#VALUE!</v>
      </c>
      <c r="E169" t="e">
        <f>VLOOKUP(Table8[[#This Row],[MLEO_ID]],Table3[#All],4)</f>
        <v>#VALUE!</v>
      </c>
      <c r="F169" t="e">
        <f>VLOOKUP(Table8[[#This Row],[MLEO_ID]],Table3[#All],5)</f>
        <v>#VALUE!</v>
      </c>
      <c r="G169" t="e">
        <f>VLOOKUP(Table8[[#This Row],[MLEO_ID]],Table3[#All],3)</f>
        <v>#VALUE!</v>
      </c>
      <c r="H169" t="e">
        <f>VLOOKUP(Table8[[#This Row],[MLEO_ID]],Table3[#All],2)</f>
        <v>#VALUE!</v>
      </c>
      <c r="I169" t="e">
        <f>VLOOKUP(Table8[[#This Row],[LEO]],Table1[#All],2)</f>
        <v>#VALUE!</v>
      </c>
      <c r="J169" t="e">
        <f>VLOOKUP(Table8[[#This Row],[LEO]],Table1[#All],5)</f>
        <v>#VALUE!</v>
      </c>
      <c r="K169" t="e">
        <f>VLOOKUP(Table8[[#This Row],[LEO]],Table1[#All],3)</f>
        <v>#VALUE!</v>
      </c>
      <c r="L169" s="19" t="e">
        <f>VLOOKUP(Table8[[#This Row],[ME_ID]],Table4[#All],8)</f>
        <v>#VALUE!</v>
      </c>
    </row>
    <row r="170" spans="1:12" x14ac:dyDescent="0.2">
      <c r="A170" t="e">
        <f>Table4[[#This Row],[ID]]</f>
        <v>#VALUE!</v>
      </c>
      <c r="B170" t="e">
        <f>VLOOKUP(Table8[[#This Row],[ME_ID]],Table4[#All],2)</f>
        <v>#VALUE!</v>
      </c>
      <c r="C170" t="e">
        <f>VLOOKUP(Table8[[#This Row],[ME_ID]],Table4[#All],4)</f>
        <v>#VALUE!</v>
      </c>
      <c r="D170" t="e">
        <f>VLOOKUP(Table8[[#This Row],[ME_ID]],Table4[#All],3)</f>
        <v>#VALUE!</v>
      </c>
      <c r="E170" t="e">
        <f>VLOOKUP(Table8[[#This Row],[MLEO_ID]],Table3[#All],4)</f>
        <v>#VALUE!</v>
      </c>
      <c r="F170" t="e">
        <f>VLOOKUP(Table8[[#This Row],[MLEO_ID]],Table3[#All],5)</f>
        <v>#VALUE!</v>
      </c>
      <c r="G170" t="e">
        <f>VLOOKUP(Table8[[#This Row],[MLEO_ID]],Table3[#All],3)</f>
        <v>#VALUE!</v>
      </c>
      <c r="H170" t="e">
        <f>VLOOKUP(Table8[[#This Row],[MLEO_ID]],Table3[#All],2)</f>
        <v>#VALUE!</v>
      </c>
      <c r="I170" t="e">
        <f>VLOOKUP(Table8[[#This Row],[LEO]],Table1[#All],2)</f>
        <v>#VALUE!</v>
      </c>
      <c r="J170" t="e">
        <f>VLOOKUP(Table8[[#This Row],[LEO]],Table1[#All],5)</f>
        <v>#VALUE!</v>
      </c>
      <c r="K170" t="e">
        <f>VLOOKUP(Table8[[#This Row],[LEO]],Table1[#All],3)</f>
        <v>#VALUE!</v>
      </c>
      <c r="L170" s="19" t="e">
        <f>VLOOKUP(Table8[[#This Row],[ME_ID]],Table4[#All],8)</f>
        <v>#VALUE!</v>
      </c>
    </row>
    <row r="171" spans="1:12" x14ac:dyDescent="0.2">
      <c r="A171" t="e">
        <f>Table4[[#This Row],[ID]]</f>
        <v>#VALUE!</v>
      </c>
      <c r="B171" t="e">
        <f>VLOOKUP(Table8[[#This Row],[ME_ID]],Table4[#All],2)</f>
        <v>#VALUE!</v>
      </c>
      <c r="C171" t="e">
        <f>VLOOKUP(Table8[[#This Row],[ME_ID]],Table4[#All],4)</f>
        <v>#VALUE!</v>
      </c>
      <c r="D171" t="e">
        <f>VLOOKUP(Table8[[#This Row],[ME_ID]],Table4[#All],3)</f>
        <v>#VALUE!</v>
      </c>
      <c r="E171" t="e">
        <f>VLOOKUP(Table8[[#This Row],[MLEO_ID]],Table3[#All],4)</f>
        <v>#VALUE!</v>
      </c>
      <c r="F171" t="e">
        <f>VLOOKUP(Table8[[#This Row],[MLEO_ID]],Table3[#All],5)</f>
        <v>#VALUE!</v>
      </c>
      <c r="G171" t="e">
        <f>VLOOKUP(Table8[[#This Row],[MLEO_ID]],Table3[#All],3)</f>
        <v>#VALUE!</v>
      </c>
      <c r="H171" t="e">
        <f>VLOOKUP(Table8[[#This Row],[MLEO_ID]],Table3[#All],2)</f>
        <v>#VALUE!</v>
      </c>
      <c r="I171" t="e">
        <f>VLOOKUP(Table8[[#This Row],[LEO]],Table1[#All],2)</f>
        <v>#VALUE!</v>
      </c>
      <c r="J171" t="e">
        <f>VLOOKUP(Table8[[#This Row],[LEO]],Table1[#All],5)</f>
        <v>#VALUE!</v>
      </c>
      <c r="K171" t="e">
        <f>VLOOKUP(Table8[[#This Row],[LEO]],Table1[#All],3)</f>
        <v>#VALUE!</v>
      </c>
      <c r="L171" s="19" t="e">
        <f>VLOOKUP(Table8[[#This Row],[ME_ID]],Table4[#All],8)</f>
        <v>#VALUE!</v>
      </c>
    </row>
    <row r="172" spans="1:12" x14ac:dyDescent="0.2">
      <c r="A172" t="e">
        <f>Table4[[#This Row],[ID]]</f>
        <v>#VALUE!</v>
      </c>
      <c r="B172" t="e">
        <f>VLOOKUP(Table8[[#This Row],[ME_ID]],Table4[#All],2)</f>
        <v>#VALUE!</v>
      </c>
      <c r="C172" t="e">
        <f>VLOOKUP(Table8[[#This Row],[ME_ID]],Table4[#All],4)</f>
        <v>#VALUE!</v>
      </c>
      <c r="D172" t="e">
        <f>VLOOKUP(Table8[[#This Row],[ME_ID]],Table4[#All],3)</f>
        <v>#VALUE!</v>
      </c>
      <c r="E172" t="e">
        <f>VLOOKUP(Table8[[#This Row],[MLEO_ID]],Table3[#All],4)</f>
        <v>#VALUE!</v>
      </c>
      <c r="F172" t="e">
        <f>VLOOKUP(Table8[[#This Row],[MLEO_ID]],Table3[#All],5)</f>
        <v>#VALUE!</v>
      </c>
      <c r="G172" t="e">
        <f>VLOOKUP(Table8[[#This Row],[MLEO_ID]],Table3[#All],3)</f>
        <v>#VALUE!</v>
      </c>
      <c r="H172" t="e">
        <f>VLOOKUP(Table8[[#This Row],[MLEO_ID]],Table3[#All],2)</f>
        <v>#VALUE!</v>
      </c>
      <c r="I172" t="e">
        <f>VLOOKUP(Table8[[#This Row],[LEO]],Table1[#All],2)</f>
        <v>#VALUE!</v>
      </c>
      <c r="J172" t="e">
        <f>VLOOKUP(Table8[[#This Row],[LEO]],Table1[#All],5)</f>
        <v>#VALUE!</v>
      </c>
      <c r="K172" t="e">
        <f>VLOOKUP(Table8[[#This Row],[LEO]],Table1[#All],3)</f>
        <v>#VALUE!</v>
      </c>
      <c r="L172" s="19" t="e">
        <f>VLOOKUP(Table8[[#This Row],[ME_ID]],Table4[#All],8)</f>
        <v>#VALUE!</v>
      </c>
    </row>
    <row r="173" spans="1:12" x14ac:dyDescent="0.2">
      <c r="A173" t="e">
        <f>Table4[[#This Row],[ID]]</f>
        <v>#VALUE!</v>
      </c>
      <c r="B173" t="e">
        <f>VLOOKUP(Table8[[#This Row],[ME_ID]],Table4[#All],2)</f>
        <v>#VALUE!</v>
      </c>
      <c r="C173" t="e">
        <f>VLOOKUP(Table8[[#This Row],[ME_ID]],Table4[#All],4)</f>
        <v>#VALUE!</v>
      </c>
      <c r="D173" t="e">
        <f>VLOOKUP(Table8[[#This Row],[ME_ID]],Table4[#All],3)</f>
        <v>#VALUE!</v>
      </c>
      <c r="E173" t="e">
        <f>VLOOKUP(Table8[[#This Row],[MLEO_ID]],Table3[#All],4)</f>
        <v>#VALUE!</v>
      </c>
      <c r="F173" t="e">
        <f>VLOOKUP(Table8[[#This Row],[MLEO_ID]],Table3[#All],5)</f>
        <v>#VALUE!</v>
      </c>
      <c r="G173" t="e">
        <f>VLOOKUP(Table8[[#This Row],[MLEO_ID]],Table3[#All],3)</f>
        <v>#VALUE!</v>
      </c>
      <c r="H173" t="e">
        <f>VLOOKUP(Table8[[#This Row],[MLEO_ID]],Table3[#All],2)</f>
        <v>#VALUE!</v>
      </c>
      <c r="I173" t="e">
        <f>VLOOKUP(Table8[[#This Row],[LEO]],Table1[#All],2)</f>
        <v>#VALUE!</v>
      </c>
      <c r="J173" t="e">
        <f>VLOOKUP(Table8[[#This Row],[LEO]],Table1[#All],5)</f>
        <v>#VALUE!</v>
      </c>
      <c r="K173" t="e">
        <f>VLOOKUP(Table8[[#This Row],[LEO]],Table1[#All],3)</f>
        <v>#VALUE!</v>
      </c>
      <c r="L173" s="19" t="e">
        <f>VLOOKUP(Table8[[#This Row],[ME_ID]],Table4[#All],8)</f>
        <v>#VALUE!</v>
      </c>
    </row>
    <row r="174" spans="1:12" x14ac:dyDescent="0.2">
      <c r="A174" t="e">
        <f>Table4[[#This Row],[ID]]</f>
        <v>#VALUE!</v>
      </c>
      <c r="B174" t="e">
        <f>VLOOKUP(Table8[[#This Row],[ME_ID]],Table4[#All],2)</f>
        <v>#VALUE!</v>
      </c>
      <c r="C174" t="e">
        <f>VLOOKUP(Table8[[#This Row],[ME_ID]],Table4[#All],4)</f>
        <v>#VALUE!</v>
      </c>
      <c r="D174" t="e">
        <f>VLOOKUP(Table8[[#This Row],[ME_ID]],Table4[#All],3)</f>
        <v>#VALUE!</v>
      </c>
      <c r="E174" t="e">
        <f>VLOOKUP(Table8[[#This Row],[MLEO_ID]],Table3[#All],4)</f>
        <v>#VALUE!</v>
      </c>
      <c r="F174" t="e">
        <f>VLOOKUP(Table8[[#This Row],[MLEO_ID]],Table3[#All],5)</f>
        <v>#VALUE!</v>
      </c>
      <c r="G174" t="e">
        <f>VLOOKUP(Table8[[#This Row],[MLEO_ID]],Table3[#All],3)</f>
        <v>#VALUE!</v>
      </c>
      <c r="H174" t="e">
        <f>VLOOKUP(Table8[[#This Row],[MLEO_ID]],Table3[#All],2)</f>
        <v>#VALUE!</v>
      </c>
      <c r="I174" t="e">
        <f>VLOOKUP(Table8[[#This Row],[LEO]],Table1[#All],2)</f>
        <v>#VALUE!</v>
      </c>
      <c r="J174" t="e">
        <f>VLOOKUP(Table8[[#This Row],[LEO]],Table1[#All],5)</f>
        <v>#VALUE!</v>
      </c>
      <c r="K174" t="e">
        <f>VLOOKUP(Table8[[#This Row],[LEO]],Table1[#All],3)</f>
        <v>#VALUE!</v>
      </c>
      <c r="L174" s="19" t="e">
        <f>VLOOKUP(Table8[[#This Row],[ME_ID]],Table4[#All],8)</f>
        <v>#VALUE!</v>
      </c>
    </row>
    <row r="175" spans="1:12" x14ac:dyDescent="0.2">
      <c r="A175" t="e">
        <f>Table4[[#This Row],[ID]]</f>
        <v>#VALUE!</v>
      </c>
      <c r="B175" t="e">
        <f>VLOOKUP(Table8[[#This Row],[ME_ID]],Table4[#All],2)</f>
        <v>#VALUE!</v>
      </c>
      <c r="C175" t="e">
        <f>VLOOKUP(Table8[[#This Row],[ME_ID]],Table4[#All],4)</f>
        <v>#VALUE!</v>
      </c>
      <c r="D175" t="e">
        <f>VLOOKUP(Table8[[#This Row],[ME_ID]],Table4[#All],3)</f>
        <v>#VALUE!</v>
      </c>
      <c r="E175" t="e">
        <f>VLOOKUP(Table8[[#This Row],[MLEO_ID]],Table3[#All],4)</f>
        <v>#VALUE!</v>
      </c>
      <c r="F175" t="e">
        <f>VLOOKUP(Table8[[#This Row],[MLEO_ID]],Table3[#All],5)</f>
        <v>#VALUE!</v>
      </c>
      <c r="G175" t="e">
        <f>VLOOKUP(Table8[[#This Row],[MLEO_ID]],Table3[#All],3)</f>
        <v>#VALUE!</v>
      </c>
      <c r="H175" t="e">
        <f>VLOOKUP(Table8[[#This Row],[MLEO_ID]],Table3[#All],2)</f>
        <v>#VALUE!</v>
      </c>
      <c r="I175" t="e">
        <f>VLOOKUP(Table8[[#This Row],[LEO]],Table1[#All],2)</f>
        <v>#VALUE!</v>
      </c>
      <c r="J175" t="e">
        <f>VLOOKUP(Table8[[#This Row],[LEO]],Table1[#All],5)</f>
        <v>#VALUE!</v>
      </c>
      <c r="K175" t="e">
        <f>VLOOKUP(Table8[[#This Row],[LEO]],Table1[#All],3)</f>
        <v>#VALUE!</v>
      </c>
      <c r="L175" s="19" t="e">
        <f>VLOOKUP(Table8[[#This Row],[ME_ID]],Table4[#All],8)</f>
        <v>#VALUE!</v>
      </c>
    </row>
    <row r="176" spans="1:12" x14ac:dyDescent="0.2">
      <c r="A176" t="e">
        <f>Table4[[#This Row],[ID]]</f>
        <v>#VALUE!</v>
      </c>
      <c r="B176" t="e">
        <f>VLOOKUP(Table8[[#This Row],[ME_ID]],Table4[#All],2)</f>
        <v>#VALUE!</v>
      </c>
      <c r="C176" t="e">
        <f>VLOOKUP(Table8[[#This Row],[ME_ID]],Table4[#All],4)</f>
        <v>#VALUE!</v>
      </c>
      <c r="D176" t="e">
        <f>VLOOKUP(Table8[[#This Row],[ME_ID]],Table4[#All],3)</f>
        <v>#VALUE!</v>
      </c>
      <c r="E176" t="e">
        <f>VLOOKUP(Table8[[#This Row],[MLEO_ID]],Table3[#All],4)</f>
        <v>#VALUE!</v>
      </c>
      <c r="F176" t="e">
        <f>VLOOKUP(Table8[[#This Row],[MLEO_ID]],Table3[#All],5)</f>
        <v>#VALUE!</v>
      </c>
      <c r="G176" t="e">
        <f>VLOOKUP(Table8[[#This Row],[MLEO_ID]],Table3[#All],3)</f>
        <v>#VALUE!</v>
      </c>
      <c r="H176" t="e">
        <f>VLOOKUP(Table8[[#This Row],[MLEO_ID]],Table3[#All],2)</f>
        <v>#VALUE!</v>
      </c>
      <c r="I176" t="e">
        <f>VLOOKUP(Table8[[#This Row],[LEO]],Table1[#All],2)</f>
        <v>#VALUE!</v>
      </c>
      <c r="J176" t="e">
        <f>VLOOKUP(Table8[[#This Row],[LEO]],Table1[#All],5)</f>
        <v>#VALUE!</v>
      </c>
      <c r="K176" t="e">
        <f>VLOOKUP(Table8[[#This Row],[LEO]],Table1[#All],3)</f>
        <v>#VALUE!</v>
      </c>
      <c r="L176" s="19" t="e">
        <f>VLOOKUP(Table8[[#This Row],[ME_ID]],Table4[#All],8)</f>
        <v>#VALUE!</v>
      </c>
    </row>
    <row r="177" spans="1:12" x14ac:dyDescent="0.2">
      <c r="A177" t="e">
        <f>Table4[[#This Row],[ID]]</f>
        <v>#VALUE!</v>
      </c>
      <c r="B177" t="e">
        <f>VLOOKUP(Table8[[#This Row],[ME_ID]],Table4[#All],2)</f>
        <v>#VALUE!</v>
      </c>
      <c r="C177" t="e">
        <f>VLOOKUP(Table8[[#This Row],[ME_ID]],Table4[#All],4)</f>
        <v>#VALUE!</v>
      </c>
      <c r="D177" t="e">
        <f>VLOOKUP(Table8[[#This Row],[ME_ID]],Table4[#All],3)</f>
        <v>#VALUE!</v>
      </c>
      <c r="E177" t="e">
        <f>VLOOKUP(Table8[[#This Row],[MLEO_ID]],Table3[#All],4)</f>
        <v>#VALUE!</v>
      </c>
      <c r="F177" t="e">
        <f>VLOOKUP(Table8[[#This Row],[MLEO_ID]],Table3[#All],5)</f>
        <v>#VALUE!</v>
      </c>
      <c r="G177" t="e">
        <f>VLOOKUP(Table8[[#This Row],[MLEO_ID]],Table3[#All],3)</f>
        <v>#VALUE!</v>
      </c>
      <c r="H177" t="e">
        <f>VLOOKUP(Table8[[#This Row],[MLEO_ID]],Table3[#All],2)</f>
        <v>#VALUE!</v>
      </c>
      <c r="I177" t="e">
        <f>VLOOKUP(Table8[[#This Row],[LEO]],Table1[#All],2)</f>
        <v>#VALUE!</v>
      </c>
      <c r="J177" t="e">
        <f>VLOOKUP(Table8[[#This Row],[LEO]],Table1[#All],5)</f>
        <v>#VALUE!</v>
      </c>
      <c r="K177" t="e">
        <f>VLOOKUP(Table8[[#This Row],[LEO]],Table1[#All],3)</f>
        <v>#VALUE!</v>
      </c>
      <c r="L177" s="19" t="e">
        <f>VLOOKUP(Table8[[#This Row],[ME_ID]],Table4[#All],8)</f>
        <v>#VALUE!</v>
      </c>
    </row>
    <row r="178" spans="1:12" x14ac:dyDescent="0.2">
      <c r="A178" t="e">
        <f>Table4[[#This Row],[ID]]</f>
        <v>#VALUE!</v>
      </c>
      <c r="B178" t="e">
        <f>VLOOKUP(Table8[[#This Row],[ME_ID]],Table4[#All],2)</f>
        <v>#VALUE!</v>
      </c>
      <c r="C178" t="e">
        <f>VLOOKUP(Table8[[#This Row],[ME_ID]],Table4[#All],4)</f>
        <v>#VALUE!</v>
      </c>
      <c r="D178" t="e">
        <f>VLOOKUP(Table8[[#This Row],[ME_ID]],Table4[#All],3)</f>
        <v>#VALUE!</v>
      </c>
      <c r="E178" t="e">
        <f>VLOOKUP(Table8[[#This Row],[MLEO_ID]],Table3[#All],4)</f>
        <v>#VALUE!</v>
      </c>
      <c r="F178" t="e">
        <f>VLOOKUP(Table8[[#This Row],[MLEO_ID]],Table3[#All],5)</f>
        <v>#VALUE!</v>
      </c>
      <c r="G178" t="e">
        <f>VLOOKUP(Table8[[#This Row],[MLEO_ID]],Table3[#All],3)</f>
        <v>#VALUE!</v>
      </c>
      <c r="H178" t="e">
        <f>VLOOKUP(Table8[[#This Row],[MLEO_ID]],Table3[#All],2)</f>
        <v>#VALUE!</v>
      </c>
      <c r="I178" t="e">
        <f>VLOOKUP(Table8[[#This Row],[LEO]],Table1[#All],2)</f>
        <v>#VALUE!</v>
      </c>
      <c r="J178" t="e">
        <f>VLOOKUP(Table8[[#This Row],[LEO]],Table1[#All],5)</f>
        <v>#VALUE!</v>
      </c>
      <c r="K178" t="e">
        <f>VLOOKUP(Table8[[#This Row],[LEO]],Table1[#All],3)</f>
        <v>#VALUE!</v>
      </c>
      <c r="L178" s="19" t="e">
        <f>VLOOKUP(Table8[[#This Row],[ME_ID]],Table4[#All],8)</f>
        <v>#VALUE!</v>
      </c>
    </row>
    <row r="179" spans="1:12" x14ac:dyDescent="0.2">
      <c r="A179" t="e">
        <f>Table4[[#This Row],[ID]]</f>
        <v>#VALUE!</v>
      </c>
      <c r="B179" t="e">
        <f>VLOOKUP(Table8[[#This Row],[ME_ID]],Table4[#All],2)</f>
        <v>#VALUE!</v>
      </c>
      <c r="C179" t="e">
        <f>VLOOKUP(Table8[[#This Row],[ME_ID]],Table4[#All],4)</f>
        <v>#VALUE!</v>
      </c>
      <c r="D179" t="e">
        <f>VLOOKUP(Table8[[#This Row],[ME_ID]],Table4[#All],3)</f>
        <v>#VALUE!</v>
      </c>
      <c r="E179" t="e">
        <f>VLOOKUP(Table8[[#This Row],[MLEO_ID]],Table3[#All],4)</f>
        <v>#VALUE!</v>
      </c>
      <c r="F179" t="e">
        <f>VLOOKUP(Table8[[#This Row],[MLEO_ID]],Table3[#All],5)</f>
        <v>#VALUE!</v>
      </c>
      <c r="G179" t="e">
        <f>VLOOKUP(Table8[[#This Row],[MLEO_ID]],Table3[#All],3)</f>
        <v>#VALUE!</v>
      </c>
      <c r="H179" t="e">
        <f>VLOOKUP(Table8[[#This Row],[MLEO_ID]],Table3[#All],2)</f>
        <v>#VALUE!</v>
      </c>
      <c r="I179" t="e">
        <f>VLOOKUP(Table8[[#This Row],[LEO]],Table1[#All],2)</f>
        <v>#VALUE!</v>
      </c>
      <c r="J179" t="e">
        <f>VLOOKUP(Table8[[#This Row],[LEO]],Table1[#All],5)</f>
        <v>#VALUE!</v>
      </c>
      <c r="K179" t="e">
        <f>VLOOKUP(Table8[[#This Row],[LEO]],Table1[#All],3)</f>
        <v>#VALUE!</v>
      </c>
      <c r="L179" s="19" t="e">
        <f>VLOOKUP(Table8[[#This Row],[ME_ID]],Table4[#All],8)</f>
        <v>#VALUE!</v>
      </c>
    </row>
    <row r="180" spans="1:12" x14ac:dyDescent="0.2">
      <c r="A180" t="e">
        <f>Table4[[#This Row],[ID]]</f>
        <v>#VALUE!</v>
      </c>
      <c r="B180" t="e">
        <f>VLOOKUP(Table8[[#This Row],[ME_ID]],Table4[#All],2)</f>
        <v>#VALUE!</v>
      </c>
      <c r="C180" t="e">
        <f>VLOOKUP(Table8[[#This Row],[ME_ID]],Table4[#All],4)</f>
        <v>#VALUE!</v>
      </c>
      <c r="D180" t="e">
        <f>VLOOKUP(Table8[[#This Row],[ME_ID]],Table4[#All],3)</f>
        <v>#VALUE!</v>
      </c>
      <c r="E180" t="e">
        <f>VLOOKUP(Table8[[#This Row],[MLEO_ID]],Table3[#All],4)</f>
        <v>#VALUE!</v>
      </c>
      <c r="F180" t="e">
        <f>VLOOKUP(Table8[[#This Row],[MLEO_ID]],Table3[#All],5)</f>
        <v>#VALUE!</v>
      </c>
      <c r="G180" t="e">
        <f>VLOOKUP(Table8[[#This Row],[MLEO_ID]],Table3[#All],3)</f>
        <v>#VALUE!</v>
      </c>
      <c r="H180" t="e">
        <f>VLOOKUP(Table8[[#This Row],[MLEO_ID]],Table3[#All],2)</f>
        <v>#VALUE!</v>
      </c>
      <c r="I180" t="e">
        <f>VLOOKUP(Table8[[#This Row],[LEO]],Table1[#All],2)</f>
        <v>#VALUE!</v>
      </c>
      <c r="J180" t="e">
        <f>VLOOKUP(Table8[[#This Row],[LEO]],Table1[#All],5)</f>
        <v>#VALUE!</v>
      </c>
      <c r="K180" t="e">
        <f>VLOOKUP(Table8[[#This Row],[LEO]],Table1[#All],3)</f>
        <v>#VALUE!</v>
      </c>
      <c r="L180" s="19" t="e">
        <f>VLOOKUP(Table8[[#This Row],[ME_ID]],Table4[#All],8)</f>
        <v>#VALUE!</v>
      </c>
    </row>
    <row r="181" spans="1:12" x14ac:dyDescent="0.2">
      <c r="A181" t="e">
        <f>Table4[[#This Row],[ID]]</f>
        <v>#VALUE!</v>
      </c>
      <c r="B181" t="e">
        <f>VLOOKUP(Table8[[#This Row],[ME_ID]],Table4[#All],2)</f>
        <v>#VALUE!</v>
      </c>
      <c r="C181" t="e">
        <f>VLOOKUP(Table8[[#This Row],[ME_ID]],Table4[#All],4)</f>
        <v>#VALUE!</v>
      </c>
      <c r="D181" t="e">
        <f>VLOOKUP(Table8[[#This Row],[ME_ID]],Table4[#All],3)</f>
        <v>#VALUE!</v>
      </c>
      <c r="E181" t="e">
        <f>VLOOKUP(Table8[[#This Row],[MLEO_ID]],Table3[#All],4)</f>
        <v>#VALUE!</v>
      </c>
      <c r="F181" t="e">
        <f>VLOOKUP(Table8[[#This Row],[MLEO_ID]],Table3[#All],5)</f>
        <v>#VALUE!</v>
      </c>
      <c r="G181" t="e">
        <f>VLOOKUP(Table8[[#This Row],[MLEO_ID]],Table3[#All],3)</f>
        <v>#VALUE!</v>
      </c>
      <c r="H181" t="e">
        <f>VLOOKUP(Table8[[#This Row],[MLEO_ID]],Table3[#All],2)</f>
        <v>#VALUE!</v>
      </c>
      <c r="I181" t="e">
        <f>VLOOKUP(Table8[[#This Row],[LEO]],Table1[#All],2)</f>
        <v>#VALUE!</v>
      </c>
      <c r="J181" t="e">
        <f>VLOOKUP(Table8[[#This Row],[LEO]],Table1[#All],5)</f>
        <v>#VALUE!</v>
      </c>
      <c r="K181" t="e">
        <f>VLOOKUP(Table8[[#This Row],[LEO]],Table1[#All],3)</f>
        <v>#VALUE!</v>
      </c>
      <c r="L181" s="19" t="e">
        <f>VLOOKUP(Table8[[#This Row],[ME_ID]],Table4[#All],8)</f>
        <v>#VALUE!</v>
      </c>
    </row>
    <row r="182" spans="1:12" x14ac:dyDescent="0.2">
      <c r="A182" t="e">
        <f>Table4[[#This Row],[ID]]</f>
        <v>#VALUE!</v>
      </c>
      <c r="B182" t="e">
        <f>VLOOKUP(Table8[[#This Row],[ME_ID]],Table4[#All],2)</f>
        <v>#VALUE!</v>
      </c>
      <c r="C182" t="e">
        <f>VLOOKUP(Table8[[#This Row],[ME_ID]],Table4[#All],4)</f>
        <v>#VALUE!</v>
      </c>
      <c r="D182" t="e">
        <f>VLOOKUP(Table8[[#This Row],[ME_ID]],Table4[#All],3)</f>
        <v>#VALUE!</v>
      </c>
      <c r="E182" t="e">
        <f>VLOOKUP(Table8[[#This Row],[MLEO_ID]],Table3[#All],4)</f>
        <v>#VALUE!</v>
      </c>
      <c r="F182" t="e">
        <f>VLOOKUP(Table8[[#This Row],[MLEO_ID]],Table3[#All],5)</f>
        <v>#VALUE!</v>
      </c>
      <c r="G182" t="e">
        <f>VLOOKUP(Table8[[#This Row],[MLEO_ID]],Table3[#All],3)</f>
        <v>#VALUE!</v>
      </c>
      <c r="H182" t="e">
        <f>VLOOKUP(Table8[[#This Row],[MLEO_ID]],Table3[#All],2)</f>
        <v>#VALUE!</v>
      </c>
      <c r="I182" t="e">
        <f>VLOOKUP(Table8[[#This Row],[LEO]],Table1[#All],2)</f>
        <v>#VALUE!</v>
      </c>
      <c r="J182" t="e">
        <f>VLOOKUP(Table8[[#This Row],[LEO]],Table1[#All],5)</f>
        <v>#VALUE!</v>
      </c>
      <c r="K182" t="e">
        <f>VLOOKUP(Table8[[#This Row],[LEO]],Table1[#All],3)</f>
        <v>#VALUE!</v>
      </c>
      <c r="L182" s="19" t="e">
        <f>VLOOKUP(Table8[[#This Row],[ME_ID]],Table4[#All],8)</f>
        <v>#VALUE!</v>
      </c>
    </row>
    <row r="183" spans="1:12" x14ac:dyDescent="0.2">
      <c r="A183" t="e">
        <f>Table4[[#This Row],[ID]]</f>
        <v>#VALUE!</v>
      </c>
      <c r="B183" t="e">
        <f>VLOOKUP(Table8[[#This Row],[ME_ID]],Table4[#All],2)</f>
        <v>#VALUE!</v>
      </c>
      <c r="C183" t="e">
        <f>VLOOKUP(Table8[[#This Row],[ME_ID]],Table4[#All],4)</f>
        <v>#VALUE!</v>
      </c>
      <c r="D183" t="e">
        <f>VLOOKUP(Table8[[#This Row],[ME_ID]],Table4[#All],3)</f>
        <v>#VALUE!</v>
      </c>
      <c r="E183" t="e">
        <f>VLOOKUP(Table8[[#This Row],[MLEO_ID]],Table3[#All],4)</f>
        <v>#VALUE!</v>
      </c>
      <c r="F183" t="e">
        <f>VLOOKUP(Table8[[#This Row],[MLEO_ID]],Table3[#All],5)</f>
        <v>#VALUE!</v>
      </c>
      <c r="G183" t="e">
        <f>VLOOKUP(Table8[[#This Row],[MLEO_ID]],Table3[#All],3)</f>
        <v>#VALUE!</v>
      </c>
      <c r="H183" t="e">
        <f>VLOOKUP(Table8[[#This Row],[MLEO_ID]],Table3[#All],2)</f>
        <v>#VALUE!</v>
      </c>
      <c r="I183" t="e">
        <f>VLOOKUP(Table8[[#This Row],[LEO]],Table1[#All],2)</f>
        <v>#VALUE!</v>
      </c>
      <c r="J183" t="e">
        <f>VLOOKUP(Table8[[#This Row],[LEO]],Table1[#All],5)</f>
        <v>#VALUE!</v>
      </c>
      <c r="K183" t="e">
        <f>VLOOKUP(Table8[[#This Row],[LEO]],Table1[#All],3)</f>
        <v>#VALUE!</v>
      </c>
      <c r="L183" s="19" t="e">
        <f>VLOOKUP(Table8[[#This Row],[ME_ID]],Table4[#All],8)</f>
        <v>#VALUE!</v>
      </c>
    </row>
    <row r="184" spans="1:12" x14ac:dyDescent="0.2">
      <c r="A184" t="e">
        <f>Table4[[#This Row],[ID]]</f>
        <v>#VALUE!</v>
      </c>
      <c r="B184" t="e">
        <f>VLOOKUP(Table8[[#This Row],[ME_ID]],Table4[#All],2)</f>
        <v>#VALUE!</v>
      </c>
      <c r="C184" t="e">
        <f>VLOOKUP(Table8[[#This Row],[ME_ID]],Table4[#All],4)</f>
        <v>#VALUE!</v>
      </c>
      <c r="D184" t="e">
        <f>VLOOKUP(Table8[[#This Row],[ME_ID]],Table4[#All],3)</f>
        <v>#VALUE!</v>
      </c>
      <c r="E184" t="e">
        <f>VLOOKUP(Table8[[#This Row],[MLEO_ID]],Table3[#All],4)</f>
        <v>#VALUE!</v>
      </c>
      <c r="F184" t="e">
        <f>VLOOKUP(Table8[[#This Row],[MLEO_ID]],Table3[#All],5)</f>
        <v>#VALUE!</v>
      </c>
      <c r="G184" t="e">
        <f>VLOOKUP(Table8[[#This Row],[MLEO_ID]],Table3[#All],3)</f>
        <v>#VALUE!</v>
      </c>
      <c r="H184" t="e">
        <f>VLOOKUP(Table8[[#This Row],[MLEO_ID]],Table3[#All],2)</f>
        <v>#VALUE!</v>
      </c>
      <c r="I184" t="e">
        <f>VLOOKUP(Table8[[#This Row],[LEO]],Table1[#All],2)</f>
        <v>#VALUE!</v>
      </c>
      <c r="J184" t="e">
        <f>VLOOKUP(Table8[[#This Row],[LEO]],Table1[#All],5)</f>
        <v>#VALUE!</v>
      </c>
      <c r="K184" t="e">
        <f>VLOOKUP(Table8[[#This Row],[LEO]],Table1[#All],3)</f>
        <v>#VALUE!</v>
      </c>
      <c r="L184" s="19" t="e">
        <f>VLOOKUP(Table8[[#This Row],[ME_ID]],Table4[#All],8)</f>
        <v>#VALUE!</v>
      </c>
    </row>
    <row r="185" spans="1:12" x14ac:dyDescent="0.2">
      <c r="A185" t="e">
        <f>Table4[[#This Row],[ID]]</f>
        <v>#VALUE!</v>
      </c>
      <c r="B185" t="e">
        <f>VLOOKUP(Table8[[#This Row],[ME_ID]],Table4[#All],2)</f>
        <v>#VALUE!</v>
      </c>
      <c r="C185" t="e">
        <f>VLOOKUP(Table8[[#This Row],[ME_ID]],Table4[#All],4)</f>
        <v>#VALUE!</v>
      </c>
      <c r="D185" t="e">
        <f>VLOOKUP(Table8[[#This Row],[ME_ID]],Table4[#All],3)</f>
        <v>#VALUE!</v>
      </c>
      <c r="E185" t="e">
        <f>VLOOKUP(Table8[[#This Row],[MLEO_ID]],Table3[#All],4)</f>
        <v>#VALUE!</v>
      </c>
      <c r="F185" t="e">
        <f>VLOOKUP(Table8[[#This Row],[MLEO_ID]],Table3[#All],5)</f>
        <v>#VALUE!</v>
      </c>
      <c r="G185" t="e">
        <f>VLOOKUP(Table8[[#This Row],[MLEO_ID]],Table3[#All],3)</f>
        <v>#VALUE!</v>
      </c>
      <c r="H185" t="e">
        <f>VLOOKUP(Table8[[#This Row],[MLEO_ID]],Table3[#All],2)</f>
        <v>#VALUE!</v>
      </c>
      <c r="I185" t="e">
        <f>VLOOKUP(Table8[[#This Row],[LEO]],Table1[#All],2)</f>
        <v>#VALUE!</v>
      </c>
      <c r="J185" t="e">
        <f>VLOOKUP(Table8[[#This Row],[LEO]],Table1[#All],5)</f>
        <v>#VALUE!</v>
      </c>
      <c r="K185" t="e">
        <f>VLOOKUP(Table8[[#This Row],[LEO]],Table1[#All],3)</f>
        <v>#VALUE!</v>
      </c>
      <c r="L185" s="19" t="e">
        <f>VLOOKUP(Table8[[#This Row],[ME_ID]],Table4[#All],8)</f>
        <v>#VALUE!</v>
      </c>
    </row>
    <row r="186" spans="1:12" x14ac:dyDescent="0.2">
      <c r="A186" t="e">
        <f>Table4[[#This Row],[ID]]</f>
        <v>#VALUE!</v>
      </c>
      <c r="B186" t="e">
        <f>VLOOKUP(Table8[[#This Row],[ME_ID]],Table4[#All],2)</f>
        <v>#VALUE!</v>
      </c>
      <c r="C186" t="e">
        <f>VLOOKUP(Table8[[#This Row],[ME_ID]],Table4[#All],4)</f>
        <v>#VALUE!</v>
      </c>
      <c r="D186" t="e">
        <f>VLOOKUP(Table8[[#This Row],[ME_ID]],Table4[#All],3)</f>
        <v>#VALUE!</v>
      </c>
      <c r="E186" t="e">
        <f>VLOOKUP(Table8[[#This Row],[MLEO_ID]],Table3[#All],4)</f>
        <v>#VALUE!</v>
      </c>
      <c r="F186" t="e">
        <f>VLOOKUP(Table8[[#This Row],[MLEO_ID]],Table3[#All],5)</f>
        <v>#VALUE!</v>
      </c>
      <c r="G186" t="e">
        <f>VLOOKUP(Table8[[#This Row],[MLEO_ID]],Table3[#All],3)</f>
        <v>#VALUE!</v>
      </c>
      <c r="H186" t="e">
        <f>VLOOKUP(Table8[[#This Row],[MLEO_ID]],Table3[#All],2)</f>
        <v>#VALUE!</v>
      </c>
      <c r="I186" t="e">
        <f>VLOOKUP(Table8[[#This Row],[LEO]],Table1[#All],2)</f>
        <v>#VALUE!</v>
      </c>
      <c r="J186" t="e">
        <f>VLOOKUP(Table8[[#This Row],[LEO]],Table1[#All],5)</f>
        <v>#VALUE!</v>
      </c>
      <c r="K186" t="e">
        <f>VLOOKUP(Table8[[#This Row],[LEO]],Table1[#All],3)</f>
        <v>#VALUE!</v>
      </c>
      <c r="L186" s="19" t="e">
        <f>VLOOKUP(Table8[[#This Row],[ME_ID]],Table4[#All],8)</f>
        <v>#VALUE!</v>
      </c>
    </row>
    <row r="187" spans="1:12" x14ac:dyDescent="0.2">
      <c r="A187" t="e">
        <f>Table4[[#This Row],[ID]]</f>
        <v>#VALUE!</v>
      </c>
      <c r="B187" t="e">
        <f>VLOOKUP(Table8[[#This Row],[ME_ID]],Table4[#All],2)</f>
        <v>#VALUE!</v>
      </c>
      <c r="C187" t="e">
        <f>VLOOKUP(Table8[[#This Row],[ME_ID]],Table4[#All],4)</f>
        <v>#VALUE!</v>
      </c>
      <c r="D187" t="e">
        <f>VLOOKUP(Table8[[#This Row],[ME_ID]],Table4[#All],3)</f>
        <v>#VALUE!</v>
      </c>
      <c r="E187" t="e">
        <f>VLOOKUP(Table8[[#This Row],[MLEO_ID]],Table3[#All],4)</f>
        <v>#VALUE!</v>
      </c>
      <c r="F187" t="e">
        <f>VLOOKUP(Table8[[#This Row],[MLEO_ID]],Table3[#All],5)</f>
        <v>#VALUE!</v>
      </c>
      <c r="G187" t="e">
        <f>VLOOKUP(Table8[[#This Row],[MLEO_ID]],Table3[#All],3)</f>
        <v>#VALUE!</v>
      </c>
      <c r="H187" t="e">
        <f>VLOOKUP(Table8[[#This Row],[MLEO_ID]],Table3[#All],2)</f>
        <v>#VALUE!</v>
      </c>
      <c r="I187" t="e">
        <f>VLOOKUP(Table8[[#This Row],[LEO]],Table1[#All],2)</f>
        <v>#VALUE!</v>
      </c>
      <c r="J187" t="e">
        <f>VLOOKUP(Table8[[#This Row],[LEO]],Table1[#All],5)</f>
        <v>#VALUE!</v>
      </c>
      <c r="K187" t="e">
        <f>VLOOKUP(Table8[[#This Row],[LEO]],Table1[#All],3)</f>
        <v>#VALUE!</v>
      </c>
      <c r="L187" s="19" t="e">
        <f>VLOOKUP(Table8[[#This Row],[ME_ID]],Table4[#All],8)</f>
        <v>#VALUE!</v>
      </c>
    </row>
    <row r="188" spans="1:12" x14ac:dyDescent="0.2">
      <c r="A188" t="e">
        <f>Table4[[#This Row],[ID]]</f>
        <v>#VALUE!</v>
      </c>
      <c r="B188" t="e">
        <f>VLOOKUP(Table8[[#This Row],[ME_ID]],Table4[#All],2)</f>
        <v>#VALUE!</v>
      </c>
      <c r="C188" t="e">
        <f>VLOOKUP(Table8[[#This Row],[ME_ID]],Table4[#All],4)</f>
        <v>#VALUE!</v>
      </c>
      <c r="D188" t="e">
        <f>VLOOKUP(Table8[[#This Row],[ME_ID]],Table4[#All],3)</f>
        <v>#VALUE!</v>
      </c>
      <c r="E188" t="e">
        <f>VLOOKUP(Table8[[#This Row],[MLEO_ID]],Table3[#All],4)</f>
        <v>#VALUE!</v>
      </c>
      <c r="F188" t="e">
        <f>VLOOKUP(Table8[[#This Row],[MLEO_ID]],Table3[#All],5)</f>
        <v>#VALUE!</v>
      </c>
      <c r="G188" t="e">
        <f>VLOOKUP(Table8[[#This Row],[MLEO_ID]],Table3[#All],3)</f>
        <v>#VALUE!</v>
      </c>
      <c r="H188" t="e">
        <f>VLOOKUP(Table8[[#This Row],[MLEO_ID]],Table3[#All],2)</f>
        <v>#VALUE!</v>
      </c>
      <c r="I188" t="e">
        <f>VLOOKUP(Table8[[#This Row],[LEO]],Table1[#All],2)</f>
        <v>#VALUE!</v>
      </c>
      <c r="J188" t="e">
        <f>VLOOKUP(Table8[[#This Row],[LEO]],Table1[#All],5)</f>
        <v>#VALUE!</v>
      </c>
      <c r="K188" t="e">
        <f>VLOOKUP(Table8[[#This Row],[LEO]],Table1[#All],3)</f>
        <v>#VALUE!</v>
      </c>
      <c r="L188" s="19" t="e">
        <f>VLOOKUP(Table8[[#This Row],[ME_ID]],Table4[#All],8)</f>
        <v>#VALUE!</v>
      </c>
    </row>
    <row r="189" spans="1:12" x14ac:dyDescent="0.2">
      <c r="A189" t="e">
        <f>Table4[[#This Row],[ID]]</f>
        <v>#VALUE!</v>
      </c>
      <c r="B189" t="e">
        <f>VLOOKUP(Table8[[#This Row],[ME_ID]],Table4[#All],2)</f>
        <v>#VALUE!</v>
      </c>
      <c r="C189" t="e">
        <f>VLOOKUP(Table8[[#This Row],[ME_ID]],Table4[#All],4)</f>
        <v>#VALUE!</v>
      </c>
      <c r="D189" t="e">
        <f>VLOOKUP(Table8[[#This Row],[ME_ID]],Table4[#All],3)</f>
        <v>#VALUE!</v>
      </c>
      <c r="E189" t="e">
        <f>VLOOKUP(Table8[[#This Row],[MLEO_ID]],Table3[#All],4)</f>
        <v>#VALUE!</v>
      </c>
      <c r="F189" t="e">
        <f>VLOOKUP(Table8[[#This Row],[MLEO_ID]],Table3[#All],5)</f>
        <v>#VALUE!</v>
      </c>
      <c r="G189" t="e">
        <f>VLOOKUP(Table8[[#This Row],[MLEO_ID]],Table3[#All],3)</f>
        <v>#VALUE!</v>
      </c>
      <c r="H189" t="e">
        <f>VLOOKUP(Table8[[#This Row],[MLEO_ID]],Table3[#All],2)</f>
        <v>#VALUE!</v>
      </c>
      <c r="I189" t="e">
        <f>VLOOKUP(Table8[[#This Row],[LEO]],Table1[#All],2)</f>
        <v>#VALUE!</v>
      </c>
      <c r="J189" t="e">
        <f>VLOOKUP(Table8[[#This Row],[LEO]],Table1[#All],5)</f>
        <v>#VALUE!</v>
      </c>
      <c r="K189" t="e">
        <f>VLOOKUP(Table8[[#This Row],[LEO]],Table1[#All],3)</f>
        <v>#VALUE!</v>
      </c>
      <c r="L189" s="19" t="e">
        <f>VLOOKUP(Table8[[#This Row],[ME_ID]],Table4[#All],8)</f>
        <v>#VALUE!</v>
      </c>
    </row>
    <row r="190" spans="1:12" x14ac:dyDescent="0.2">
      <c r="A190" t="e">
        <f>Table4[[#This Row],[ID]]</f>
        <v>#VALUE!</v>
      </c>
      <c r="B190" t="e">
        <f>VLOOKUP(Table8[[#This Row],[ME_ID]],Table4[#All],2)</f>
        <v>#VALUE!</v>
      </c>
      <c r="C190" t="e">
        <f>VLOOKUP(Table8[[#This Row],[ME_ID]],Table4[#All],4)</f>
        <v>#VALUE!</v>
      </c>
      <c r="D190" t="e">
        <f>VLOOKUP(Table8[[#This Row],[ME_ID]],Table4[#All],3)</f>
        <v>#VALUE!</v>
      </c>
      <c r="E190" t="e">
        <f>VLOOKUP(Table8[[#This Row],[MLEO_ID]],Table3[#All],4)</f>
        <v>#VALUE!</v>
      </c>
      <c r="F190" t="e">
        <f>VLOOKUP(Table8[[#This Row],[MLEO_ID]],Table3[#All],5)</f>
        <v>#VALUE!</v>
      </c>
      <c r="G190" t="e">
        <f>VLOOKUP(Table8[[#This Row],[MLEO_ID]],Table3[#All],3)</f>
        <v>#VALUE!</v>
      </c>
      <c r="H190" t="e">
        <f>VLOOKUP(Table8[[#This Row],[MLEO_ID]],Table3[#All],2)</f>
        <v>#VALUE!</v>
      </c>
      <c r="I190" t="e">
        <f>VLOOKUP(Table8[[#This Row],[LEO]],Table1[#All],2)</f>
        <v>#VALUE!</v>
      </c>
      <c r="J190" t="e">
        <f>VLOOKUP(Table8[[#This Row],[LEO]],Table1[#All],5)</f>
        <v>#VALUE!</v>
      </c>
      <c r="K190" t="e">
        <f>VLOOKUP(Table8[[#This Row],[LEO]],Table1[#All],3)</f>
        <v>#VALUE!</v>
      </c>
      <c r="L190" s="19" t="e">
        <f>VLOOKUP(Table8[[#This Row],[ME_ID]],Table4[#All],8)</f>
        <v>#VALUE!</v>
      </c>
    </row>
    <row r="191" spans="1:12" x14ac:dyDescent="0.2">
      <c r="A191" t="e">
        <f>Table4[[#This Row],[ID]]</f>
        <v>#VALUE!</v>
      </c>
      <c r="B191" t="e">
        <f>VLOOKUP(Table8[[#This Row],[ME_ID]],Table4[#All],2)</f>
        <v>#VALUE!</v>
      </c>
      <c r="C191" t="e">
        <f>VLOOKUP(Table8[[#This Row],[ME_ID]],Table4[#All],4)</f>
        <v>#VALUE!</v>
      </c>
      <c r="D191" t="e">
        <f>VLOOKUP(Table8[[#This Row],[ME_ID]],Table4[#All],3)</f>
        <v>#VALUE!</v>
      </c>
      <c r="E191" t="e">
        <f>VLOOKUP(Table8[[#This Row],[MLEO_ID]],Table3[#All],4)</f>
        <v>#VALUE!</v>
      </c>
      <c r="F191" t="e">
        <f>VLOOKUP(Table8[[#This Row],[MLEO_ID]],Table3[#All],5)</f>
        <v>#VALUE!</v>
      </c>
      <c r="G191" t="e">
        <f>VLOOKUP(Table8[[#This Row],[MLEO_ID]],Table3[#All],3)</f>
        <v>#VALUE!</v>
      </c>
      <c r="H191" t="e">
        <f>VLOOKUP(Table8[[#This Row],[MLEO_ID]],Table3[#All],2)</f>
        <v>#VALUE!</v>
      </c>
      <c r="I191" t="e">
        <f>VLOOKUP(Table8[[#This Row],[LEO]],Table1[#All],2)</f>
        <v>#VALUE!</v>
      </c>
      <c r="J191" t="e">
        <f>VLOOKUP(Table8[[#This Row],[LEO]],Table1[#All],5)</f>
        <v>#VALUE!</v>
      </c>
      <c r="K191" t="e">
        <f>VLOOKUP(Table8[[#This Row],[LEO]],Table1[#All],3)</f>
        <v>#VALUE!</v>
      </c>
      <c r="L191" s="19" t="e">
        <f>VLOOKUP(Table8[[#This Row],[ME_ID]],Table4[#All],8)</f>
        <v>#VALUE!</v>
      </c>
    </row>
    <row r="192" spans="1:12" x14ac:dyDescent="0.2">
      <c r="A192" t="e">
        <f>Table4[[#This Row],[ID]]</f>
        <v>#VALUE!</v>
      </c>
      <c r="B192" t="e">
        <f>VLOOKUP(Table8[[#This Row],[ME_ID]],Table4[#All],2)</f>
        <v>#VALUE!</v>
      </c>
      <c r="C192" t="e">
        <f>VLOOKUP(Table8[[#This Row],[ME_ID]],Table4[#All],4)</f>
        <v>#VALUE!</v>
      </c>
      <c r="D192" t="e">
        <f>VLOOKUP(Table8[[#This Row],[ME_ID]],Table4[#All],3)</f>
        <v>#VALUE!</v>
      </c>
      <c r="E192" t="e">
        <f>VLOOKUP(Table8[[#This Row],[MLEO_ID]],Table3[#All],4)</f>
        <v>#VALUE!</v>
      </c>
      <c r="F192" t="e">
        <f>VLOOKUP(Table8[[#This Row],[MLEO_ID]],Table3[#All],5)</f>
        <v>#VALUE!</v>
      </c>
      <c r="G192" t="e">
        <f>VLOOKUP(Table8[[#This Row],[MLEO_ID]],Table3[#All],3)</f>
        <v>#VALUE!</v>
      </c>
      <c r="H192" t="e">
        <f>VLOOKUP(Table8[[#This Row],[MLEO_ID]],Table3[#All],2)</f>
        <v>#VALUE!</v>
      </c>
      <c r="I192" t="e">
        <f>VLOOKUP(Table8[[#This Row],[LEO]],Table1[#All],2)</f>
        <v>#VALUE!</v>
      </c>
      <c r="J192" t="e">
        <f>VLOOKUP(Table8[[#This Row],[LEO]],Table1[#All],5)</f>
        <v>#VALUE!</v>
      </c>
      <c r="K192" t="e">
        <f>VLOOKUP(Table8[[#This Row],[LEO]],Table1[#All],3)</f>
        <v>#VALUE!</v>
      </c>
      <c r="L192" s="19" t="e">
        <f>VLOOKUP(Table8[[#This Row],[ME_ID]],Table4[#All],8)</f>
        <v>#VALUE!</v>
      </c>
    </row>
    <row r="193" spans="1:12" x14ac:dyDescent="0.2">
      <c r="A193" t="e">
        <f>Table4[[#This Row],[ID]]</f>
        <v>#VALUE!</v>
      </c>
      <c r="B193" t="e">
        <f>VLOOKUP(Table8[[#This Row],[ME_ID]],Table4[#All],2)</f>
        <v>#VALUE!</v>
      </c>
      <c r="C193" t="e">
        <f>VLOOKUP(Table8[[#This Row],[ME_ID]],Table4[#All],4)</f>
        <v>#VALUE!</v>
      </c>
      <c r="D193" t="e">
        <f>VLOOKUP(Table8[[#This Row],[ME_ID]],Table4[#All],3)</f>
        <v>#VALUE!</v>
      </c>
      <c r="E193" t="e">
        <f>VLOOKUP(Table8[[#This Row],[MLEO_ID]],Table3[#All],4)</f>
        <v>#VALUE!</v>
      </c>
      <c r="F193" t="e">
        <f>VLOOKUP(Table8[[#This Row],[MLEO_ID]],Table3[#All],5)</f>
        <v>#VALUE!</v>
      </c>
      <c r="G193" t="e">
        <f>VLOOKUP(Table8[[#This Row],[MLEO_ID]],Table3[#All],3)</f>
        <v>#VALUE!</v>
      </c>
      <c r="H193" t="e">
        <f>VLOOKUP(Table8[[#This Row],[MLEO_ID]],Table3[#All],2)</f>
        <v>#VALUE!</v>
      </c>
      <c r="I193" t="e">
        <f>VLOOKUP(Table8[[#This Row],[LEO]],Table1[#All],2)</f>
        <v>#VALUE!</v>
      </c>
      <c r="J193" t="e">
        <f>VLOOKUP(Table8[[#This Row],[LEO]],Table1[#All],5)</f>
        <v>#VALUE!</v>
      </c>
      <c r="K193" t="e">
        <f>VLOOKUP(Table8[[#This Row],[LEO]],Table1[#All],3)</f>
        <v>#VALUE!</v>
      </c>
      <c r="L193" s="19" t="e">
        <f>VLOOKUP(Table8[[#This Row],[ME_ID]],Table4[#All],8)</f>
        <v>#VALUE!</v>
      </c>
    </row>
    <row r="194" spans="1:12" x14ac:dyDescent="0.2">
      <c r="A194" t="e">
        <f>Table4[[#This Row],[ID]]</f>
        <v>#VALUE!</v>
      </c>
      <c r="B194" t="e">
        <f>VLOOKUP(Table8[[#This Row],[ME_ID]],Table4[#All],2)</f>
        <v>#VALUE!</v>
      </c>
      <c r="C194" t="e">
        <f>VLOOKUP(Table8[[#This Row],[ME_ID]],Table4[#All],4)</f>
        <v>#VALUE!</v>
      </c>
      <c r="D194" t="e">
        <f>VLOOKUP(Table8[[#This Row],[ME_ID]],Table4[#All],3)</f>
        <v>#VALUE!</v>
      </c>
      <c r="E194" t="e">
        <f>VLOOKUP(Table8[[#This Row],[MLEO_ID]],Table3[#All],4)</f>
        <v>#VALUE!</v>
      </c>
      <c r="F194" t="e">
        <f>VLOOKUP(Table8[[#This Row],[MLEO_ID]],Table3[#All],5)</f>
        <v>#VALUE!</v>
      </c>
      <c r="G194" t="e">
        <f>VLOOKUP(Table8[[#This Row],[MLEO_ID]],Table3[#All],3)</f>
        <v>#VALUE!</v>
      </c>
      <c r="H194" t="e">
        <f>VLOOKUP(Table8[[#This Row],[MLEO_ID]],Table3[#All],2)</f>
        <v>#VALUE!</v>
      </c>
      <c r="I194" t="e">
        <f>VLOOKUP(Table8[[#This Row],[LEO]],Table1[#All],2)</f>
        <v>#VALUE!</v>
      </c>
      <c r="J194" t="e">
        <f>VLOOKUP(Table8[[#This Row],[LEO]],Table1[#All],5)</f>
        <v>#VALUE!</v>
      </c>
      <c r="K194" t="e">
        <f>VLOOKUP(Table8[[#This Row],[LEO]],Table1[#All],3)</f>
        <v>#VALUE!</v>
      </c>
      <c r="L194" s="19" t="e">
        <f>VLOOKUP(Table8[[#This Row],[ME_ID]],Table4[#All],8)</f>
        <v>#VALUE!</v>
      </c>
    </row>
    <row r="195" spans="1:12" x14ac:dyDescent="0.2">
      <c r="A195" t="e">
        <f>Table4[[#This Row],[ID]]</f>
        <v>#VALUE!</v>
      </c>
      <c r="B195" t="e">
        <f>VLOOKUP(Table8[[#This Row],[ME_ID]],Table4[#All],2)</f>
        <v>#VALUE!</v>
      </c>
      <c r="C195" t="e">
        <f>VLOOKUP(Table8[[#This Row],[ME_ID]],Table4[#All],4)</f>
        <v>#VALUE!</v>
      </c>
      <c r="D195" t="e">
        <f>VLOOKUP(Table8[[#This Row],[ME_ID]],Table4[#All],3)</f>
        <v>#VALUE!</v>
      </c>
      <c r="E195" t="e">
        <f>VLOOKUP(Table8[[#This Row],[MLEO_ID]],Table3[#All],4)</f>
        <v>#VALUE!</v>
      </c>
      <c r="F195" t="e">
        <f>VLOOKUP(Table8[[#This Row],[MLEO_ID]],Table3[#All],5)</f>
        <v>#VALUE!</v>
      </c>
      <c r="G195" t="e">
        <f>VLOOKUP(Table8[[#This Row],[MLEO_ID]],Table3[#All],3)</f>
        <v>#VALUE!</v>
      </c>
      <c r="H195" t="e">
        <f>VLOOKUP(Table8[[#This Row],[MLEO_ID]],Table3[#All],2)</f>
        <v>#VALUE!</v>
      </c>
      <c r="I195" t="e">
        <f>VLOOKUP(Table8[[#This Row],[LEO]],Table1[#All],2)</f>
        <v>#VALUE!</v>
      </c>
      <c r="J195" t="e">
        <f>VLOOKUP(Table8[[#This Row],[LEO]],Table1[#All],5)</f>
        <v>#VALUE!</v>
      </c>
      <c r="K195" t="e">
        <f>VLOOKUP(Table8[[#This Row],[LEO]],Table1[#All],3)</f>
        <v>#VALUE!</v>
      </c>
      <c r="L195" s="19" t="e">
        <f>VLOOKUP(Table8[[#This Row],[ME_ID]],Table4[#All],8)</f>
        <v>#VALUE!</v>
      </c>
    </row>
    <row r="196" spans="1:12" x14ac:dyDescent="0.2">
      <c r="A196" t="e">
        <f>Table4[[#This Row],[ID]]</f>
        <v>#VALUE!</v>
      </c>
      <c r="B196" t="e">
        <f>VLOOKUP(Table8[[#This Row],[ME_ID]],Table4[#All],2)</f>
        <v>#VALUE!</v>
      </c>
      <c r="C196" t="e">
        <f>VLOOKUP(Table8[[#This Row],[ME_ID]],Table4[#All],4)</f>
        <v>#VALUE!</v>
      </c>
      <c r="D196" t="e">
        <f>VLOOKUP(Table8[[#This Row],[ME_ID]],Table4[#All],3)</f>
        <v>#VALUE!</v>
      </c>
      <c r="E196" t="e">
        <f>VLOOKUP(Table8[[#This Row],[MLEO_ID]],Table3[#All],4)</f>
        <v>#VALUE!</v>
      </c>
      <c r="F196" t="e">
        <f>VLOOKUP(Table8[[#This Row],[MLEO_ID]],Table3[#All],5)</f>
        <v>#VALUE!</v>
      </c>
      <c r="G196" t="e">
        <f>VLOOKUP(Table8[[#This Row],[MLEO_ID]],Table3[#All],3)</f>
        <v>#VALUE!</v>
      </c>
      <c r="H196" t="e">
        <f>VLOOKUP(Table8[[#This Row],[MLEO_ID]],Table3[#All],2)</f>
        <v>#VALUE!</v>
      </c>
      <c r="I196" t="e">
        <f>VLOOKUP(Table8[[#This Row],[LEO]],Table1[#All],2)</f>
        <v>#VALUE!</v>
      </c>
      <c r="J196" t="e">
        <f>VLOOKUP(Table8[[#This Row],[LEO]],Table1[#All],5)</f>
        <v>#VALUE!</v>
      </c>
      <c r="K196" t="e">
        <f>VLOOKUP(Table8[[#This Row],[LEO]],Table1[#All],3)</f>
        <v>#VALUE!</v>
      </c>
      <c r="L196" s="19" t="e">
        <f>VLOOKUP(Table8[[#This Row],[ME_ID]],Table4[#All],8)</f>
        <v>#VALUE!</v>
      </c>
    </row>
    <row r="197" spans="1:12" x14ac:dyDescent="0.2">
      <c r="A197" t="e">
        <f>Table4[[#This Row],[ID]]</f>
        <v>#VALUE!</v>
      </c>
      <c r="B197" t="e">
        <f>VLOOKUP(Table8[[#This Row],[ME_ID]],Table4[#All],2)</f>
        <v>#VALUE!</v>
      </c>
      <c r="C197" t="e">
        <f>VLOOKUP(Table8[[#This Row],[ME_ID]],Table4[#All],4)</f>
        <v>#VALUE!</v>
      </c>
      <c r="D197" t="e">
        <f>VLOOKUP(Table8[[#This Row],[ME_ID]],Table4[#All],3)</f>
        <v>#VALUE!</v>
      </c>
      <c r="E197" t="e">
        <f>VLOOKUP(Table8[[#This Row],[MLEO_ID]],Table3[#All],4)</f>
        <v>#VALUE!</v>
      </c>
      <c r="F197" t="e">
        <f>VLOOKUP(Table8[[#This Row],[MLEO_ID]],Table3[#All],5)</f>
        <v>#VALUE!</v>
      </c>
      <c r="G197" t="e">
        <f>VLOOKUP(Table8[[#This Row],[MLEO_ID]],Table3[#All],3)</f>
        <v>#VALUE!</v>
      </c>
      <c r="H197" t="e">
        <f>VLOOKUP(Table8[[#This Row],[MLEO_ID]],Table3[#All],2)</f>
        <v>#VALUE!</v>
      </c>
      <c r="I197" t="e">
        <f>VLOOKUP(Table8[[#This Row],[LEO]],Table1[#All],2)</f>
        <v>#VALUE!</v>
      </c>
      <c r="J197" t="e">
        <f>VLOOKUP(Table8[[#This Row],[LEO]],Table1[#All],5)</f>
        <v>#VALUE!</v>
      </c>
      <c r="K197" t="e">
        <f>VLOOKUP(Table8[[#This Row],[LEO]],Table1[#All],3)</f>
        <v>#VALUE!</v>
      </c>
      <c r="L197" s="19" t="e">
        <f>VLOOKUP(Table8[[#This Row],[ME_ID]],Table4[#All],8)</f>
        <v>#VALUE!</v>
      </c>
    </row>
    <row r="198" spans="1:12" x14ac:dyDescent="0.2">
      <c r="A198" t="e">
        <f>Table4[[#This Row],[ID]]</f>
        <v>#VALUE!</v>
      </c>
      <c r="B198" t="e">
        <f>VLOOKUP(Table8[[#This Row],[ME_ID]],Table4[#All],2)</f>
        <v>#VALUE!</v>
      </c>
      <c r="C198" t="e">
        <f>VLOOKUP(Table8[[#This Row],[ME_ID]],Table4[#All],4)</f>
        <v>#VALUE!</v>
      </c>
      <c r="D198" t="e">
        <f>VLOOKUP(Table8[[#This Row],[ME_ID]],Table4[#All],3)</f>
        <v>#VALUE!</v>
      </c>
      <c r="E198" t="e">
        <f>VLOOKUP(Table8[[#This Row],[MLEO_ID]],Table3[#All],4)</f>
        <v>#VALUE!</v>
      </c>
      <c r="F198" t="e">
        <f>VLOOKUP(Table8[[#This Row],[MLEO_ID]],Table3[#All],5)</f>
        <v>#VALUE!</v>
      </c>
      <c r="G198" t="e">
        <f>VLOOKUP(Table8[[#This Row],[MLEO_ID]],Table3[#All],3)</f>
        <v>#VALUE!</v>
      </c>
      <c r="H198" t="e">
        <f>VLOOKUP(Table8[[#This Row],[MLEO_ID]],Table3[#All],2)</f>
        <v>#VALUE!</v>
      </c>
      <c r="I198" t="e">
        <f>VLOOKUP(Table8[[#This Row],[LEO]],Table1[#All],2)</f>
        <v>#VALUE!</v>
      </c>
      <c r="J198" t="e">
        <f>VLOOKUP(Table8[[#This Row],[LEO]],Table1[#All],5)</f>
        <v>#VALUE!</v>
      </c>
      <c r="K198" t="e">
        <f>VLOOKUP(Table8[[#This Row],[LEO]],Table1[#All],3)</f>
        <v>#VALUE!</v>
      </c>
      <c r="L198" s="19" t="e">
        <f>VLOOKUP(Table8[[#This Row],[ME_ID]],Table4[#All],8)</f>
        <v>#VALUE!</v>
      </c>
    </row>
    <row r="199" spans="1:12" x14ac:dyDescent="0.2">
      <c r="A199" t="e">
        <f>Table4[[#This Row],[ID]]</f>
        <v>#VALUE!</v>
      </c>
      <c r="B199" t="e">
        <f>VLOOKUP(Table8[[#This Row],[ME_ID]],Table4[#All],2)</f>
        <v>#VALUE!</v>
      </c>
      <c r="C199" t="e">
        <f>VLOOKUP(Table8[[#This Row],[ME_ID]],Table4[#All],4)</f>
        <v>#VALUE!</v>
      </c>
      <c r="D199" t="e">
        <f>VLOOKUP(Table8[[#This Row],[ME_ID]],Table4[#All],3)</f>
        <v>#VALUE!</v>
      </c>
      <c r="E199" t="e">
        <f>VLOOKUP(Table8[[#This Row],[MLEO_ID]],Table3[#All],4)</f>
        <v>#VALUE!</v>
      </c>
      <c r="F199" t="e">
        <f>VLOOKUP(Table8[[#This Row],[MLEO_ID]],Table3[#All],5)</f>
        <v>#VALUE!</v>
      </c>
      <c r="G199" t="e">
        <f>VLOOKUP(Table8[[#This Row],[MLEO_ID]],Table3[#All],3)</f>
        <v>#VALUE!</v>
      </c>
      <c r="H199" t="e">
        <f>VLOOKUP(Table8[[#This Row],[MLEO_ID]],Table3[#All],2)</f>
        <v>#VALUE!</v>
      </c>
      <c r="I199" t="e">
        <f>VLOOKUP(Table8[[#This Row],[LEO]],Table1[#All],2)</f>
        <v>#VALUE!</v>
      </c>
      <c r="J199" t="e">
        <f>VLOOKUP(Table8[[#This Row],[LEO]],Table1[#All],5)</f>
        <v>#VALUE!</v>
      </c>
      <c r="K199" t="e">
        <f>VLOOKUP(Table8[[#This Row],[LEO]],Table1[#All],3)</f>
        <v>#VALUE!</v>
      </c>
      <c r="L199" s="19" t="e">
        <f>VLOOKUP(Table8[[#This Row],[ME_ID]],Table4[#All],8)</f>
        <v>#VALUE!</v>
      </c>
    </row>
    <row r="200" spans="1:12" x14ac:dyDescent="0.2">
      <c r="A200" t="e">
        <f>Table4[[#This Row],[ID]]</f>
        <v>#VALUE!</v>
      </c>
      <c r="B200" t="e">
        <f>VLOOKUP(Table8[[#This Row],[ME_ID]],Table4[#All],2)</f>
        <v>#VALUE!</v>
      </c>
      <c r="C200" t="e">
        <f>VLOOKUP(Table8[[#This Row],[ME_ID]],Table4[#All],4)</f>
        <v>#VALUE!</v>
      </c>
      <c r="D200" t="e">
        <f>VLOOKUP(Table8[[#This Row],[ME_ID]],Table4[#All],3)</f>
        <v>#VALUE!</v>
      </c>
      <c r="E200" t="e">
        <f>VLOOKUP(Table8[[#This Row],[MLEO_ID]],Table3[#All],4)</f>
        <v>#VALUE!</v>
      </c>
      <c r="F200" t="e">
        <f>VLOOKUP(Table8[[#This Row],[MLEO_ID]],Table3[#All],5)</f>
        <v>#VALUE!</v>
      </c>
      <c r="G200" t="e">
        <f>VLOOKUP(Table8[[#This Row],[MLEO_ID]],Table3[#All],3)</f>
        <v>#VALUE!</v>
      </c>
      <c r="H200" t="e">
        <f>VLOOKUP(Table8[[#This Row],[MLEO_ID]],Table3[#All],2)</f>
        <v>#VALUE!</v>
      </c>
      <c r="I200" t="e">
        <f>VLOOKUP(Table8[[#This Row],[LEO]],Table1[#All],2)</f>
        <v>#VALUE!</v>
      </c>
      <c r="J200" t="e">
        <f>VLOOKUP(Table8[[#This Row],[LEO]],Table1[#All],5)</f>
        <v>#VALUE!</v>
      </c>
      <c r="K200" t="e">
        <f>VLOOKUP(Table8[[#This Row],[LEO]],Table1[#All],3)</f>
        <v>#VALUE!</v>
      </c>
      <c r="L200" s="19" t="e">
        <f>VLOOKUP(Table8[[#This Row],[ME_ID]],Table4[#All],8)</f>
        <v>#VALUE!</v>
      </c>
    </row>
    <row r="201" spans="1:12" x14ac:dyDescent="0.2">
      <c r="A201" t="e">
        <f>Table4[[#This Row],[ID]]</f>
        <v>#VALUE!</v>
      </c>
      <c r="B201" t="e">
        <f>VLOOKUP(Table8[[#This Row],[ME_ID]],Table4[#All],2)</f>
        <v>#VALUE!</v>
      </c>
      <c r="C201" t="e">
        <f>VLOOKUP(Table8[[#This Row],[ME_ID]],Table4[#All],4)</f>
        <v>#VALUE!</v>
      </c>
      <c r="D201" t="e">
        <f>VLOOKUP(Table8[[#This Row],[ME_ID]],Table4[#All],3)</f>
        <v>#VALUE!</v>
      </c>
      <c r="E201" t="e">
        <f>VLOOKUP(Table8[[#This Row],[MLEO_ID]],Table3[#All],4)</f>
        <v>#VALUE!</v>
      </c>
      <c r="F201" t="e">
        <f>VLOOKUP(Table8[[#This Row],[MLEO_ID]],Table3[#All],5)</f>
        <v>#VALUE!</v>
      </c>
      <c r="G201" t="e">
        <f>VLOOKUP(Table8[[#This Row],[MLEO_ID]],Table3[#All],3)</f>
        <v>#VALUE!</v>
      </c>
      <c r="H201" t="e">
        <f>VLOOKUP(Table8[[#This Row],[MLEO_ID]],Table3[#All],2)</f>
        <v>#VALUE!</v>
      </c>
      <c r="I201" t="e">
        <f>VLOOKUP(Table8[[#This Row],[LEO]],Table1[#All],2)</f>
        <v>#VALUE!</v>
      </c>
      <c r="J201" t="e">
        <f>VLOOKUP(Table8[[#This Row],[LEO]],Table1[#All],5)</f>
        <v>#VALUE!</v>
      </c>
      <c r="K201" t="e">
        <f>VLOOKUP(Table8[[#This Row],[LEO]],Table1[#All],3)</f>
        <v>#VALUE!</v>
      </c>
      <c r="L201" s="19" t="e">
        <f>VLOOKUP(Table8[[#This Row],[ME_ID]],Table4[#All],8)</f>
        <v>#VALUE!</v>
      </c>
    </row>
    <row r="202" spans="1:12" x14ac:dyDescent="0.2">
      <c r="A202" t="e">
        <f>Table4[[#This Row],[ID]]</f>
        <v>#VALUE!</v>
      </c>
      <c r="B202" t="e">
        <f>VLOOKUP(Table8[[#This Row],[ME_ID]],Table4[#All],2)</f>
        <v>#VALUE!</v>
      </c>
      <c r="C202" t="e">
        <f>VLOOKUP(Table8[[#This Row],[ME_ID]],Table4[#All],4)</f>
        <v>#VALUE!</v>
      </c>
      <c r="D202" t="e">
        <f>VLOOKUP(Table8[[#This Row],[ME_ID]],Table4[#All],3)</f>
        <v>#VALUE!</v>
      </c>
      <c r="E202" t="e">
        <f>VLOOKUP(Table8[[#This Row],[MLEO_ID]],Table3[#All],4)</f>
        <v>#VALUE!</v>
      </c>
      <c r="F202" t="e">
        <f>VLOOKUP(Table8[[#This Row],[MLEO_ID]],Table3[#All],5)</f>
        <v>#VALUE!</v>
      </c>
      <c r="G202" t="e">
        <f>VLOOKUP(Table8[[#This Row],[MLEO_ID]],Table3[#All],3)</f>
        <v>#VALUE!</v>
      </c>
      <c r="H202" t="e">
        <f>VLOOKUP(Table8[[#This Row],[MLEO_ID]],Table3[#All],2)</f>
        <v>#VALUE!</v>
      </c>
      <c r="I202" t="e">
        <f>VLOOKUP(Table8[[#This Row],[LEO]],Table1[#All],2)</f>
        <v>#VALUE!</v>
      </c>
      <c r="J202" t="e">
        <f>VLOOKUP(Table8[[#This Row],[LEO]],Table1[#All],5)</f>
        <v>#VALUE!</v>
      </c>
      <c r="K202" t="e">
        <f>VLOOKUP(Table8[[#This Row],[LEO]],Table1[#All],3)</f>
        <v>#VALUE!</v>
      </c>
      <c r="L202" s="19" t="e">
        <f>VLOOKUP(Table8[[#This Row],[ME_ID]],Table4[#All],8)</f>
        <v>#VALUE!</v>
      </c>
    </row>
    <row r="203" spans="1:12" x14ac:dyDescent="0.2">
      <c r="A203" t="e">
        <f>Table4[[#This Row],[ID]]</f>
        <v>#VALUE!</v>
      </c>
      <c r="B203" t="e">
        <f>VLOOKUP(Table8[[#This Row],[ME_ID]],Table4[#All],2)</f>
        <v>#VALUE!</v>
      </c>
      <c r="C203" t="e">
        <f>VLOOKUP(Table8[[#This Row],[ME_ID]],Table4[#All],4)</f>
        <v>#VALUE!</v>
      </c>
      <c r="D203" t="e">
        <f>VLOOKUP(Table8[[#This Row],[ME_ID]],Table4[#All],3)</f>
        <v>#VALUE!</v>
      </c>
      <c r="E203" t="e">
        <f>VLOOKUP(Table8[[#This Row],[MLEO_ID]],Table3[#All],4)</f>
        <v>#VALUE!</v>
      </c>
      <c r="F203" t="e">
        <f>VLOOKUP(Table8[[#This Row],[MLEO_ID]],Table3[#All],5)</f>
        <v>#VALUE!</v>
      </c>
      <c r="G203" t="e">
        <f>VLOOKUP(Table8[[#This Row],[MLEO_ID]],Table3[#All],3)</f>
        <v>#VALUE!</v>
      </c>
      <c r="H203" t="e">
        <f>VLOOKUP(Table8[[#This Row],[MLEO_ID]],Table3[#All],2)</f>
        <v>#VALUE!</v>
      </c>
      <c r="I203" t="e">
        <f>VLOOKUP(Table8[[#This Row],[LEO]],Table1[#All],2)</f>
        <v>#VALUE!</v>
      </c>
      <c r="J203" t="e">
        <f>VLOOKUP(Table8[[#This Row],[LEO]],Table1[#All],5)</f>
        <v>#VALUE!</v>
      </c>
      <c r="K203" t="e">
        <f>VLOOKUP(Table8[[#This Row],[LEO]],Table1[#All],3)</f>
        <v>#VALUE!</v>
      </c>
      <c r="L203" s="19" t="e">
        <f>VLOOKUP(Table8[[#This Row],[ME_ID]],Table4[#All],8)</f>
        <v>#VALUE!</v>
      </c>
    </row>
    <row r="204" spans="1:12" x14ac:dyDescent="0.2">
      <c r="A204" t="e">
        <f>Table4[[#This Row],[ID]]</f>
        <v>#VALUE!</v>
      </c>
      <c r="B204" t="e">
        <f>VLOOKUP(Table8[[#This Row],[ME_ID]],Table4[#All],2)</f>
        <v>#VALUE!</v>
      </c>
      <c r="C204" t="e">
        <f>VLOOKUP(Table8[[#This Row],[ME_ID]],Table4[#All],4)</f>
        <v>#VALUE!</v>
      </c>
      <c r="D204" t="e">
        <f>VLOOKUP(Table8[[#This Row],[ME_ID]],Table4[#All],3)</f>
        <v>#VALUE!</v>
      </c>
      <c r="E204" t="e">
        <f>VLOOKUP(Table8[[#This Row],[MLEO_ID]],Table3[#All],4)</f>
        <v>#VALUE!</v>
      </c>
      <c r="F204" t="e">
        <f>VLOOKUP(Table8[[#This Row],[MLEO_ID]],Table3[#All],5)</f>
        <v>#VALUE!</v>
      </c>
      <c r="G204" t="e">
        <f>VLOOKUP(Table8[[#This Row],[MLEO_ID]],Table3[#All],3)</f>
        <v>#VALUE!</v>
      </c>
      <c r="H204" t="e">
        <f>VLOOKUP(Table8[[#This Row],[MLEO_ID]],Table3[#All],2)</f>
        <v>#VALUE!</v>
      </c>
      <c r="I204" t="e">
        <f>VLOOKUP(Table8[[#This Row],[LEO]],Table1[#All],2)</f>
        <v>#VALUE!</v>
      </c>
      <c r="J204" t="e">
        <f>VLOOKUP(Table8[[#This Row],[LEO]],Table1[#All],5)</f>
        <v>#VALUE!</v>
      </c>
      <c r="K204" t="e">
        <f>VLOOKUP(Table8[[#This Row],[LEO]],Table1[#All],3)</f>
        <v>#VALUE!</v>
      </c>
      <c r="L204" s="19" t="e">
        <f>VLOOKUP(Table8[[#This Row],[ME_ID]],Table4[#All],8)</f>
        <v>#VALUE!</v>
      </c>
    </row>
    <row r="205" spans="1:12" x14ac:dyDescent="0.2">
      <c r="A205" t="e">
        <f>Table4[[#This Row],[ID]]</f>
        <v>#VALUE!</v>
      </c>
      <c r="B205" t="e">
        <f>VLOOKUP(Table8[[#This Row],[ME_ID]],Table4[#All],2)</f>
        <v>#VALUE!</v>
      </c>
      <c r="C205" t="e">
        <f>VLOOKUP(Table8[[#This Row],[ME_ID]],Table4[#All],4)</f>
        <v>#VALUE!</v>
      </c>
      <c r="D205" t="e">
        <f>VLOOKUP(Table8[[#This Row],[ME_ID]],Table4[#All],3)</f>
        <v>#VALUE!</v>
      </c>
      <c r="E205" t="e">
        <f>VLOOKUP(Table8[[#This Row],[MLEO_ID]],Table3[#All],4)</f>
        <v>#VALUE!</v>
      </c>
      <c r="F205" t="e">
        <f>VLOOKUP(Table8[[#This Row],[MLEO_ID]],Table3[#All],5)</f>
        <v>#VALUE!</v>
      </c>
      <c r="G205" t="e">
        <f>VLOOKUP(Table8[[#This Row],[MLEO_ID]],Table3[#All],3)</f>
        <v>#VALUE!</v>
      </c>
      <c r="H205" t="e">
        <f>VLOOKUP(Table8[[#This Row],[MLEO_ID]],Table3[#All],2)</f>
        <v>#VALUE!</v>
      </c>
      <c r="I205" t="e">
        <f>VLOOKUP(Table8[[#This Row],[LEO]],Table1[#All],2)</f>
        <v>#VALUE!</v>
      </c>
      <c r="J205" t="e">
        <f>VLOOKUP(Table8[[#This Row],[LEO]],Table1[#All],5)</f>
        <v>#VALUE!</v>
      </c>
      <c r="K205" t="e">
        <f>VLOOKUP(Table8[[#This Row],[LEO]],Table1[#All],3)</f>
        <v>#VALUE!</v>
      </c>
      <c r="L205" s="19" t="e">
        <f>VLOOKUP(Table8[[#This Row],[ME_ID]],Table4[#All],8)</f>
        <v>#VALUE!</v>
      </c>
    </row>
    <row r="206" spans="1:12" x14ac:dyDescent="0.2">
      <c r="A206" t="e">
        <f>Table4[[#This Row],[ID]]</f>
        <v>#VALUE!</v>
      </c>
      <c r="B206" t="e">
        <f>VLOOKUP(Table8[[#This Row],[ME_ID]],Table4[#All],2)</f>
        <v>#VALUE!</v>
      </c>
      <c r="C206" t="e">
        <f>VLOOKUP(Table8[[#This Row],[ME_ID]],Table4[#All],4)</f>
        <v>#VALUE!</v>
      </c>
      <c r="D206" t="e">
        <f>VLOOKUP(Table8[[#This Row],[ME_ID]],Table4[#All],3)</f>
        <v>#VALUE!</v>
      </c>
      <c r="E206" t="e">
        <f>VLOOKUP(Table8[[#This Row],[MLEO_ID]],Table3[#All],4)</f>
        <v>#VALUE!</v>
      </c>
      <c r="F206" t="e">
        <f>VLOOKUP(Table8[[#This Row],[MLEO_ID]],Table3[#All],5)</f>
        <v>#VALUE!</v>
      </c>
      <c r="G206" t="e">
        <f>VLOOKUP(Table8[[#This Row],[MLEO_ID]],Table3[#All],3)</f>
        <v>#VALUE!</v>
      </c>
      <c r="H206" t="e">
        <f>VLOOKUP(Table8[[#This Row],[MLEO_ID]],Table3[#All],2)</f>
        <v>#VALUE!</v>
      </c>
      <c r="I206" t="e">
        <f>VLOOKUP(Table8[[#This Row],[LEO]],Table1[#All],2)</f>
        <v>#VALUE!</v>
      </c>
      <c r="J206" t="e">
        <f>VLOOKUP(Table8[[#This Row],[LEO]],Table1[#All],5)</f>
        <v>#VALUE!</v>
      </c>
      <c r="K206" t="e">
        <f>VLOOKUP(Table8[[#This Row],[LEO]],Table1[#All],3)</f>
        <v>#VALUE!</v>
      </c>
      <c r="L206" s="19" t="e">
        <f>VLOOKUP(Table8[[#This Row],[ME_ID]],Table4[#All],8)</f>
        <v>#VALUE!</v>
      </c>
    </row>
    <row r="207" spans="1:12" x14ac:dyDescent="0.2">
      <c r="A207" t="e">
        <f>Table4[[#This Row],[ID]]</f>
        <v>#VALUE!</v>
      </c>
      <c r="B207" t="e">
        <f>VLOOKUP(Table8[[#This Row],[ME_ID]],Table4[#All],2)</f>
        <v>#VALUE!</v>
      </c>
      <c r="C207" t="e">
        <f>VLOOKUP(Table8[[#This Row],[ME_ID]],Table4[#All],4)</f>
        <v>#VALUE!</v>
      </c>
      <c r="D207" t="e">
        <f>VLOOKUP(Table8[[#This Row],[ME_ID]],Table4[#All],3)</f>
        <v>#VALUE!</v>
      </c>
      <c r="E207" t="e">
        <f>VLOOKUP(Table8[[#This Row],[MLEO_ID]],Table3[#All],4)</f>
        <v>#VALUE!</v>
      </c>
      <c r="F207" t="e">
        <f>VLOOKUP(Table8[[#This Row],[MLEO_ID]],Table3[#All],5)</f>
        <v>#VALUE!</v>
      </c>
      <c r="G207" t="e">
        <f>VLOOKUP(Table8[[#This Row],[MLEO_ID]],Table3[#All],3)</f>
        <v>#VALUE!</v>
      </c>
      <c r="H207" t="e">
        <f>VLOOKUP(Table8[[#This Row],[MLEO_ID]],Table3[#All],2)</f>
        <v>#VALUE!</v>
      </c>
      <c r="I207" t="e">
        <f>VLOOKUP(Table8[[#This Row],[LEO]],Table1[#All],2)</f>
        <v>#VALUE!</v>
      </c>
      <c r="J207" t="e">
        <f>VLOOKUP(Table8[[#This Row],[LEO]],Table1[#All],5)</f>
        <v>#VALUE!</v>
      </c>
      <c r="K207" t="e">
        <f>VLOOKUP(Table8[[#This Row],[LEO]],Table1[#All],3)</f>
        <v>#VALUE!</v>
      </c>
      <c r="L207" s="19" t="e">
        <f>VLOOKUP(Table8[[#This Row],[ME_ID]],Table4[#All],8)</f>
        <v>#VALUE!</v>
      </c>
    </row>
    <row r="208" spans="1:12" x14ac:dyDescent="0.2">
      <c r="A208" t="e">
        <f>Table4[[#This Row],[ID]]</f>
        <v>#VALUE!</v>
      </c>
      <c r="B208" t="e">
        <f>VLOOKUP(Table8[[#This Row],[ME_ID]],Table4[#All],2)</f>
        <v>#VALUE!</v>
      </c>
      <c r="C208" t="e">
        <f>VLOOKUP(Table8[[#This Row],[ME_ID]],Table4[#All],4)</f>
        <v>#VALUE!</v>
      </c>
      <c r="D208" t="e">
        <f>VLOOKUP(Table8[[#This Row],[ME_ID]],Table4[#All],3)</f>
        <v>#VALUE!</v>
      </c>
      <c r="E208" t="e">
        <f>VLOOKUP(Table8[[#This Row],[MLEO_ID]],Table3[#All],4)</f>
        <v>#VALUE!</v>
      </c>
      <c r="F208" t="e">
        <f>VLOOKUP(Table8[[#This Row],[MLEO_ID]],Table3[#All],5)</f>
        <v>#VALUE!</v>
      </c>
      <c r="G208" t="e">
        <f>VLOOKUP(Table8[[#This Row],[MLEO_ID]],Table3[#All],3)</f>
        <v>#VALUE!</v>
      </c>
      <c r="H208" t="e">
        <f>VLOOKUP(Table8[[#This Row],[MLEO_ID]],Table3[#All],2)</f>
        <v>#VALUE!</v>
      </c>
      <c r="I208" t="e">
        <f>VLOOKUP(Table8[[#This Row],[LEO]],Table1[#All],2)</f>
        <v>#VALUE!</v>
      </c>
      <c r="J208" t="e">
        <f>VLOOKUP(Table8[[#This Row],[LEO]],Table1[#All],5)</f>
        <v>#VALUE!</v>
      </c>
      <c r="K208" t="e">
        <f>VLOOKUP(Table8[[#This Row],[LEO]],Table1[#All],3)</f>
        <v>#VALUE!</v>
      </c>
      <c r="L208" s="19" t="e">
        <f>VLOOKUP(Table8[[#This Row],[ME_ID]],Table4[#All],8)</f>
        <v>#VALUE!</v>
      </c>
    </row>
    <row r="209" spans="1:12" x14ac:dyDescent="0.2">
      <c r="A209" t="e">
        <f>Table4[[#This Row],[ID]]</f>
        <v>#VALUE!</v>
      </c>
      <c r="B209" t="e">
        <f>VLOOKUP(Table8[[#This Row],[ME_ID]],Table4[#All],2)</f>
        <v>#VALUE!</v>
      </c>
      <c r="C209" t="e">
        <f>VLOOKUP(Table8[[#This Row],[ME_ID]],Table4[#All],4)</f>
        <v>#VALUE!</v>
      </c>
      <c r="D209" t="e">
        <f>VLOOKUP(Table8[[#This Row],[ME_ID]],Table4[#All],3)</f>
        <v>#VALUE!</v>
      </c>
      <c r="E209" t="e">
        <f>VLOOKUP(Table8[[#This Row],[MLEO_ID]],Table3[#All],4)</f>
        <v>#VALUE!</v>
      </c>
      <c r="F209" t="e">
        <f>VLOOKUP(Table8[[#This Row],[MLEO_ID]],Table3[#All],5)</f>
        <v>#VALUE!</v>
      </c>
      <c r="G209" t="e">
        <f>VLOOKUP(Table8[[#This Row],[MLEO_ID]],Table3[#All],3)</f>
        <v>#VALUE!</v>
      </c>
      <c r="H209" t="e">
        <f>VLOOKUP(Table8[[#This Row],[MLEO_ID]],Table3[#All],2)</f>
        <v>#VALUE!</v>
      </c>
      <c r="I209" t="e">
        <f>VLOOKUP(Table8[[#This Row],[LEO]],Table1[#All],2)</f>
        <v>#VALUE!</v>
      </c>
      <c r="J209" t="e">
        <f>VLOOKUP(Table8[[#This Row],[LEO]],Table1[#All],5)</f>
        <v>#VALUE!</v>
      </c>
      <c r="K209" t="e">
        <f>VLOOKUP(Table8[[#This Row],[LEO]],Table1[#All],3)</f>
        <v>#VALUE!</v>
      </c>
      <c r="L209" s="19" t="e">
        <f>VLOOKUP(Table8[[#This Row],[ME_ID]],Table4[#All],8)</f>
        <v>#VALUE!</v>
      </c>
    </row>
    <row r="210" spans="1:12" x14ac:dyDescent="0.2">
      <c r="A210" t="e">
        <f>Table4[[#This Row],[ID]]</f>
        <v>#VALUE!</v>
      </c>
      <c r="B210" t="e">
        <f>VLOOKUP(Table8[[#This Row],[ME_ID]],Table4[#All],2)</f>
        <v>#VALUE!</v>
      </c>
      <c r="C210" t="e">
        <f>VLOOKUP(Table8[[#This Row],[ME_ID]],Table4[#All],4)</f>
        <v>#VALUE!</v>
      </c>
      <c r="D210" t="e">
        <f>VLOOKUP(Table8[[#This Row],[ME_ID]],Table4[#All],3)</f>
        <v>#VALUE!</v>
      </c>
      <c r="E210" t="e">
        <f>VLOOKUP(Table8[[#This Row],[MLEO_ID]],Table3[#All],4)</f>
        <v>#VALUE!</v>
      </c>
      <c r="F210" t="e">
        <f>VLOOKUP(Table8[[#This Row],[MLEO_ID]],Table3[#All],5)</f>
        <v>#VALUE!</v>
      </c>
      <c r="G210" t="e">
        <f>VLOOKUP(Table8[[#This Row],[MLEO_ID]],Table3[#All],3)</f>
        <v>#VALUE!</v>
      </c>
      <c r="H210" t="e">
        <f>VLOOKUP(Table8[[#This Row],[MLEO_ID]],Table3[#All],2)</f>
        <v>#VALUE!</v>
      </c>
      <c r="I210" t="e">
        <f>VLOOKUP(Table8[[#This Row],[LEO]],Table1[#All],2)</f>
        <v>#VALUE!</v>
      </c>
      <c r="J210" t="e">
        <f>VLOOKUP(Table8[[#This Row],[LEO]],Table1[#All],5)</f>
        <v>#VALUE!</v>
      </c>
      <c r="K210" t="e">
        <f>VLOOKUP(Table8[[#This Row],[LEO]],Table1[#All],3)</f>
        <v>#VALUE!</v>
      </c>
      <c r="L210" s="19" t="e">
        <f>VLOOKUP(Table8[[#This Row],[ME_ID]],Table4[#All],8)</f>
        <v>#VALUE!</v>
      </c>
    </row>
    <row r="211" spans="1:12" x14ac:dyDescent="0.2">
      <c r="A211" t="e">
        <f>Table4[[#This Row],[ID]]</f>
        <v>#VALUE!</v>
      </c>
      <c r="B211" t="e">
        <f>VLOOKUP(Table8[[#This Row],[ME_ID]],Table4[#All],2)</f>
        <v>#VALUE!</v>
      </c>
      <c r="C211" t="e">
        <f>VLOOKUP(Table8[[#This Row],[ME_ID]],Table4[#All],4)</f>
        <v>#VALUE!</v>
      </c>
      <c r="D211" t="e">
        <f>VLOOKUP(Table8[[#This Row],[ME_ID]],Table4[#All],3)</f>
        <v>#VALUE!</v>
      </c>
      <c r="E211" t="e">
        <f>VLOOKUP(Table8[[#This Row],[MLEO_ID]],Table3[#All],4)</f>
        <v>#VALUE!</v>
      </c>
      <c r="F211" t="e">
        <f>VLOOKUP(Table8[[#This Row],[MLEO_ID]],Table3[#All],5)</f>
        <v>#VALUE!</v>
      </c>
      <c r="G211" t="e">
        <f>VLOOKUP(Table8[[#This Row],[MLEO_ID]],Table3[#All],3)</f>
        <v>#VALUE!</v>
      </c>
      <c r="H211" t="e">
        <f>VLOOKUP(Table8[[#This Row],[MLEO_ID]],Table3[#All],2)</f>
        <v>#VALUE!</v>
      </c>
      <c r="I211" t="e">
        <f>VLOOKUP(Table8[[#This Row],[LEO]],Table1[#All],2)</f>
        <v>#VALUE!</v>
      </c>
      <c r="J211" t="e">
        <f>VLOOKUP(Table8[[#This Row],[LEO]],Table1[#All],5)</f>
        <v>#VALUE!</v>
      </c>
      <c r="K211" t="e">
        <f>VLOOKUP(Table8[[#This Row],[LEO]],Table1[#All],3)</f>
        <v>#VALUE!</v>
      </c>
      <c r="L211" s="19" t="e">
        <f>VLOOKUP(Table8[[#This Row],[ME_ID]],Table4[#All],8)</f>
        <v>#VALUE!</v>
      </c>
    </row>
    <row r="212" spans="1:12" x14ac:dyDescent="0.2">
      <c r="A212" t="e">
        <f>Table4[[#This Row],[ID]]</f>
        <v>#VALUE!</v>
      </c>
      <c r="B212" t="e">
        <f>VLOOKUP(Table8[[#This Row],[ME_ID]],Table4[#All],2)</f>
        <v>#VALUE!</v>
      </c>
      <c r="C212" t="e">
        <f>VLOOKUP(Table8[[#This Row],[ME_ID]],Table4[#All],4)</f>
        <v>#VALUE!</v>
      </c>
      <c r="D212" t="e">
        <f>VLOOKUP(Table8[[#This Row],[ME_ID]],Table4[#All],3)</f>
        <v>#VALUE!</v>
      </c>
      <c r="E212" t="e">
        <f>VLOOKUP(Table8[[#This Row],[MLEO_ID]],Table3[#All],4)</f>
        <v>#VALUE!</v>
      </c>
      <c r="F212" t="e">
        <f>VLOOKUP(Table8[[#This Row],[MLEO_ID]],Table3[#All],5)</f>
        <v>#VALUE!</v>
      </c>
      <c r="G212" t="e">
        <f>VLOOKUP(Table8[[#This Row],[MLEO_ID]],Table3[#All],3)</f>
        <v>#VALUE!</v>
      </c>
      <c r="H212" t="e">
        <f>VLOOKUP(Table8[[#This Row],[MLEO_ID]],Table3[#All],2)</f>
        <v>#VALUE!</v>
      </c>
      <c r="I212" t="e">
        <f>VLOOKUP(Table8[[#This Row],[LEO]],Table1[#All],2)</f>
        <v>#VALUE!</v>
      </c>
      <c r="J212" t="e">
        <f>VLOOKUP(Table8[[#This Row],[LEO]],Table1[#All],5)</f>
        <v>#VALUE!</v>
      </c>
      <c r="K212" t="e">
        <f>VLOOKUP(Table8[[#This Row],[LEO]],Table1[#All],3)</f>
        <v>#VALUE!</v>
      </c>
      <c r="L212" s="19" t="e">
        <f>VLOOKUP(Table8[[#This Row],[ME_ID]],Table4[#All],8)</f>
        <v>#VALUE!</v>
      </c>
    </row>
    <row r="213" spans="1:12" x14ac:dyDescent="0.2">
      <c r="A213" t="e">
        <f>Table4[[#This Row],[ID]]</f>
        <v>#VALUE!</v>
      </c>
      <c r="B213" t="e">
        <f>VLOOKUP(Table8[[#This Row],[ME_ID]],Table4[#All],2)</f>
        <v>#VALUE!</v>
      </c>
      <c r="C213" t="e">
        <f>VLOOKUP(Table8[[#This Row],[ME_ID]],Table4[#All],4)</f>
        <v>#VALUE!</v>
      </c>
      <c r="D213" t="e">
        <f>VLOOKUP(Table8[[#This Row],[ME_ID]],Table4[#All],3)</f>
        <v>#VALUE!</v>
      </c>
      <c r="E213" t="e">
        <f>VLOOKUP(Table8[[#This Row],[MLEO_ID]],Table3[#All],4)</f>
        <v>#VALUE!</v>
      </c>
      <c r="F213" t="e">
        <f>VLOOKUP(Table8[[#This Row],[MLEO_ID]],Table3[#All],5)</f>
        <v>#VALUE!</v>
      </c>
      <c r="G213" t="e">
        <f>VLOOKUP(Table8[[#This Row],[MLEO_ID]],Table3[#All],3)</f>
        <v>#VALUE!</v>
      </c>
      <c r="H213" t="e">
        <f>VLOOKUP(Table8[[#This Row],[MLEO_ID]],Table3[#All],2)</f>
        <v>#VALUE!</v>
      </c>
      <c r="I213" t="e">
        <f>VLOOKUP(Table8[[#This Row],[LEO]],Table1[#All],2)</f>
        <v>#VALUE!</v>
      </c>
      <c r="J213" t="e">
        <f>VLOOKUP(Table8[[#This Row],[LEO]],Table1[#All],5)</f>
        <v>#VALUE!</v>
      </c>
      <c r="K213" t="e">
        <f>VLOOKUP(Table8[[#This Row],[LEO]],Table1[#All],3)</f>
        <v>#VALUE!</v>
      </c>
      <c r="L213" s="19" t="e">
        <f>VLOOKUP(Table8[[#This Row],[ME_ID]],Table4[#All],8)</f>
        <v>#VALUE!</v>
      </c>
    </row>
    <row r="214" spans="1:12" x14ac:dyDescent="0.2">
      <c r="A214" t="e">
        <f>Table4[[#This Row],[ID]]</f>
        <v>#VALUE!</v>
      </c>
      <c r="B214" t="e">
        <f>VLOOKUP(Table8[[#This Row],[ME_ID]],Table4[#All],2)</f>
        <v>#VALUE!</v>
      </c>
      <c r="C214" t="e">
        <f>VLOOKUP(Table8[[#This Row],[ME_ID]],Table4[#All],4)</f>
        <v>#VALUE!</v>
      </c>
      <c r="D214" t="e">
        <f>VLOOKUP(Table8[[#This Row],[ME_ID]],Table4[#All],3)</f>
        <v>#VALUE!</v>
      </c>
      <c r="E214" t="e">
        <f>VLOOKUP(Table8[[#This Row],[MLEO_ID]],Table3[#All],4)</f>
        <v>#VALUE!</v>
      </c>
      <c r="F214" t="e">
        <f>VLOOKUP(Table8[[#This Row],[MLEO_ID]],Table3[#All],5)</f>
        <v>#VALUE!</v>
      </c>
      <c r="G214" t="e">
        <f>VLOOKUP(Table8[[#This Row],[MLEO_ID]],Table3[#All],3)</f>
        <v>#VALUE!</v>
      </c>
      <c r="H214" t="e">
        <f>VLOOKUP(Table8[[#This Row],[MLEO_ID]],Table3[#All],2)</f>
        <v>#VALUE!</v>
      </c>
      <c r="I214" t="e">
        <f>VLOOKUP(Table8[[#This Row],[LEO]],Table1[#All],2)</f>
        <v>#VALUE!</v>
      </c>
      <c r="J214" t="e">
        <f>VLOOKUP(Table8[[#This Row],[LEO]],Table1[#All],5)</f>
        <v>#VALUE!</v>
      </c>
      <c r="K214" t="e">
        <f>VLOOKUP(Table8[[#This Row],[LEO]],Table1[#All],3)</f>
        <v>#VALUE!</v>
      </c>
      <c r="L214" s="19" t="e">
        <f>VLOOKUP(Table8[[#This Row],[ME_ID]],Table4[#All],8)</f>
        <v>#VALUE!</v>
      </c>
    </row>
    <row r="215" spans="1:12" x14ac:dyDescent="0.2">
      <c r="A215" t="e">
        <f>Table4[[#This Row],[ID]]</f>
        <v>#VALUE!</v>
      </c>
      <c r="B215" t="e">
        <f>VLOOKUP(Table8[[#This Row],[ME_ID]],Table4[#All],2)</f>
        <v>#VALUE!</v>
      </c>
      <c r="C215" t="e">
        <f>VLOOKUP(Table8[[#This Row],[ME_ID]],Table4[#All],4)</f>
        <v>#VALUE!</v>
      </c>
      <c r="D215" t="e">
        <f>VLOOKUP(Table8[[#This Row],[ME_ID]],Table4[#All],3)</f>
        <v>#VALUE!</v>
      </c>
      <c r="E215" t="e">
        <f>VLOOKUP(Table8[[#This Row],[MLEO_ID]],Table3[#All],4)</f>
        <v>#VALUE!</v>
      </c>
      <c r="F215" t="e">
        <f>VLOOKUP(Table8[[#This Row],[MLEO_ID]],Table3[#All],5)</f>
        <v>#VALUE!</v>
      </c>
      <c r="G215" t="e">
        <f>VLOOKUP(Table8[[#This Row],[MLEO_ID]],Table3[#All],3)</f>
        <v>#VALUE!</v>
      </c>
      <c r="H215" t="e">
        <f>VLOOKUP(Table8[[#This Row],[MLEO_ID]],Table3[#All],2)</f>
        <v>#VALUE!</v>
      </c>
      <c r="I215" t="e">
        <f>VLOOKUP(Table8[[#This Row],[LEO]],Table1[#All],2)</f>
        <v>#VALUE!</v>
      </c>
      <c r="J215" t="e">
        <f>VLOOKUP(Table8[[#This Row],[LEO]],Table1[#All],5)</f>
        <v>#VALUE!</v>
      </c>
      <c r="K215" t="e">
        <f>VLOOKUP(Table8[[#This Row],[LEO]],Table1[#All],3)</f>
        <v>#VALUE!</v>
      </c>
      <c r="L215" s="19" t="e">
        <f>VLOOKUP(Table8[[#This Row],[ME_ID]],Table4[#All],8)</f>
        <v>#VALUE!</v>
      </c>
    </row>
    <row r="216" spans="1:12" x14ac:dyDescent="0.2">
      <c r="A216" t="e">
        <f>Table4[[#This Row],[ID]]</f>
        <v>#VALUE!</v>
      </c>
      <c r="B216" t="e">
        <f>VLOOKUP(Table8[[#This Row],[ME_ID]],Table4[#All],2)</f>
        <v>#VALUE!</v>
      </c>
      <c r="C216" t="e">
        <f>VLOOKUP(Table8[[#This Row],[ME_ID]],Table4[#All],4)</f>
        <v>#VALUE!</v>
      </c>
      <c r="D216" t="e">
        <f>VLOOKUP(Table8[[#This Row],[ME_ID]],Table4[#All],3)</f>
        <v>#VALUE!</v>
      </c>
      <c r="E216" t="e">
        <f>VLOOKUP(Table8[[#This Row],[MLEO_ID]],Table3[#All],4)</f>
        <v>#VALUE!</v>
      </c>
      <c r="F216" t="e">
        <f>VLOOKUP(Table8[[#This Row],[MLEO_ID]],Table3[#All],5)</f>
        <v>#VALUE!</v>
      </c>
      <c r="G216" t="e">
        <f>VLOOKUP(Table8[[#This Row],[MLEO_ID]],Table3[#All],3)</f>
        <v>#VALUE!</v>
      </c>
      <c r="H216" t="e">
        <f>VLOOKUP(Table8[[#This Row],[MLEO_ID]],Table3[#All],2)</f>
        <v>#VALUE!</v>
      </c>
      <c r="I216" t="e">
        <f>VLOOKUP(Table8[[#This Row],[LEO]],Table1[#All],2)</f>
        <v>#VALUE!</v>
      </c>
      <c r="J216" t="e">
        <f>VLOOKUP(Table8[[#This Row],[LEO]],Table1[#All],5)</f>
        <v>#VALUE!</v>
      </c>
      <c r="K216" t="e">
        <f>VLOOKUP(Table8[[#This Row],[LEO]],Table1[#All],3)</f>
        <v>#VALUE!</v>
      </c>
      <c r="L216" s="19" t="e">
        <f>VLOOKUP(Table8[[#This Row],[ME_ID]],Table4[#All],8)</f>
        <v>#VALUE!</v>
      </c>
    </row>
    <row r="217" spans="1:12" x14ac:dyDescent="0.2">
      <c r="A217" t="e">
        <f>Table4[[#This Row],[ID]]</f>
        <v>#VALUE!</v>
      </c>
      <c r="B217" t="e">
        <f>VLOOKUP(Table8[[#This Row],[ME_ID]],Table4[#All],2)</f>
        <v>#VALUE!</v>
      </c>
      <c r="C217" t="e">
        <f>VLOOKUP(Table8[[#This Row],[ME_ID]],Table4[#All],4)</f>
        <v>#VALUE!</v>
      </c>
      <c r="D217" t="e">
        <f>VLOOKUP(Table8[[#This Row],[ME_ID]],Table4[#All],3)</f>
        <v>#VALUE!</v>
      </c>
      <c r="E217" t="e">
        <f>VLOOKUP(Table8[[#This Row],[MLEO_ID]],Table3[#All],4)</f>
        <v>#VALUE!</v>
      </c>
      <c r="F217" t="e">
        <f>VLOOKUP(Table8[[#This Row],[MLEO_ID]],Table3[#All],5)</f>
        <v>#VALUE!</v>
      </c>
      <c r="G217" t="e">
        <f>VLOOKUP(Table8[[#This Row],[MLEO_ID]],Table3[#All],3)</f>
        <v>#VALUE!</v>
      </c>
      <c r="H217" t="e">
        <f>VLOOKUP(Table8[[#This Row],[MLEO_ID]],Table3[#All],2)</f>
        <v>#VALUE!</v>
      </c>
      <c r="I217" t="e">
        <f>VLOOKUP(Table8[[#This Row],[LEO]],Table1[#All],2)</f>
        <v>#VALUE!</v>
      </c>
      <c r="J217" t="e">
        <f>VLOOKUP(Table8[[#This Row],[LEO]],Table1[#All],5)</f>
        <v>#VALUE!</v>
      </c>
      <c r="K217" t="e">
        <f>VLOOKUP(Table8[[#This Row],[LEO]],Table1[#All],3)</f>
        <v>#VALUE!</v>
      </c>
      <c r="L217" s="19" t="e">
        <f>VLOOKUP(Table8[[#This Row],[ME_ID]],Table4[#All],8)</f>
        <v>#VALUE!</v>
      </c>
    </row>
    <row r="218" spans="1:12" x14ac:dyDescent="0.2">
      <c r="A218" t="e">
        <f>Table4[[#This Row],[ID]]</f>
        <v>#VALUE!</v>
      </c>
      <c r="B218" t="e">
        <f>VLOOKUP(Table8[[#This Row],[ME_ID]],Table4[#All],2)</f>
        <v>#VALUE!</v>
      </c>
      <c r="C218" t="e">
        <f>VLOOKUP(Table8[[#This Row],[ME_ID]],Table4[#All],4)</f>
        <v>#VALUE!</v>
      </c>
      <c r="D218" t="e">
        <f>VLOOKUP(Table8[[#This Row],[ME_ID]],Table4[#All],3)</f>
        <v>#VALUE!</v>
      </c>
      <c r="E218" t="e">
        <f>VLOOKUP(Table8[[#This Row],[MLEO_ID]],Table3[#All],4)</f>
        <v>#VALUE!</v>
      </c>
      <c r="F218" t="e">
        <f>VLOOKUP(Table8[[#This Row],[MLEO_ID]],Table3[#All],5)</f>
        <v>#VALUE!</v>
      </c>
      <c r="G218" t="e">
        <f>VLOOKUP(Table8[[#This Row],[MLEO_ID]],Table3[#All],3)</f>
        <v>#VALUE!</v>
      </c>
      <c r="H218" t="e">
        <f>VLOOKUP(Table8[[#This Row],[MLEO_ID]],Table3[#All],2)</f>
        <v>#VALUE!</v>
      </c>
      <c r="I218" t="e">
        <f>VLOOKUP(Table8[[#This Row],[LEO]],Table1[#All],2)</f>
        <v>#VALUE!</v>
      </c>
      <c r="J218" t="e">
        <f>VLOOKUP(Table8[[#This Row],[LEO]],Table1[#All],5)</f>
        <v>#VALUE!</v>
      </c>
      <c r="K218" t="e">
        <f>VLOOKUP(Table8[[#This Row],[LEO]],Table1[#All],3)</f>
        <v>#VALUE!</v>
      </c>
      <c r="L218" s="19" t="e">
        <f>VLOOKUP(Table8[[#This Row],[ME_ID]],Table4[#All],8)</f>
        <v>#VALUE!</v>
      </c>
    </row>
    <row r="219" spans="1:12" x14ac:dyDescent="0.2">
      <c r="A219" t="e">
        <f>Table4[[#This Row],[ID]]</f>
        <v>#VALUE!</v>
      </c>
      <c r="B219" t="e">
        <f>VLOOKUP(Table8[[#This Row],[ME_ID]],Table4[#All],2)</f>
        <v>#VALUE!</v>
      </c>
      <c r="C219" t="e">
        <f>VLOOKUP(Table8[[#This Row],[ME_ID]],Table4[#All],4)</f>
        <v>#VALUE!</v>
      </c>
      <c r="D219" t="e">
        <f>VLOOKUP(Table8[[#This Row],[ME_ID]],Table4[#All],3)</f>
        <v>#VALUE!</v>
      </c>
      <c r="E219" t="e">
        <f>VLOOKUP(Table8[[#This Row],[MLEO_ID]],Table3[#All],4)</f>
        <v>#VALUE!</v>
      </c>
      <c r="F219" t="e">
        <f>VLOOKUP(Table8[[#This Row],[MLEO_ID]],Table3[#All],5)</f>
        <v>#VALUE!</v>
      </c>
      <c r="G219" t="e">
        <f>VLOOKUP(Table8[[#This Row],[MLEO_ID]],Table3[#All],3)</f>
        <v>#VALUE!</v>
      </c>
      <c r="H219" t="e">
        <f>VLOOKUP(Table8[[#This Row],[MLEO_ID]],Table3[#All],2)</f>
        <v>#VALUE!</v>
      </c>
      <c r="I219" t="e">
        <f>VLOOKUP(Table8[[#This Row],[LEO]],Table1[#All],2)</f>
        <v>#VALUE!</v>
      </c>
      <c r="J219" t="e">
        <f>VLOOKUP(Table8[[#This Row],[LEO]],Table1[#All],5)</f>
        <v>#VALUE!</v>
      </c>
      <c r="K219" t="e">
        <f>VLOOKUP(Table8[[#This Row],[LEO]],Table1[#All],3)</f>
        <v>#VALUE!</v>
      </c>
      <c r="L219" s="19" t="e">
        <f>VLOOKUP(Table8[[#This Row],[ME_ID]],Table4[#All],8)</f>
        <v>#VALUE!</v>
      </c>
    </row>
    <row r="220" spans="1:12" x14ac:dyDescent="0.2">
      <c r="A220" t="e">
        <f>Table4[[#This Row],[ID]]</f>
        <v>#VALUE!</v>
      </c>
      <c r="B220" t="e">
        <f>VLOOKUP(Table8[[#This Row],[ME_ID]],Table4[#All],2)</f>
        <v>#VALUE!</v>
      </c>
      <c r="C220" t="e">
        <f>VLOOKUP(Table8[[#This Row],[ME_ID]],Table4[#All],4)</f>
        <v>#VALUE!</v>
      </c>
      <c r="D220" t="e">
        <f>VLOOKUP(Table8[[#This Row],[ME_ID]],Table4[#All],3)</f>
        <v>#VALUE!</v>
      </c>
      <c r="E220" t="e">
        <f>VLOOKUP(Table8[[#This Row],[MLEO_ID]],Table3[#All],4)</f>
        <v>#VALUE!</v>
      </c>
      <c r="F220" t="e">
        <f>VLOOKUP(Table8[[#This Row],[MLEO_ID]],Table3[#All],5)</f>
        <v>#VALUE!</v>
      </c>
      <c r="G220" t="e">
        <f>VLOOKUP(Table8[[#This Row],[MLEO_ID]],Table3[#All],3)</f>
        <v>#VALUE!</v>
      </c>
      <c r="H220" t="e">
        <f>VLOOKUP(Table8[[#This Row],[MLEO_ID]],Table3[#All],2)</f>
        <v>#VALUE!</v>
      </c>
      <c r="I220" t="e">
        <f>VLOOKUP(Table8[[#This Row],[LEO]],Table1[#All],2)</f>
        <v>#VALUE!</v>
      </c>
      <c r="J220" t="e">
        <f>VLOOKUP(Table8[[#This Row],[LEO]],Table1[#All],5)</f>
        <v>#VALUE!</v>
      </c>
      <c r="K220" t="e">
        <f>VLOOKUP(Table8[[#This Row],[LEO]],Table1[#All],3)</f>
        <v>#VALUE!</v>
      </c>
      <c r="L220" s="19" t="e">
        <f>VLOOKUP(Table8[[#This Row],[ME_ID]],Table4[#All],8)</f>
        <v>#VALUE!</v>
      </c>
    </row>
    <row r="221" spans="1:12" x14ac:dyDescent="0.2">
      <c r="A221" t="e">
        <f>Table4[[#This Row],[ID]]</f>
        <v>#VALUE!</v>
      </c>
      <c r="B221" t="e">
        <f>VLOOKUP(Table8[[#This Row],[ME_ID]],Table4[#All],2)</f>
        <v>#VALUE!</v>
      </c>
      <c r="C221" t="e">
        <f>VLOOKUP(Table8[[#This Row],[ME_ID]],Table4[#All],4)</f>
        <v>#VALUE!</v>
      </c>
      <c r="D221" t="e">
        <f>VLOOKUP(Table8[[#This Row],[ME_ID]],Table4[#All],3)</f>
        <v>#VALUE!</v>
      </c>
      <c r="E221" t="e">
        <f>VLOOKUP(Table8[[#This Row],[MLEO_ID]],Table3[#All],4)</f>
        <v>#VALUE!</v>
      </c>
      <c r="F221" t="e">
        <f>VLOOKUP(Table8[[#This Row],[MLEO_ID]],Table3[#All],5)</f>
        <v>#VALUE!</v>
      </c>
      <c r="G221" t="e">
        <f>VLOOKUP(Table8[[#This Row],[MLEO_ID]],Table3[#All],3)</f>
        <v>#VALUE!</v>
      </c>
      <c r="H221" t="e">
        <f>VLOOKUP(Table8[[#This Row],[MLEO_ID]],Table3[#All],2)</f>
        <v>#VALUE!</v>
      </c>
      <c r="I221" t="e">
        <f>VLOOKUP(Table8[[#This Row],[LEO]],Table1[#All],2)</f>
        <v>#VALUE!</v>
      </c>
      <c r="J221" t="e">
        <f>VLOOKUP(Table8[[#This Row],[LEO]],Table1[#All],5)</f>
        <v>#VALUE!</v>
      </c>
      <c r="K221" t="e">
        <f>VLOOKUP(Table8[[#This Row],[LEO]],Table1[#All],3)</f>
        <v>#VALUE!</v>
      </c>
      <c r="L221" s="19" t="e">
        <f>VLOOKUP(Table8[[#This Row],[ME_ID]],Table4[#All],8)</f>
        <v>#VALUE!</v>
      </c>
    </row>
    <row r="222" spans="1:12" x14ac:dyDescent="0.2">
      <c r="A222" t="e">
        <f>Table4[[#This Row],[ID]]</f>
        <v>#VALUE!</v>
      </c>
      <c r="B222" t="e">
        <f>VLOOKUP(Table8[[#This Row],[ME_ID]],Table4[#All],2)</f>
        <v>#VALUE!</v>
      </c>
      <c r="C222" t="e">
        <f>VLOOKUP(Table8[[#This Row],[ME_ID]],Table4[#All],4)</f>
        <v>#VALUE!</v>
      </c>
      <c r="D222" t="e">
        <f>VLOOKUP(Table8[[#This Row],[ME_ID]],Table4[#All],3)</f>
        <v>#VALUE!</v>
      </c>
      <c r="E222" t="e">
        <f>VLOOKUP(Table8[[#This Row],[MLEO_ID]],Table3[#All],4)</f>
        <v>#VALUE!</v>
      </c>
      <c r="F222" t="e">
        <f>VLOOKUP(Table8[[#This Row],[MLEO_ID]],Table3[#All],5)</f>
        <v>#VALUE!</v>
      </c>
      <c r="G222" t="e">
        <f>VLOOKUP(Table8[[#This Row],[MLEO_ID]],Table3[#All],3)</f>
        <v>#VALUE!</v>
      </c>
      <c r="H222" t="e">
        <f>VLOOKUP(Table8[[#This Row],[MLEO_ID]],Table3[#All],2)</f>
        <v>#VALUE!</v>
      </c>
      <c r="I222" t="e">
        <f>VLOOKUP(Table8[[#This Row],[LEO]],Table1[#All],2)</f>
        <v>#VALUE!</v>
      </c>
      <c r="J222" t="e">
        <f>VLOOKUP(Table8[[#This Row],[LEO]],Table1[#All],5)</f>
        <v>#VALUE!</v>
      </c>
      <c r="K222" t="e">
        <f>VLOOKUP(Table8[[#This Row],[LEO]],Table1[#All],3)</f>
        <v>#VALUE!</v>
      </c>
      <c r="L222" s="19" t="e">
        <f>VLOOKUP(Table8[[#This Row],[ME_ID]],Table4[#All],8)</f>
        <v>#VALUE!</v>
      </c>
    </row>
    <row r="223" spans="1:12" x14ac:dyDescent="0.2">
      <c r="A223" t="e">
        <f>Table4[[#This Row],[ID]]</f>
        <v>#VALUE!</v>
      </c>
      <c r="B223" t="e">
        <f>VLOOKUP(Table8[[#This Row],[ME_ID]],Table4[#All],2)</f>
        <v>#VALUE!</v>
      </c>
      <c r="C223" t="e">
        <f>VLOOKUP(Table8[[#This Row],[ME_ID]],Table4[#All],4)</f>
        <v>#VALUE!</v>
      </c>
      <c r="D223" t="e">
        <f>VLOOKUP(Table8[[#This Row],[ME_ID]],Table4[#All],3)</f>
        <v>#VALUE!</v>
      </c>
      <c r="E223" t="e">
        <f>VLOOKUP(Table8[[#This Row],[MLEO_ID]],Table3[#All],4)</f>
        <v>#VALUE!</v>
      </c>
      <c r="F223" t="e">
        <f>VLOOKUP(Table8[[#This Row],[MLEO_ID]],Table3[#All],5)</f>
        <v>#VALUE!</v>
      </c>
      <c r="G223" t="e">
        <f>VLOOKUP(Table8[[#This Row],[MLEO_ID]],Table3[#All],3)</f>
        <v>#VALUE!</v>
      </c>
      <c r="H223" t="e">
        <f>VLOOKUP(Table8[[#This Row],[MLEO_ID]],Table3[#All],2)</f>
        <v>#VALUE!</v>
      </c>
      <c r="I223" t="e">
        <f>VLOOKUP(Table8[[#This Row],[LEO]],Table1[#All],2)</f>
        <v>#VALUE!</v>
      </c>
      <c r="J223" t="e">
        <f>VLOOKUP(Table8[[#This Row],[LEO]],Table1[#All],5)</f>
        <v>#VALUE!</v>
      </c>
      <c r="K223" t="e">
        <f>VLOOKUP(Table8[[#This Row],[LEO]],Table1[#All],3)</f>
        <v>#VALUE!</v>
      </c>
      <c r="L223" s="19" t="e">
        <f>VLOOKUP(Table8[[#This Row],[ME_ID]],Table4[#All],8)</f>
        <v>#VALUE!</v>
      </c>
    </row>
    <row r="224" spans="1:12" x14ac:dyDescent="0.2">
      <c r="A224" t="e">
        <f>Table4[[#This Row],[ID]]</f>
        <v>#VALUE!</v>
      </c>
      <c r="B224" t="e">
        <f>VLOOKUP(Table8[[#This Row],[ME_ID]],Table4[#All],2)</f>
        <v>#VALUE!</v>
      </c>
      <c r="C224" t="e">
        <f>VLOOKUP(Table8[[#This Row],[ME_ID]],Table4[#All],4)</f>
        <v>#VALUE!</v>
      </c>
      <c r="D224" t="e">
        <f>VLOOKUP(Table8[[#This Row],[ME_ID]],Table4[#All],3)</f>
        <v>#VALUE!</v>
      </c>
      <c r="E224" t="e">
        <f>VLOOKUP(Table8[[#This Row],[MLEO_ID]],Table3[#All],4)</f>
        <v>#VALUE!</v>
      </c>
      <c r="F224" t="e">
        <f>VLOOKUP(Table8[[#This Row],[MLEO_ID]],Table3[#All],5)</f>
        <v>#VALUE!</v>
      </c>
      <c r="G224" t="e">
        <f>VLOOKUP(Table8[[#This Row],[MLEO_ID]],Table3[#All],3)</f>
        <v>#VALUE!</v>
      </c>
      <c r="H224" t="e">
        <f>VLOOKUP(Table8[[#This Row],[MLEO_ID]],Table3[#All],2)</f>
        <v>#VALUE!</v>
      </c>
      <c r="I224" t="e">
        <f>VLOOKUP(Table8[[#This Row],[LEO]],Table1[#All],2)</f>
        <v>#VALUE!</v>
      </c>
      <c r="J224" t="e">
        <f>VLOOKUP(Table8[[#This Row],[LEO]],Table1[#All],5)</f>
        <v>#VALUE!</v>
      </c>
      <c r="K224" t="e">
        <f>VLOOKUP(Table8[[#This Row],[LEO]],Table1[#All],3)</f>
        <v>#VALUE!</v>
      </c>
      <c r="L224" s="19" t="e">
        <f>VLOOKUP(Table8[[#This Row],[ME_ID]],Table4[#All],8)</f>
        <v>#VALUE!</v>
      </c>
    </row>
    <row r="225" spans="1:12" x14ac:dyDescent="0.2">
      <c r="A225" t="e">
        <f>Table4[[#This Row],[ID]]</f>
        <v>#VALUE!</v>
      </c>
      <c r="B225" t="e">
        <f>VLOOKUP(Table8[[#This Row],[ME_ID]],Table4[#All],2)</f>
        <v>#VALUE!</v>
      </c>
      <c r="C225" t="e">
        <f>VLOOKUP(Table8[[#This Row],[ME_ID]],Table4[#All],4)</f>
        <v>#VALUE!</v>
      </c>
      <c r="D225" t="e">
        <f>VLOOKUP(Table8[[#This Row],[ME_ID]],Table4[#All],3)</f>
        <v>#VALUE!</v>
      </c>
      <c r="E225" t="e">
        <f>VLOOKUP(Table8[[#This Row],[MLEO_ID]],Table3[#All],4)</f>
        <v>#VALUE!</v>
      </c>
      <c r="F225" t="e">
        <f>VLOOKUP(Table8[[#This Row],[MLEO_ID]],Table3[#All],5)</f>
        <v>#VALUE!</v>
      </c>
      <c r="G225" t="e">
        <f>VLOOKUP(Table8[[#This Row],[MLEO_ID]],Table3[#All],3)</f>
        <v>#VALUE!</v>
      </c>
      <c r="H225" t="e">
        <f>VLOOKUP(Table8[[#This Row],[MLEO_ID]],Table3[#All],2)</f>
        <v>#VALUE!</v>
      </c>
      <c r="I225" t="e">
        <f>VLOOKUP(Table8[[#This Row],[LEO]],Table1[#All],2)</f>
        <v>#VALUE!</v>
      </c>
      <c r="J225" t="e">
        <f>VLOOKUP(Table8[[#This Row],[LEO]],Table1[#All],5)</f>
        <v>#VALUE!</v>
      </c>
      <c r="K225" t="e">
        <f>VLOOKUP(Table8[[#This Row],[LEO]],Table1[#All],3)</f>
        <v>#VALUE!</v>
      </c>
      <c r="L225" s="19" t="e">
        <f>VLOOKUP(Table8[[#This Row],[ME_ID]],Table4[#All],8)</f>
        <v>#VALUE!</v>
      </c>
    </row>
    <row r="226" spans="1:12" x14ac:dyDescent="0.2">
      <c r="A226" t="e">
        <f>Table4[[#This Row],[ID]]</f>
        <v>#VALUE!</v>
      </c>
      <c r="B226" t="e">
        <f>VLOOKUP(Table8[[#This Row],[ME_ID]],Table4[#All],2)</f>
        <v>#VALUE!</v>
      </c>
      <c r="C226" t="e">
        <f>VLOOKUP(Table8[[#This Row],[ME_ID]],Table4[#All],4)</f>
        <v>#VALUE!</v>
      </c>
      <c r="D226" t="e">
        <f>VLOOKUP(Table8[[#This Row],[ME_ID]],Table4[#All],3)</f>
        <v>#VALUE!</v>
      </c>
      <c r="E226" t="e">
        <f>VLOOKUP(Table8[[#This Row],[MLEO_ID]],Table3[#All],4)</f>
        <v>#VALUE!</v>
      </c>
      <c r="F226" t="e">
        <f>VLOOKUP(Table8[[#This Row],[MLEO_ID]],Table3[#All],5)</f>
        <v>#VALUE!</v>
      </c>
      <c r="G226" t="e">
        <f>VLOOKUP(Table8[[#This Row],[MLEO_ID]],Table3[#All],3)</f>
        <v>#VALUE!</v>
      </c>
      <c r="H226" t="e">
        <f>VLOOKUP(Table8[[#This Row],[MLEO_ID]],Table3[#All],2)</f>
        <v>#VALUE!</v>
      </c>
      <c r="I226" t="e">
        <f>VLOOKUP(Table8[[#This Row],[LEO]],Table1[#All],2)</f>
        <v>#VALUE!</v>
      </c>
      <c r="J226" t="e">
        <f>VLOOKUP(Table8[[#This Row],[LEO]],Table1[#All],5)</f>
        <v>#VALUE!</v>
      </c>
      <c r="K226" t="e">
        <f>VLOOKUP(Table8[[#This Row],[LEO]],Table1[#All],3)</f>
        <v>#VALUE!</v>
      </c>
      <c r="L226" s="19" t="e">
        <f>VLOOKUP(Table8[[#This Row],[ME_ID]],Table4[#All],8)</f>
        <v>#VALUE!</v>
      </c>
    </row>
    <row r="227" spans="1:12" x14ac:dyDescent="0.2">
      <c r="A227" t="e">
        <f>Table4[[#This Row],[ID]]</f>
        <v>#VALUE!</v>
      </c>
      <c r="B227" t="e">
        <f>VLOOKUP(Table8[[#This Row],[ME_ID]],Table4[#All],2)</f>
        <v>#VALUE!</v>
      </c>
      <c r="C227" t="e">
        <f>VLOOKUP(Table8[[#This Row],[ME_ID]],Table4[#All],4)</f>
        <v>#VALUE!</v>
      </c>
      <c r="D227" t="e">
        <f>VLOOKUP(Table8[[#This Row],[ME_ID]],Table4[#All],3)</f>
        <v>#VALUE!</v>
      </c>
      <c r="E227" t="e">
        <f>VLOOKUP(Table8[[#This Row],[MLEO_ID]],Table3[#All],4)</f>
        <v>#VALUE!</v>
      </c>
      <c r="F227" t="e">
        <f>VLOOKUP(Table8[[#This Row],[MLEO_ID]],Table3[#All],5)</f>
        <v>#VALUE!</v>
      </c>
      <c r="G227" t="e">
        <f>VLOOKUP(Table8[[#This Row],[MLEO_ID]],Table3[#All],3)</f>
        <v>#VALUE!</v>
      </c>
      <c r="H227" t="e">
        <f>VLOOKUP(Table8[[#This Row],[MLEO_ID]],Table3[#All],2)</f>
        <v>#VALUE!</v>
      </c>
      <c r="I227" t="e">
        <f>VLOOKUP(Table8[[#This Row],[LEO]],Table1[#All],2)</f>
        <v>#VALUE!</v>
      </c>
      <c r="J227" t="e">
        <f>VLOOKUP(Table8[[#This Row],[LEO]],Table1[#All],5)</f>
        <v>#VALUE!</v>
      </c>
      <c r="K227" t="e">
        <f>VLOOKUP(Table8[[#This Row],[LEO]],Table1[#All],3)</f>
        <v>#VALUE!</v>
      </c>
      <c r="L227" s="19" t="e">
        <f>VLOOKUP(Table8[[#This Row],[ME_ID]],Table4[#All],8)</f>
        <v>#VALUE!</v>
      </c>
    </row>
    <row r="228" spans="1:12" x14ac:dyDescent="0.2">
      <c r="A228" t="e">
        <f>Table4[[#This Row],[ID]]</f>
        <v>#VALUE!</v>
      </c>
      <c r="B228" t="e">
        <f>VLOOKUP(Table8[[#This Row],[ME_ID]],Table4[#All],2)</f>
        <v>#VALUE!</v>
      </c>
      <c r="C228" t="e">
        <f>VLOOKUP(Table8[[#This Row],[ME_ID]],Table4[#All],4)</f>
        <v>#VALUE!</v>
      </c>
      <c r="D228" t="e">
        <f>VLOOKUP(Table8[[#This Row],[ME_ID]],Table4[#All],3)</f>
        <v>#VALUE!</v>
      </c>
      <c r="E228" t="e">
        <f>VLOOKUP(Table8[[#This Row],[MLEO_ID]],Table3[#All],4)</f>
        <v>#VALUE!</v>
      </c>
      <c r="F228" t="e">
        <f>VLOOKUP(Table8[[#This Row],[MLEO_ID]],Table3[#All],5)</f>
        <v>#VALUE!</v>
      </c>
      <c r="G228" t="e">
        <f>VLOOKUP(Table8[[#This Row],[MLEO_ID]],Table3[#All],3)</f>
        <v>#VALUE!</v>
      </c>
      <c r="H228" t="e">
        <f>VLOOKUP(Table8[[#This Row],[MLEO_ID]],Table3[#All],2)</f>
        <v>#VALUE!</v>
      </c>
      <c r="I228" t="e">
        <f>VLOOKUP(Table8[[#This Row],[LEO]],Table1[#All],2)</f>
        <v>#VALUE!</v>
      </c>
      <c r="J228" t="e">
        <f>VLOOKUP(Table8[[#This Row],[LEO]],Table1[#All],5)</f>
        <v>#VALUE!</v>
      </c>
      <c r="K228" t="e">
        <f>VLOOKUP(Table8[[#This Row],[LEO]],Table1[#All],3)</f>
        <v>#VALUE!</v>
      </c>
      <c r="L228" s="19" t="e">
        <f>VLOOKUP(Table8[[#This Row],[ME_ID]],Table4[#All],8)</f>
        <v>#VALUE!</v>
      </c>
    </row>
    <row r="229" spans="1:12" x14ac:dyDescent="0.2">
      <c r="A229" t="e">
        <f>Table4[[#This Row],[ID]]</f>
        <v>#VALUE!</v>
      </c>
      <c r="B229" t="e">
        <f>VLOOKUP(Table8[[#This Row],[ME_ID]],Table4[#All],2)</f>
        <v>#VALUE!</v>
      </c>
      <c r="C229" t="e">
        <f>VLOOKUP(Table8[[#This Row],[ME_ID]],Table4[#All],4)</f>
        <v>#VALUE!</v>
      </c>
      <c r="D229" t="e">
        <f>VLOOKUP(Table8[[#This Row],[ME_ID]],Table4[#All],3)</f>
        <v>#VALUE!</v>
      </c>
      <c r="E229" t="e">
        <f>VLOOKUP(Table8[[#This Row],[MLEO_ID]],Table3[#All],4)</f>
        <v>#VALUE!</v>
      </c>
      <c r="F229" t="e">
        <f>VLOOKUP(Table8[[#This Row],[MLEO_ID]],Table3[#All],5)</f>
        <v>#VALUE!</v>
      </c>
      <c r="G229" t="e">
        <f>VLOOKUP(Table8[[#This Row],[MLEO_ID]],Table3[#All],3)</f>
        <v>#VALUE!</v>
      </c>
      <c r="H229" t="e">
        <f>VLOOKUP(Table8[[#This Row],[MLEO_ID]],Table3[#All],2)</f>
        <v>#VALUE!</v>
      </c>
      <c r="I229" t="e">
        <f>VLOOKUP(Table8[[#This Row],[LEO]],Table1[#All],2)</f>
        <v>#VALUE!</v>
      </c>
      <c r="J229" t="e">
        <f>VLOOKUP(Table8[[#This Row],[LEO]],Table1[#All],5)</f>
        <v>#VALUE!</v>
      </c>
      <c r="K229" t="e">
        <f>VLOOKUP(Table8[[#This Row],[LEO]],Table1[#All],3)</f>
        <v>#VALUE!</v>
      </c>
      <c r="L229" s="19" t="e">
        <f>VLOOKUP(Table8[[#This Row],[ME_ID]],Table4[#All],8)</f>
        <v>#VALUE!</v>
      </c>
    </row>
    <row r="230" spans="1:12" x14ac:dyDescent="0.2">
      <c r="A230" t="e">
        <f>Table4[[#This Row],[ID]]</f>
        <v>#VALUE!</v>
      </c>
      <c r="B230" t="e">
        <f>VLOOKUP(Table8[[#This Row],[ME_ID]],Table4[#All],2)</f>
        <v>#VALUE!</v>
      </c>
      <c r="C230" t="e">
        <f>VLOOKUP(Table8[[#This Row],[ME_ID]],Table4[#All],4)</f>
        <v>#VALUE!</v>
      </c>
      <c r="D230" t="e">
        <f>VLOOKUP(Table8[[#This Row],[ME_ID]],Table4[#All],3)</f>
        <v>#VALUE!</v>
      </c>
      <c r="E230" t="e">
        <f>VLOOKUP(Table8[[#This Row],[MLEO_ID]],Table3[#All],4)</f>
        <v>#VALUE!</v>
      </c>
      <c r="F230" t="e">
        <f>VLOOKUP(Table8[[#This Row],[MLEO_ID]],Table3[#All],5)</f>
        <v>#VALUE!</v>
      </c>
      <c r="G230" t="e">
        <f>VLOOKUP(Table8[[#This Row],[MLEO_ID]],Table3[#All],3)</f>
        <v>#VALUE!</v>
      </c>
      <c r="H230" t="e">
        <f>VLOOKUP(Table8[[#This Row],[MLEO_ID]],Table3[#All],2)</f>
        <v>#VALUE!</v>
      </c>
      <c r="I230" t="e">
        <f>VLOOKUP(Table8[[#This Row],[LEO]],Table1[#All],2)</f>
        <v>#VALUE!</v>
      </c>
      <c r="J230" t="e">
        <f>VLOOKUP(Table8[[#This Row],[LEO]],Table1[#All],5)</f>
        <v>#VALUE!</v>
      </c>
      <c r="K230" t="e">
        <f>VLOOKUP(Table8[[#This Row],[LEO]],Table1[#All],3)</f>
        <v>#VALUE!</v>
      </c>
      <c r="L230" s="19" t="e">
        <f>VLOOKUP(Table8[[#This Row],[ME_ID]],Table4[#All],8)</f>
        <v>#VALUE!</v>
      </c>
    </row>
    <row r="231" spans="1:12" x14ac:dyDescent="0.2">
      <c r="A231" t="e">
        <f>Table4[[#This Row],[ID]]</f>
        <v>#VALUE!</v>
      </c>
      <c r="B231" t="e">
        <f>VLOOKUP(Table8[[#This Row],[ME_ID]],Table4[#All],2)</f>
        <v>#VALUE!</v>
      </c>
      <c r="C231" t="e">
        <f>VLOOKUP(Table8[[#This Row],[ME_ID]],Table4[#All],4)</f>
        <v>#VALUE!</v>
      </c>
      <c r="D231" t="e">
        <f>VLOOKUP(Table8[[#This Row],[ME_ID]],Table4[#All],3)</f>
        <v>#VALUE!</v>
      </c>
      <c r="E231" t="e">
        <f>VLOOKUP(Table8[[#This Row],[MLEO_ID]],Table3[#All],4)</f>
        <v>#VALUE!</v>
      </c>
      <c r="F231" t="e">
        <f>VLOOKUP(Table8[[#This Row],[MLEO_ID]],Table3[#All],5)</f>
        <v>#VALUE!</v>
      </c>
      <c r="G231" t="e">
        <f>VLOOKUP(Table8[[#This Row],[MLEO_ID]],Table3[#All],3)</f>
        <v>#VALUE!</v>
      </c>
      <c r="H231" t="e">
        <f>VLOOKUP(Table8[[#This Row],[MLEO_ID]],Table3[#All],2)</f>
        <v>#VALUE!</v>
      </c>
      <c r="I231" t="e">
        <f>VLOOKUP(Table8[[#This Row],[LEO]],Table1[#All],2)</f>
        <v>#VALUE!</v>
      </c>
      <c r="J231" t="e">
        <f>VLOOKUP(Table8[[#This Row],[LEO]],Table1[#All],5)</f>
        <v>#VALUE!</v>
      </c>
      <c r="K231" t="e">
        <f>VLOOKUP(Table8[[#This Row],[LEO]],Table1[#All],3)</f>
        <v>#VALUE!</v>
      </c>
      <c r="L231" s="19" t="e">
        <f>VLOOKUP(Table8[[#This Row],[ME_ID]],Table4[#All],8)</f>
        <v>#VALUE!</v>
      </c>
    </row>
    <row r="232" spans="1:12" x14ac:dyDescent="0.2">
      <c r="A232" t="e">
        <f>Table4[[#This Row],[ID]]</f>
        <v>#VALUE!</v>
      </c>
      <c r="B232" t="e">
        <f>VLOOKUP(Table8[[#This Row],[ME_ID]],Table4[#All],2)</f>
        <v>#VALUE!</v>
      </c>
      <c r="C232" t="e">
        <f>VLOOKUP(Table8[[#This Row],[ME_ID]],Table4[#All],4)</f>
        <v>#VALUE!</v>
      </c>
      <c r="D232" t="e">
        <f>VLOOKUP(Table8[[#This Row],[ME_ID]],Table4[#All],3)</f>
        <v>#VALUE!</v>
      </c>
      <c r="E232" t="e">
        <f>VLOOKUP(Table8[[#This Row],[MLEO_ID]],Table3[#All],4)</f>
        <v>#VALUE!</v>
      </c>
      <c r="F232" t="e">
        <f>VLOOKUP(Table8[[#This Row],[MLEO_ID]],Table3[#All],5)</f>
        <v>#VALUE!</v>
      </c>
      <c r="G232" t="e">
        <f>VLOOKUP(Table8[[#This Row],[MLEO_ID]],Table3[#All],3)</f>
        <v>#VALUE!</v>
      </c>
      <c r="H232" t="e">
        <f>VLOOKUP(Table8[[#This Row],[MLEO_ID]],Table3[#All],2)</f>
        <v>#VALUE!</v>
      </c>
      <c r="I232" t="e">
        <f>VLOOKUP(Table8[[#This Row],[LEO]],Table1[#All],2)</f>
        <v>#VALUE!</v>
      </c>
      <c r="J232" t="e">
        <f>VLOOKUP(Table8[[#This Row],[LEO]],Table1[#All],5)</f>
        <v>#VALUE!</v>
      </c>
      <c r="K232" t="e">
        <f>VLOOKUP(Table8[[#This Row],[LEO]],Table1[#All],3)</f>
        <v>#VALUE!</v>
      </c>
      <c r="L232" s="19" t="e">
        <f>VLOOKUP(Table8[[#This Row],[ME_ID]],Table4[#All],8)</f>
        <v>#VALUE!</v>
      </c>
    </row>
    <row r="233" spans="1:12" x14ac:dyDescent="0.2">
      <c r="A233" t="e">
        <f>Table4[[#This Row],[ID]]</f>
        <v>#VALUE!</v>
      </c>
      <c r="B233" t="e">
        <f>VLOOKUP(Table8[[#This Row],[ME_ID]],Table4[#All],2)</f>
        <v>#VALUE!</v>
      </c>
      <c r="C233" t="e">
        <f>VLOOKUP(Table8[[#This Row],[ME_ID]],Table4[#All],4)</f>
        <v>#VALUE!</v>
      </c>
      <c r="D233" t="e">
        <f>VLOOKUP(Table8[[#This Row],[ME_ID]],Table4[#All],3)</f>
        <v>#VALUE!</v>
      </c>
      <c r="E233" t="e">
        <f>VLOOKUP(Table8[[#This Row],[MLEO_ID]],Table3[#All],4)</f>
        <v>#VALUE!</v>
      </c>
      <c r="F233" t="e">
        <f>VLOOKUP(Table8[[#This Row],[MLEO_ID]],Table3[#All],5)</f>
        <v>#VALUE!</v>
      </c>
      <c r="G233" t="e">
        <f>VLOOKUP(Table8[[#This Row],[MLEO_ID]],Table3[#All],3)</f>
        <v>#VALUE!</v>
      </c>
      <c r="H233" t="e">
        <f>VLOOKUP(Table8[[#This Row],[MLEO_ID]],Table3[#All],2)</f>
        <v>#VALUE!</v>
      </c>
      <c r="I233" t="e">
        <f>VLOOKUP(Table8[[#This Row],[LEO]],Table1[#All],2)</f>
        <v>#VALUE!</v>
      </c>
      <c r="J233" t="e">
        <f>VLOOKUP(Table8[[#This Row],[LEO]],Table1[#All],5)</f>
        <v>#VALUE!</v>
      </c>
      <c r="K233" t="e">
        <f>VLOOKUP(Table8[[#This Row],[LEO]],Table1[#All],3)</f>
        <v>#VALUE!</v>
      </c>
      <c r="L233" s="19" t="e">
        <f>VLOOKUP(Table8[[#This Row],[ME_ID]],Table4[#All],8)</f>
        <v>#VALUE!</v>
      </c>
    </row>
    <row r="234" spans="1:12" x14ac:dyDescent="0.2">
      <c r="A234" t="e">
        <f>Table4[[#This Row],[ID]]</f>
        <v>#VALUE!</v>
      </c>
      <c r="B234" t="e">
        <f>VLOOKUP(Table8[[#This Row],[ME_ID]],Table4[#All],2)</f>
        <v>#VALUE!</v>
      </c>
      <c r="C234" t="e">
        <f>VLOOKUP(Table8[[#This Row],[ME_ID]],Table4[#All],4)</f>
        <v>#VALUE!</v>
      </c>
      <c r="D234" t="e">
        <f>VLOOKUP(Table8[[#This Row],[ME_ID]],Table4[#All],3)</f>
        <v>#VALUE!</v>
      </c>
      <c r="E234" t="e">
        <f>VLOOKUP(Table8[[#This Row],[MLEO_ID]],Table3[#All],4)</f>
        <v>#VALUE!</v>
      </c>
      <c r="F234" t="e">
        <f>VLOOKUP(Table8[[#This Row],[MLEO_ID]],Table3[#All],5)</f>
        <v>#VALUE!</v>
      </c>
      <c r="G234" t="e">
        <f>VLOOKUP(Table8[[#This Row],[MLEO_ID]],Table3[#All],3)</f>
        <v>#VALUE!</v>
      </c>
      <c r="H234" t="e">
        <f>VLOOKUP(Table8[[#This Row],[MLEO_ID]],Table3[#All],2)</f>
        <v>#VALUE!</v>
      </c>
      <c r="I234" t="e">
        <f>VLOOKUP(Table8[[#This Row],[LEO]],Table1[#All],2)</f>
        <v>#VALUE!</v>
      </c>
      <c r="J234" t="e">
        <f>VLOOKUP(Table8[[#This Row],[LEO]],Table1[#All],5)</f>
        <v>#VALUE!</v>
      </c>
      <c r="K234" t="e">
        <f>VLOOKUP(Table8[[#This Row],[LEO]],Table1[#All],3)</f>
        <v>#VALUE!</v>
      </c>
      <c r="L234" s="19" t="e">
        <f>VLOOKUP(Table8[[#This Row],[ME_ID]],Table4[#All],8)</f>
        <v>#VALUE!</v>
      </c>
    </row>
    <row r="235" spans="1:12" x14ac:dyDescent="0.2">
      <c r="A235" t="e">
        <f>Table4[[#This Row],[ID]]</f>
        <v>#VALUE!</v>
      </c>
      <c r="B235" t="e">
        <f>VLOOKUP(Table8[[#This Row],[ME_ID]],Table4[#All],2)</f>
        <v>#VALUE!</v>
      </c>
      <c r="C235" t="e">
        <f>VLOOKUP(Table8[[#This Row],[ME_ID]],Table4[#All],4)</f>
        <v>#VALUE!</v>
      </c>
      <c r="D235" t="e">
        <f>VLOOKUP(Table8[[#This Row],[ME_ID]],Table4[#All],3)</f>
        <v>#VALUE!</v>
      </c>
      <c r="E235" t="e">
        <f>VLOOKUP(Table8[[#This Row],[MLEO_ID]],Table3[#All],4)</f>
        <v>#VALUE!</v>
      </c>
      <c r="F235" t="e">
        <f>VLOOKUP(Table8[[#This Row],[MLEO_ID]],Table3[#All],5)</f>
        <v>#VALUE!</v>
      </c>
      <c r="G235" t="e">
        <f>VLOOKUP(Table8[[#This Row],[MLEO_ID]],Table3[#All],3)</f>
        <v>#VALUE!</v>
      </c>
      <c r="H235" t="e">
        <f>VLOOKUP(Table8[[#This Row],[MLEO_ID]],Table3[#All],2)</f>
        <v>#VALUE!</v>
      </c>
      <c r="I235" t="e">
        <f>VLOOKUP(Table8[[#This Row],[LEO]],Table1[#All],2)</f>
        <v>#VALUE!</v>
      </c>
      <c r="J235" t="e">
        <f>VLOOKUP(Table8[[#This Row],[LEO]],Table1[#All],5)</f>
        <v>#VALUE!</v>
      </c>
      <c r="K235" t="e">
        <f>VLOOKUP(Table8[[#This Row],[LEO]],Table1[#All],3)</f>
        <v>#VALUE!</v>
      </c>
      <c r="L235" s="19" t="e">
        <f>VLOOKUP(Table8[[#This Row],[ME_ID]],Table4[#All],8)</f>
        <v>#VALUE!</v>
      </c>
    </row>
    <row r="236" spans="1:12" x14ac:dyDescent="0.2">
      <c r="A236" t="e">
        <f>Table4[[#This Row],[ID]]</f>
        <v>#VALUE!</v>
      </c>
      <c r="B236" t="e">
        <f>VLOOKUP(Table8[[#This Row],[ME_ID]],Table4[#All],2)</f>
        <v>#VALUE!</v>
      </c>
      <c r="C236" t="e">
        <f>VLOOKUP(Table8[[#This Row],[ME_ID]],Table4[#All],4)</f>
        <v>#VALUE!</v>
      </c>
      <c r="D236" t="e">
        <f>VLOOKUP(Table8[[#This Row],[ME_ID]],Table4[#All],3)</f>
        <v>#VALUE!</v>
      </c>
      <c r="E236" t="e">
        <f>VLOOKUP(Table8[[#This Row],[MLEO_ID]],Table3[#All],4)</f>
        <v>#VALUE!</v>
      </c>
      <c r="F236" t="e">
        <f>VLOOKUP(Table8[[#This Row],[MLEO_ID]],Table3[#All],5)</f>
        <v>#VALUE!</v>
      </c>
      <c r="G236" t="e">
        <f>VLOOKUP(Table8[[#This Row],[MLEO_ID]],Table3[#All],3)</f>
        <v>#VALUE!</v>
      </c>
      <c r="H236" t="e">
        <f>VLOOKUP(Table8[[#This Row],[MLEO_ID]],Table3[#All],2)</f>
        <v>#VALUE!</v>
      </c>
      <c r="I236" t="e">
        <f>VLOOKUP(Table8[[#This Row],[LEO]],Table1[#All],2)</f>
        <v>#VALUE!</v>
      </c>
      <c r="J236" t="e">
        <f>VLOOKUP(Table8[[#This Row],[LEO]],Table1[#All],5)</f>
        <v>#VALUE!</v>
      </c>
      <c r="K236" t="e">
        <f>VLOOKUP(Table8[[#This Row],[LEO]],Table1[#All],3)</f>
        <v>#VALUE!</v>
      </c>
      <c r="L236" s="19" t="e">
        <f>VLOOKUP(Table8[[#This Row],[ME_ID]],Table4[#All],8)</f>
        <v>#VALUE!</v>
      </c>
    </row>
    <row r="237" spans="1:12" x14ac:dyDescent="0.2">
      <c r="A237" t="e">
        <f>Table4[[#This Row],[ID]]</f>
        <v>#VALUE!</v>
      </c>
      <c r="B237" t="e">
        <f>VLOOKUP(Table8[[#This Row],[ME_ID]],Table4[#All],2)</f>
        <v>#VALUE!</v>
      </c>
      <c r="C237" t="e">
        <f>VLOOKUP(Table8[[#This Row],[ME_ID]],Table4[#All],4)</f>
        <v>#VALUE!</v>
      </c>
      <c r="D237" t="e">
        <f>VLOOKUP(Table8[[#This Row],[ME_ID]],Table4[#All],3)</f>
        <v>#VALUE!</v>
      </c>
      <c r="E237" t="e">
        <f>VLOOKUP(Table8[[#This Row],[MLEO_ID]],Table3[#All],4)</f>
        <v>#VALUE!</v>
      </c>
      <c r="F237" t="e">
        <f>VLOOKUP(Table8[[#This Row],[MLEO_ID]],Table3[#All],5)</f>
        <v>#VALUE!</v>
      </c>
      <c r="G237" t="e">
        <f>VLOOKUP(Table8[[#This Row],[MLEO_ID]],Table3[#All],3)</f>
        <v>#VALUE!</v>
      </c>
      <c r="H237" t="e">
        <f>VLOOKUP(Table8[[#This Row],[MLEO_ID]],Table3[#All],2)</f>
        <v>#VALUE!</v>
      </c>
      <c r="I237" t="e">
        <f>VLOOKUP(Table8[[#This Row],[LEO]],Table1[#All],2)</f>
        <v>#VALUE!</v>
      </c>
      <c r="J237" t="e">
        <f>VLOOKUP(Table8[[#This Row],[LEO]],Table1[#All],5)</f>
        <v>#VALUE!</v>
      </c>
      <c r="K237" t="e">
        <f>VLOOKUP(Table8[[#This Row],[LEO]],Table1[#All],3)</f>
        <v>#VALUE!</v>
      </c>
      <c r="L237" s="19" t="e">
        <f>VLOOKUP(Table8[[#This Row],[ME_ID]],Table4[#All],8)</f>
        <v>#VALUE!</v>
      </c>
    </row>
    <row r="238" spans="1:12" x14ac:dyDescent="0.2">
      <c r="A238" t="e">
        <f>Table4[[#This Row],[ID]]</f>
        <v>#VALUE!</v>
      </c>
      <c r="B238" t="e">
        <f>VLOOKUP(Table8[[#This Row],[ME_ID]],Table4[#All],2)</f>
        <v>#VALUE!</v>
      </c>
      <c r="C238" t="e">
        <f>VLOOKUP(Table8[[#This Row],[ME_ID]],Table4[#All],4)</f>
        <v>#VALUE!</v>
      </c>
      <c r="D238" t="e">
        <f>VLOOKUP(Table8[[#This Row],[ME_ID]],Table4[#All],3)</f>
        <v>#VALUE!</v>
      </c>
      <c r="E238" t="e">
        <f>VLOOKUP(Table8[[#This Row],[MLEO_ID]],Table3[#All],4)</f>
        <v>#VALUE!</v>
      </c>
      <c r="F238" t="e">
        <f>VLOOKUP(Table8[[#This Row],[MLEO_ID]],Table3[#All],5)</f>
        <v>#VALUE!</v>
      </c>
      <c r="G238" t="e">
        <f>VLOOKUP(Table8[[#This Row],[MLEO_ID]],Table3[#All],3)</f>
        <v>#VALUE!</v>
      </c>
      <c r="H238" t="e">
        <f>VLOOKUP(Table8[[#This Row],[MLEO_ID]],Table3[#All],2)</f>
        <v>#VALUE!</v>
      </c>
      <c r="I238" t="e">
        <f>VLOOKUP(Table8[[#This Row],[LEO]],Table1[#All],2)</f>
        <v>#VALUE!</v>
      </c>
      <c r="J238" t="e">
        <f>VLOOKUP(Table8[[#This Row],[LEO]],Table1[#All],5)</f>
        <v>#VALUE!</v>
      </c>
      <c r="K238" t="e">
        <f>VLOOKUP(Table8[[#This Row],[LEO]],Table1[#All],3)</f>
        <v>#VALUE!</v>
      </c>
      <c r="L238" s="19" t="e">
        <f>VLOOKUP(Table8[[#This Row],[ME_ID]],Table4[#All],8)</f>
        <v>#VALUE!</v>
      </c>
    </row>
    <row r="239" spans="1:12" x14ac:dyDescent="0.2">
      <c r="A239" t="e">
        <f>Table4[[#This Row],[ID]]</f>
        <v>#VALUE!</v>
      </c>
      <c r="B239" t="e">
        <f>VLOOKUP(Table8[[#This Row],[ME_ID]],Table4[#All],2)</f>
        <v>#VALUE!</v>
      </c>
      <c r="C239" t="e">
        <f>VLOOKUP(Table8[[#This Row],[ME_ID]],Table4[#All],4)</f>
        <v>#VALUE!</v>
      </c>
      <c r="D239" t="e">
        <f>VLOOKUP(Table8[[#This Row],[ME_ID]],Table4[#All],3)</f>
        <v>#VALUE!</v>
      </c>
      <c r="E239" t="e">
        <f>VLOOKUP(Table8[[#This Row],[MLEO_ID]],Table3[#All],4)</f>
        <v>#VALUE!</v>
      </c>
      <c r="F239" t="e">
        <f>VLOOKUP(Table8[[#This Row],[MLEO_ID]],Table3[#All],5)</f>
        <v>#VALUE!</v>
      </c>
      <c r="G239" t="e">
        <f>VLOOKUP(Table8[[#This Row],[MLEO_ID]],Table3[#All],3)</f>
        <v>#VALUE!</v>
      </c>
      <c r="H239" t="e">
        <f>VLOOKUP(Table8[[#This Row],[MLEO_ID]],Table3[#All],2)</f>
        <v>#VALUE!</v>
      </c>
      <c r="I239" t="e">
        <f>VLOOKUP(Table8[[#This Row],[LEO]],Table1[#All],2)</f>
        <v>#VALUE!</v>
      </c>
      <c r="J239" t="e">
        <f>VLOOKUP(Table8[[#This Row],[LEO]],Table1[#All],5)</f>
        <v>#VALUE!</v>
      </c>
      <c r="K239" t="e">
        <f>VLOOKUP(Table8[[#This Row],[LEO]],Table1[#All],3)</f>
        <v>#VALUE!</v>
      </c>
      <c r="L239" s="19" t="e">
        <f>VLOOKUP(Table8[[#This Row],[ME_ID]],Table4[#All],8)</f>
        <v>#VALUE!</v>
      </c>
    </row>
    <row r="240" spans="1:12" x14ac:dyDescent="0.2">
      <c r="A240" t="e">
        <f>Table4[[#This Row],[ID]]</f>
        <v>#VALUE!</v>
      </c>
      <c r="B240" t="e">
        <f>VLOOKUP(Table8[[#This Row],[ME_ID]],Table4[#All],2)</f>
        <v>#VALUE!</v>
      </c>
      <c r="C240" t="e">
        <f>VLOOKUP(Table8[[#This Row],[ME_ID]],Table4[#All],4)</f>
        <v>#VALUE!</v>
      </c>
      <c r="D240" t="e">
        <f>VLOOKUP(Table8[[#This Row],[ME_ID]],Table4[#All],3)</f>
        <v>#VALUE!</v>
      </c>
      <c r="E240" t="e">
        <f>VLOOKUP(Table8[[#This Row],[MLEO_ID]],Table3[#All],4)</f>
        <v>#VALUE!</v>
      </c>
      <c r="F240" t="e">
        <f>VLOOKUP(Table8[[#This Row],[MLEO_ID]],Table3[#All],5)</f>
        <v>#VALUE!</v>
      </c>
      <c r="G240" t="e">
        <f>VLOOKUP(Table8[[#This Row],[MLEO_ID]],Table3[#All],3)</f>
        <v>#VALUE!</v>
      </c>
      <c r="H240" t="e">
        <f>VLOOKUP(Table8[[#This Row],[MLEO_ID]],Table3[#All],2)</f>
        <v>#VALUE!</v>
      </c>
      <c r="I240" t="e">
        <f>VLOOKUP(Table8[[#This Row],[LEO]],Table1[#All],2)</f>
        <v>#VALUE!</v>
      </c>
      <c r="J240" t="e">
        <f>VLOOKUP(Table8[[#This Row],[LEO]],Table1[#All],5)</f>
        <v>#VALUE!</v>
      </c>
      <c r="K240" t="e">
        <f>VLOOKUP(Table8[[#This Row],[LEO]],Table1[#All],3)</f>
        <v>#VALUE!</v>
      </c>
      <c r="L240" s="19" t="e">
        <f>VLOOKUP(Table8[[#This Row],[ME_ID]],Table4[#All],8)</f>
        <v>#VALUE!</v>
      </c>
    </row>
    <row r="241" spans="1:12" x14ac:dyDescent="0.2">
      <c r="A241" t="e">
        <f>Table4[[#This Row],[ID]]</f>
        <v>#VALUE!</v>
      </c>
      <c r="B241" t="e">
        <f>VLOOKUP(Table8[[#This Row],[ME_ID]],Table4[#All],2)</f>
        <v>#VALUE!</v>
      </c>
      <c r="C241" t="e">
        <f>VLOOKUP(Table8[[#This Row],[ME_ID]],Table4[#All],4)</f>
        <v>#VALUE!</v>
      </c>
      <c r="D241" t="e">
        <f>VLOOKUP(Table8[[#This Row],[ME_ID]],Table4[#All],3)</f>
        <v>#VALUE!</v>
      </c>
      <c r="E241" t="e">
        <f>VLOOKUP(Table8[[#This Row],[MLEO_ID]],Table3[#All],4)</f>
        <v>#VALUE!</v>
      </c>
      <c r="F241" t="e">
        <f>VLOOKUP(Table8[[#This Row],[MLEO_ID]],Table3[#All],5)</f>
        <v>#VALUE!</v>
      </c>
      <c r="G241" t="e">
        <f>VLOOKUP(Table8[[#This Row],[MLEO_ID]],Table3[#All],3)</f>
        <v>#VALUE!</v>
      </c>
      <c r="H241" t="e">
        <f>VLOOKUP(Table8[[#This Row],[MLEO_ID]],Table3[#All],2)</f>
        <v>#VALUE!</v>
      </c>
      <c r="I241" t="e">
        <f>VLOOKUP(Table8[[#This Row],[LEO]],Table1[#All],2)</f>
        <v>#VALUE!</v>
      </c>
      <c r="J241" t="e">
        <f>VLOOKUP(Table8[[#This Row],[LEO]],Table1[#All],5)</f>
        <v>#VALUE!</v>
      </c>
      <c r="K241" t="e">
        <f>VLOOKUP(Table8[[#This Row],[LEO]],Table1[#All],3)</f>
        <v>#VALUE!</v>
      </c>
      <c r="L241" s="19" t="e">
        <f>VLOOKUP(Table8[[#This Row],[ME_ID]],Table4[#All],8)</f>
        <v>#VALUE!</v>
      </c>
    </row>
    <row r="242" spans="1:12" x14ac:dyDescent="0.2">
      <c r="A242" t="e">
        <f>Table4[[#This Row],[ID]]</f>
        <v>#VALUE!</v>
      </c>
      <c r="B242" t="e">
        <f>VLOOKUP(Table8[[#This Row],[ME_ID]],Table4[#All],2)</f>
        <v>#VALUE!</v>
      </c>
      <c r="C242" t="e">
        <f>VLOOKUP(Table8[[#This Row],[ME_ID]],Table4[#All],4)</f>
        <v>#VALUE!</v>
      </c>
      <c r="D242" t="e">
        <f>VLOOKUP(Table8[[#This Row],[ME_ID]],Table4[#All],3)</f>
        <v>#VALUE!</v>
      </c>
      <c r="E242" t="e">
        <f>VLOOKUP(Table8[[#This Row],[MLEO_ID]],Table3[#All],4)</f>
        <v>#VALUE!</v>
      </c>
      <c r="F242" t="e">
        <f>VLOOKUP(Table8[[#This Row],[MLEO_ID]],Table3[#All],5)</f>
        <v>#VALUE!</v>
      </c>
      <c r="G242" t="e">
        <f>VLOOKUP(Table8[[#This Row],[MLEO_ID]],Table3[#All],3)</f>
        <v>#VALUE!</v>
      </c>
      <c r="H242" t="e">
        <f>VLOOKUP(Table8[[#This Row],[MLEO_ID]],Table3[#All],2)</f>
        <v>#VALUE!</v>
      </c>
      <c r="I242" t="e">
        <f>VLOOKUP(Table8[[#This Row],[LEO]],Table1[#All],2)</f>
        <v>#VALUE!</v>
      </c>
      <c r="J242" t="e">
        <f>VLOOKUP(Table8[[#This Row],[LEO]],Table1[#All],5)</f>
        <v>#VALUE!</v>
      </c>
      <c r="K242" t="e">
        <f>VLOOKUP(Table8[[#This Row],[LEO]],Table1[#All],3)</f>
        <v>#VALUE!</v>
      </c>
      <c r="L242" s="19" t="e">
        <f>VLOOKUP(Table8[[#This Row],[ME_ID]],Table4[#All],8)</f>
        <v>#VALUE!</v>
      </c>
    </row>
    <row r="243" spans="1:12" x14ac:dyDescent="0.2">
      <c r="A243" t="e">
        <f>Table4[[#This Row],[ID]]</f>
        <v>#VALUE!</v>
      </c>
      <c r="B243" t="e">
        <f>VLOOKUP(Table8[[#This Row],[ME_ID]],Table4[#All],2)</f>
        <v>#VALUE!</v>
      </c>
      <c r="C243" t="e">
        <f>VLOOKUP(Table8[[#This Row],[ME_ID]],Table4[#All],4)</f>
        <v>#VALUE!</v>
      </c>
      <c r="D243" t="e">
        <f>VLOOKUP(Table8[[#This Row],[ME_ID]],Table4[#All],3)</f>
        <v>#VALUE!</v>
      </c>
      <c r="E243" t="e">
        <f>VLOOKUP(Table8[[#This Row],[MLEO_ID]],Table3[#All],4)</f>
        <v>#VALUE!</v>
      </c>
      <c r="F243" t="e">
        <f>VLOOKUP(Table8[[#This Row],[MLEO_ID]],Table3[#All],5)</f>
        <v>#VALUE!</v>
      </c>
      <c r="G243" t="e">
        <f>VLOOKUP(Table8[[#This Row],[MLEO_ID]],Table3[#All],3)</f>
        <v>#VALUE!</v>
      </c>
      <c r="H243" t="e">
        <f>VLOOKUP(Table8[[#This Row],[MLEO_ID]],Table3[#All],2)</f>
        <v>#VALUE!</v>
      </c>
      <c r="I243" t="e">
        <f>VLOOKUP(Table8[[#This Row],[LEO]],Table1[#All],2)</f>
        <v>#VALUE!</v>
      </c>
      <c r="J243" t="e">
        <f>VLOOKUP(Table8[[#This Row],[LEO]],Table1[#All],5)</f>
        <v>#VALUE!</v>
      </c>
      <c r="K243" t="e">
        <f>VLOOKUP(Table8[[#This Row],[LEO]],Table1[#All],3)</f>
        <v>#VALUE!</v>
      </c>
      <c r="L243" s="19" t="e">
        <f>VLOOKUP(Table8[[#This Row],[ME_ID]],Table4[#All],8)</f>
        <v>#VALUE!</v>
      </c>
    </row>
    <row r="244" spans="1:12" x14ac:dyDescent="0.2">
      <c r="A244" t="e">
        <f>Table4[[#This Row],[ID]]</f>
        <v>#VALUE!</v>
      </c>
      <c r="B244" t="e">
        <f>VLOOKUP(Table8[[#This Row],[ME_ID]],Table4[#All],2)</f>
        <v>#VALUE!</v>
      </c>
      <c r="C244" t="e">
        <f>VLOOKUP(Table8[[#This Row],[ME_ID]],Table4[#All],4)</f>
        <v>#VALUE!</v>
      </c>
      <c r="D244" t="e">
        <f>VLOOKUP(Table8[[#This Row],[ME_ID]],Table4[#All],3)</f>
        <v>#VALUE!</v>
      </c>
      <c r="E244" t="e">
        <f>VLOOKUP(Table8[[#This Row],[MLEO_ID]],Table3[#All],4)</f>
        <v>#VALUE!</v>
      </c>
      <c r="F244" t="e">
        <f>VLOOKUP(Table8[[#This Row],[MLEO_ID]],Table3[#All],5)</f>
        <v>#VALUE!</v>
      </c>
      <c r="G244" t="e">
        <f>VLOOKUP(Table8[[#This Row],[MLEO_ID]],Table3[#All],3)</f>
        <v>#VALUE!</v>
      </c>
      <c r="H244" t="e">
        <f>VLOOKUP(Table8[[#This Row],[MLEO_ID]],Table3[#All],2)</f>
        <v>#VALUE!</v>
      </c>
      <c r="I244" t="e">
        <f>VLOOKUP(Table8[[#This Row],[LEO]],Table1[#All],2)</f>
        <v>#VALUE!</v>
      </c>
      <c r="J244" t="e">
        <f>VLOOKUP(Table8[[#This Row],[LEO]],Table1[#All],5)</f>
        <v>#VALUE!</v>
      </c>
      <c r="K244" t="e">
        <f>VLOOKUP(Table8[[#This Row],[LEO]],Table1[#All],3)</f>
        <v>#VALUE!</v>
      </c>
      <c r="L244" s="19" t="e">
        <f>VLOOKUP(Table8[[#This Row],[ME_ID]],Table4[#All],8)</f>
        <v>#VALUE!</v>
      </c>
    </row>
    <row r="245" spans="1:12" x14ac:dyDescent="0.2">
      <c r="A245" t="e">
        <f>Table4[[#This Row],[ID]]</f>
        <v>#VALUE!</v>
      </c>
      <c r="B245" t="e">
        <f>VLOOKUP(Table8[[#This Row],[ME_ID]],Table4[#All],2)</f>
        <v>#VALUE!</v>
      </c>
      <c r="C245" t="e">
        <f>VLOOKUP(Table8[[#This Row],[ME_ID]],Table4[#All],4)</f>
        <v>#VALUE!</v>
      </c>
      <c r="D245" t="e">
        <f>VLOOKUP(Table8[[#This Row],[ME_ID]],Table4[#All],3)</f>
        <v>#VALUE!</v>
      </c>
      <c r="E245" t="e">
        <f>VLOOKUP(Table8[[#This Row],[MLEO_ID]],Table3[#All],4)</f>
        <v>#VALUE!</v>
      </c>
      <c r="F245" t="e">
        <f>VLOOKUP(Table8[[#This Row],[MLEO_ID]],Table3[#All],5)</f>
        <v>#VALUE!</v>
      </c>
      <c r="G245" t="e">
        <f>VLOOKUP(Table8[[#This Row],[MLEO_ID]],Table3[#All],3)</f>
        <v>#VALUE!</v>
      </c>
      <c r="H245" t="e">
        <f>VLOOKUP(Table8[[#This Row],[MLEO_ID]],Table3[#All],2)</f>
        <v>#VALUE!</v>
      </c>
      <c r="I245" t="e">
        <f>VLOOKUP(Table8[[#This Row],[LEO]],Table1[#All],2)</f>
        <v>#VALUE!</v>
      </c>
      <c r="J245" t="e">
        <f>VLOOKUP(Table8[[#This Row],[LEO]],Table1[#All],5)</f>
        <v>#VALUE!</v>
      </c>
      <c r="K245" t="e">
        <f>VLOOKUP(Table8[[#This Row],[LEO]],Table1[#All],3)</f>
        <v>#VALUE!</v>
      </c>
      <c r="L245" s="19" t="e">
        <f>VLOOKUP(Table8[[#This Row],[ME_ID]],Table4[#All],8)</f>
        <v>#VALUE!</v>
      </c>
    </row>
    <row r="246" spans="1:12" x14ac:dyDescent="0.2">
      <c r="A246" t="e">
        <f>Table4[[#This Row],[ID]]</f>
        <v>#VALUE!</v>
      </c>
      <c r="B246" t="e">
        <f>VLOOKUP(Table8[[#This Row],[ME_ID]],Table4[#All],2)</f>
        <v>#VALUE!</v>
      </c>
      <c r="C246" t="e">
        <f>VLOOKUP(Table8[[#This Row],[ME_ID]],Table4[#All],4)</f>
        <v>#VALUE!</v>
      </c>
      <c r="D246" t="e">
        <f>VLOOKUP(Table8[[#This Row],[ME_ID]],Table4[#All],3)</f>
        <v>#VALUE!</v>
      </c>
      <c r="E246" t="e">
        <f>VLOOKUP(Table8[[#This Row],[MLEO_ID]],Table3[#All],4)</f>
        <v>#VALUE!</v>
      </c>
      <c r="F246" t="e">
        <f>VLOOKUP(Table8[[#This Row],[MLEO_ID]],Table3[#All],5)</f>
        <v>#VALUE!</v>
      </c>
      <c r="G246" t="e">
        <f>VLOOKUP(Table8[[#This Row],[MLEO_ID]],Table3[#All],3)</f>
        <v>#VALUE!</v>
      </c>
      <c r="H246" t="e">
        <f>VLOOKUP(Table8[[#This Row],[MLEO_ID]],Table3[#All],2)</f>
        <v>#VALUE!</v>
      </c>
      <c r="I246" t="e">
        <f>VLOOKUP(Table8[[#This Row],[LEO]],Table1[#All],2)</f>
        <v>#VALUE!</v>
      </c>
      <c r="J246" t="e">
        <f>VLOOKUP(Table8[[#This Row],[LEO]],Table1[#All],5)</f>
        <v>#VALUE!</v>
      </c>
      <c r="K246" t="e">
        <f>VLOOKUP(Table8[[#This Row],[LEO]],Table1[#All],3)</f>
        <v>#VALUE!</v>
      </c>
      <c r="L246" s="19" t="e">
        <f>VLOOKUP(Table8[[#This Row],[ME_ID]],Table4[#All],8)</f>
        <v>#VALUE!</v>
      </c>
    </row>
    <row r="247" spans="1:12" x14ac:dyDescent="0.2">
      <c r="A247" t="e">
        <f>Table4[[#This Row],[ID]]</f>
        <v>#VALUE!</v>
      </c>
      <c r="B247" t="e">
        <f>VLOOKUP(Table8[[#This Row],[ME_ID]],Table4[#All],2)</f>
        <v>#VALUE!</v>
      </c>
      <c r="C247" t="e">
        <f>VLOOKUP(Table8[[#This Row],[ME_ID]],Table4[#All],4)</f>
        <v>#VALUE!</v>
      </c>
      <c r="D247" t="e">
        <f>VLOOKUP(Table8[[#This Row],[ME_ID]],Table4[#All],3)</f>
        <v>#VALUE!</v>
      </c>
      <c r="E247" t="e">
        <f>VLOOKUP(Table8[[#This Row],[MLEO_ID]],Table3[#All],4)</f>
        <v>#VALUE!</v>
      </c>
      <c r="F247" t="e">
        <f>VLOOKUP(Table8[[#This Row],[MLEO_ID]],Table3[#All],5)</f>
        <v>#VALUE!</v>
      </c>
      <c r="G247" t="e">
        <f>VLOOKUP(Table8[[#This Row],[MLEO_ID]],Table3[#All],3)</f>
        <v>#VALUE!</v>
      </c>
      <c r="H247" t="e">
        <f>VLOOKUP(Table8[[#This Row],[MLEO_ID]],Table3[#All],2)</f>
        <v>#VALUE!</v>
      </c>
      <c r="I247" t="e">
        <f>VLOOKUP(Table8[[#This Row],[LEO]],Table1[#All],2)</f>
        <v>#VALUE!</v>
      </c>
      <c r="J247" t="e">
        <f>VLOOKUP(Table8[[#This Row],[LEO]],Table1[#All],5)</f>
        <v>#VALUE!</v>
      </c>
      <c r="K247" t="e">
        <f>VLOOKUP(Table8[[#This Row],[LEO]],Table1[#All],3)</f>
        <v>#VALUE!</v>
      </c>
      <c r="L247" s="19" t="e">
        <f>VLOOKUP(Table8[[#This Row],[ME_ID]],Table4[#All],8)</f>
        <v>#VALUE!</v>
      </c>
    </row>
    <row r="248" spans="1:12" x14ac:dyDescent="0.2">
      <c r="A248" t="e">
        <f>Table4[[#This Row],[ID]]</f>
        <v>#VALUE!</v>
      </c>
      <c r="B248" t="e">
        <f>VLOOKUP(Table8[[#This Row],[ME_ID]],Table4[#All],2)</f>
        <v>#VALUE!</v>
      </c>
      <c r="C248" t="e">
        <f>VLOOKUP(Table8[[#This Row],[ME_ID]],Table4[#All],4)</f>
        <v>#VALUE!</v>
      </c>
      <c r="D248" t="e">
        <f>VLOOKUP(Table8[[#This Row],[ME_ID]],Table4[#All],3)</f>
        <v>#VALUE!</v>
      </c>
      <c r="E248" t="e">
        <f>VLOOKUP(Table8[[#This Row],[MLEO_ID]],Table3[#All],4)</f>
        <v>#VALUE!</v>
      </c>
      <c r="F248" t="e">
        <f>VLOOKUP(Table8[[#This Row],[MLEO_ID]],Table3[#All],5)</f>
        <v>#VALUE!</v>
      </c>
      <c r="G248" t="e">
        <f>VLOOKUP(Table8[[#This Row],[MLEO_ID]],Table3[#All],3)</f>
        <v>#VALUE!</v>
      </c>
      <c r="H248" t="e">
        <f>VLOOKUP(Table8[[#This Row],[MLEO_ID]],Table3[#All],2)</f>
        <v>#VALUE!</v>
      </c>
      <c r="I248" t="e">
        <f>VLOOKUP(Table8[[#This Row],[LEO]],Table1[#All],2)</f>
        <v>#VALUE!</v>
      </c>
      <c r="J248" t="e">
        <f>VLOOKUP(Table8[[#This Row],[LEO]],Table1[#All],5)</f>
        <v>#VALUE!</v>
      </c>
      <c r="K248" t="e">
        <f>VLOOKUP(Table8[[#This Row],[LEO]],Table1[#All],3)</f>
        <v>#VALUE!</v>
      </c>
      <c r="L248" s="19" t="e">
        <f>VLOOKUP(Table8[[#This Row],[ME_ID]],Table4[#All],8)</f>
        <v>#VALUE!</v>
      </c>
    </row>
    <row r="249" spans="1:12" x14ac:dyDescent="0.2">
      <c r="A249" t="e">
        <f>Table4[[#This Row],[ID]]</f>
        <v>#VALUE!</v>
      </c>
      <c r="B249" t="e">
        <f>VLOOKUP(Table8[[#This Row],[ME_ID]],Table4[#All],2)</f>
        <v>#VALUE!</v>
      </c>
      <c r="C249" t="e">
        <f>VLOOKUP(Table8[[#This Row],[ME_ID]],Table4[#All],4)</f>
        <v>#VALUE!</v>
      </c>
      <c r="D249" t="e">
        <f>VLOOKUP(Table8[[#This Row],[ME_ID]],Table4[#All],3)</f>
        <v>#VALUE!</v>
      </c>
      <c r="E249" t="e">
        <f>VLOOKUP(Table8[[#This Row],[MLEO_ID]],Table3[#All],4)</f>
        <v>#VALUE!</v>
      </c>
      <c r="F249" t="e">
        <f>VLOOKUP(Table8[[#This Row],[MLEO_ID]],Table3[#All],5)</f>
        <v>#VALUE!</v>
      </c>
      <c r="G249" t="e">
        <f>VLOOKUP(Table8[[#This Row],[MLEO_ID]],Table3[#All],3)</f>
        <v>#VALUE!</v>
      </c>
      <c r="H249" t="e">
        <f>VLOOKUP(Table8[[#This Row],[MLEO_ID]],Table3[#All],2)</f>
        <v>#VALUE!</v>
      </c>
      <c r="I249" t="e">
        <f>VLOOKUP(Table8[[#This Row],[LEO]],Table1[#All],2)</f>
        <v>#VALUE!</v>
      </c>
      <c r="J249" t="e">
        <f>VLOOKUP(Table8[[#This Row],[LEO]],Table1[#All],5)</f>
        <v>#VALUE!</v>
      </c>
      <c r="K249" t="e">
        <f>VLOOKUP(Table8[[#This Row],[LEO]],Table1[#All],3)</f>
        <v>#VALUE!</v>
      </c>
      <c r="L249" s="19" t="e">
        <f>VLOOKUP(Table8[[#This Row],[ME_ID]],Table4[#All],8)</f>
        <v>#VALUE!</v>
      </c>
    </row>
    <row r="250" spans="1:12" x14ac:dyDescent="0.2">
      <c r="A250" t="e">
        <f>Table4[[#This Row],[ID]]</f>
        <v>#VALUE!</v>
      </c>
      <c r="B250" t="e">
        <f>VLOOKUP(Table8[[#This Row],[ME_ID]],Table4[#All],2)</f>
        <v>#VALUE!</v>
      </c>
      <c r="C250" t="e">
        <f>VLOOKUP(Table8[[#This Row],[ME_ID]],Table4[#All],4)</f>
        <v>#VALUE!</v>
      </c>
      <c r="D250" t="e">
        <f>VLOOKUP(Table8[[#This Row],[ME_ID]],Table4[#All],3)</f>
        <v>#VALUE!</v>
      </c>
      <c r="E250" t="e">
        <f>VLOOKUP(Table8[[#This Row],[MLEO_ID]],Table3[#All],4)</f>
        <v>#VALUE!</v>
      </c>
      <c r="F250" t="e">
        <f>VLOOKUP(Table8[[#This Row],[MLEO_ID]],Table3[#All],5)</f>
        <v>#VALUE!</v>
      </c>
      <c r="G250" t="e">
        <f>VLOOKUP(Table8[[#This Row],[MLEO_ID]],Table3[#All],3)</f>
        <v>#VALUE!</v>
      </c>
      <c r="H250" t="e">
        <f>VLOOKUP(Table8[[#This Row],[MLEO_ID]],Table3[#All],2)</f>
        <v>#VALUE!</v>
      </c>
      <c r="I250" t="e">
        <f>VLOOKUP(Table8[[#This Row],[LEO]],Table1[#All],2)</f>
        <v>#VALUE!</v>
      </c>
      <c r="J250" t="e">
        <f>VLOOKUP(Table8[[#This Row],[LEO]],Table1[#All],5)</f>
        <v>#VALUE!</v>
      </c>
      <c r="K250" t="e">
        <f>VLOOKUP(Table8[[#This Row],[LEO]],Table1[#All],3)</f>
        <v>#VALUE!</v>
      </c>
      <c r="L250" s="19" t="e">
        <f>VLOOKUP(Table8[[#This Row],[ME_ID]],Table4[#All],8)</f>
        <v>#VALUE!</v>
      </c>
    </row>
    <row r="251" spans="1:12" x14ac:dyDescent="0.2">
      <c r="A251" t="e">
        <f>Table4[[#This Row],[ID]]</f>
        <v>#VALUE!</v>
      </c>
      <c r="B251" t="e">
        <f>VLOOKUP(Table8[[#This Row],[ME_ID]],Table4[#All],2)</f>
        <v>#VALUE!</v>
      </c>
      <c r="C251" t="e">
        <f>VLOOKUP(Table8[[#This Row],[ME_ID]],Table4[#All],4)</f>
        <v>#VALUE!</v>
      </c>
      <c r="D251" t="e">
        <f>VLOOKUP(Table8[[#This Row],[ME_ID]],Table4[#All],3)</f>
        <v>#VALUE!</v>
      </c>
      <c r="E251" t="e">
        <f>VLOOKUP(Table8[[#This Row],[MLEO_ID]],Table3[#All],4)</f>
        <v>#VALUE!</v>
      </c>
      <c r="F251" t="e">
        <f>VLOOKUP(Table8[[#This Row],[MLEO_ID]],Table3[#All],5)</f>
        <v>#VALUE!</v>
      </c>
      <c r="G251" t="e">
        <f>VLOOKUP(Table8[[#This Row],[MLEO_ID]],Table3[#All],3)</f>
        <v>#VALUE!</v>
      </c>
      <c r="H251" t="e">
        <f>VLOOKUP(Table8[[#This Row],[MLEO_ID]],Table3[#All],2)</f>
        <v>#VALUE!</v>
      </c>
      <c r="I251" t="e">
        <f>VLOOKUP(Table8[[#This Row],[LEO]],Table1[#All],2)</f>
        <v>#VALUE!</v>
      </c>
      <c r="J251" t="e">
        <f>VLOOKUP(Table8[[#This Row],[LEO]],Table1[#All],5)</f>
        <v>#VALUE!</v>
      </c>
      <c r="K251" t="e">
        <f>VLOOKUP(Table8[[#This Row],[LEO]],Table1[#All],3)</f>
        <v>#VALUE!</v>
      </c>
      <c r="L251" s="19" t="e">
        <f>VLOOKUP(Table8[[#This Row],[ME_ID]],Table4[#All],8)</f>
        <v>#VALUE!</v>
      </c>
    </row>
    <row r="252" spans="1:12" x14ac:dyDescent="0.2">
      <c r="A252" t="e">
        <f>Table4[[#This Row],[ID]]</f>
        <v>#VALUE!</v>
      </c>
      <c r="B252" t="e">
        <f>VLOOKUP(Table8[[#This Row],[ME_ID]],Table4[#All],2)</f>
        <v>#VALUE!</v>
      </c>
      <c r="C252" t="e">
        <f>VLOOKUP(Table8[[#This Row],[ME_ID]],Table4[#All],4)</f>
        <v>#VALUE!</v>
      </c>
      <c r="D252" t="e">
        <f>VLOOKUP(Table8[[#This Row],[ME_ID]],Table4[#All],3)</f>
        <v>#VALUE!</v>
      </c>
      <c r="E252" t="e">
        <f>VLOOKUP(Table8[[#This Row],[MLEO_ID]],Table3[#All],4)</f>
        <v>#VALUE!</v>
      </c>
      <c r="F252" t="e">
        <f>VLOOKUP(Table8[[#This Row],[MLEO_ID]],Table3[#All],5)</f>
        <v>#VALUE!</v>
      </c>
      <c r="G252" t="e">
        <f>VLOOKUP(Table8[[#This Row],[MLEO_ID]],Table3[#All],3)</f>
        <v>#VALUE!</v>
      </c>
      <c r="H252" t="e">
        <f>VLOOKUP(Table8[[#This Row],[MLEO_ID]],Table3[#All],2)</f>
        <v>#VALUE!</v>
      </c>
      <c r="I252" t="e">
        <f>VLOOKUP(Table8[[#This Row],[LEO]],Table1[#All],2)</f>
        <v>#VALUE!</v>
      </c>
      <c r="J252" t="e">
        <f>VLOOKUP(Table8[[#This Row],[LEO]],Table1[#All],5)</f>
        <v>#VALUE!</v>
      </c>
      <c r="K252" t="e">
        <f>VLOOKUP(Table8[[#This Row],[LEO]],Table1[#All],3)</f>
        <v>#VALUE!</v>
      </c>
      <c r="L252" s="19" t="e">
        <f>VLOOKUP(Table8[[#This Row],[ME_ID]],Table4[#All],8)</f>
        <v>#VALUE!</v>
      </c>
    </row>
    <row r="253" spans="1:12" x14ac:dyDescent="0.2">
      <c r="A253" t="e">
        <f>Table4[[#This Row],[ID]]</f>
        <v>#VALUE!</v>
      </c>
      <c r="B253" t="e">
        <f>VLOOKUP(Table8[[#This Row],[ME_ID]],Table4[#All],2)</f>
        <v>#VALUE!</v>
      </c>
      <c r="C253" t="e">
        <f>VLOOKUP(Table8[[#This Row],[ME_ID]],Table4[#All],4)</f>
        <v>#VALUE!</v>
      </c>
      <c r="D253" t="e">
        <f>VLOOKUP(Table8[[#This Row],[ME_ID]],Table4[#All],3)</f>
        <v>#VALUE!</v>
      </c>
      <c r="E253" t="e">
        <f>VLOOKUP(Table8[[#This Row],[MLEO_ID]],Table3[#All],4)</f>
        <v>#VALUE!</v>
      </c>
      <c r="F253" t="e">
        <f>VLOOKUP(Table8[[#This Row],[MLEO_ID]],Table3[#All],5)</f>
        <v>#VALUE!</v>
      </c>
      <c r="G253" t="e">
        <f>VLOOKUP(Table8[[#This Row],[MLEO_ID]],Table3[#All],3)</f>
        <v>#VALUE!</v>
      </c>
      <c r="H253" t="e">
        <f>VLOOKUP(Table8[[#This Row],[MLEO_ID]],Table3[#All],2)</f>
        <v>#VALUE!</v>
      </c>
      <c r="I253" t="e">
        <f>VLOOKUP(Table8[[#This Row],[LEO]],Table1[#All],2)</f>
        <v>#VALUE!</v>
      </c>
      <c r="J253" t="e">
        <f>VLOOKUP(Table8[[#This Row],[LEO]],Table1[#All],5)</f>
        <v>#VALUE!</v>
      </c>
      <c r="K253" t="e">
        <f>VLOOKUP(Table8[[#This Row],[LEO]],Table1[#All],3)</f>
        <v>#VALUE!</v>
      </c>
      <c r="L253" s="19" t="e">
        <f>VLOOKUP(Table8[[#This Row],[ME_ID]],Table4[#All],8)</f>
        <v>#VALUE!</v>
      </c>
    </row>
    <row r="254" spans="1:12" x14ac:dyDescent="0.2">
      <c r="A254" t="e">
        <f>Table4[[#This Row],[ID]]</f>
        <v>#VALUE!</v>
      </c>
      <c r="B254" t="e">
        <f>VLOOKUP(Table8[[#This Row],[ME_ID]],Table4[#All],2)</f>
        <v>#VALUE!</v>
      </c>
      <c r="C254" t="e">
        <f>VLOOKUP(Table8[[#This Row],[ME_ID]],Table4[#All],4)</f>
        <v>#VALUE!</v>
      </c>
      <c r="D254" t="e">
        <f>VLOOKUP(Table8[[#This Row],[ME_ID]],Table4[#All],3)</f>
        <v>#VALUE!</v>
      </c>
      <c r="E254" t="e">
        <f>VLOOKUP(Table8[[#This Row],[MLEO_ID]],Table3[#All],4)</f>
        <v>#VALUE!</v>
      </c>
      <c r="F254" t="e">
        <f>VLOOKUP(Table8[[#This Row],[MLEO_ID]],Table3[#All],5)</f>
        <v>#VALUE!</v>
      </c>
      <c r="G254" t="e">
        <f>VLOOKUP(Table8[[#This Row],[MLEO_ID]],Table3[#All],3)</f>
        <v>#VALUE!</v>
      </c>
      <c r="H254" t="e">
        <f>VLOOKUP(Table8[[#This Row],[MLEO_ID]],Table3[#All],2)</f>
        <v>#VALUE!</v>
      </c>
      <c r="I254" t="e">
        <f>VLOOKUP(Table8[[#This Row],[LEO]],Table1[#All],2)</f>
        <v>#VALUE!</v>
      </c>
      <c r="J254" t="e">
        <f>VLOOKUP(Table8[[#This Row],[LEO]],Table1[#All],5)</f>
        <v>#VALUE!</v>
      </c>
      <c r="K254" t="e">
        <f>VLOOKUP(Table8[[#This Row],[LEO]],Table1[#All],3)</f>
        <v>#VALUE!</v>
      </c>
      <c r="L254" s="19" t="e">
        <f>VLOOKUP(Table8[[#This Row],[ME_ID]],Table4[#All],8)</f>
        <v>#VALUE!</v>
      </c>
    </row>
    <row r="255" spans="1:12" x14ac:dyDescent="0.2">
      <c r="A255" t="e">
        <f>Table4[[#This Row],[ID]]</f>
        <v>#VALUE!</v>
      </c>
      <c r="B255" t="e">
        <f>VLOOKUP(Table8[[#This Row],[ME_ID]],Table4[#All],2)</f>
        <v>#VALUE!</v>
      </c>
      <c r="C255" t="e">
        <f>VLOOKUP(Table8[[#This Row],[ME_ID]],Table4[#All],4)</f>
        <v>#VALUE!</v>
      </c>
      <c r="D255" t="e">
        <f>VLOOKUP(Table8[[#This Row],[ME_ID]],Table4[#All],3)</f>
        <v>#VALUE!</v>
      </c>
      <c r="E255" t="e">
        <f>VLOOKUP(Table8[[#This Row],[MLEO_ID]],Table3[#All],4)</f>
        <v>#VALUE!</v>
      </c>
      <c r="F255" t="e">
        <f>VLOOKUP(Table8[[#This Row],[MLEO_ID]],Table3[#All],5)</f>
        <v>#VALUE!</v>
      </c>
      <c r="G255" t="e">
        <f>VLOOKUP(Table8[[#This Row],[MLEO_ID]],Table3[#All],3)</f>
        <v>#VALUE!</v>
      </c>
      <c r="H255" t="e">
        <f>VLOOKUP(Table8[[#This Row],[MLEO_ID]],Table3[#All],2)</f>
        <v>#VALUE!</v>
      </c>
      <c r="I255" t="e">
        <f>VLOOKUP(Table8[[#This Row],[LEO]],Table1[#All],2)</f>
        <v>#VALUE!</v>
      </c>
      <c r="J255" t="e">
        <f>VLOOKUP(Table8[[#This Row],[LEO]],Table1[#All],5)</f>
        <v>#VALUE!</v>
      </c>
      <c r="K255" t="e">
        <f>VLOOKUP(Table8[[#This Row],[LEO]],Table1[#All],3)</f>
        <v>#VALUE!</v>
      </c>
      <c r="L255" s="19" t="e">
        <f>VLOOKUP(Table8[[#This Row],[ME_ID]],Table4[#All],8)</f>
        <v>#VALUE!</v>
      </c>
    </row>
    <row r="256" spans="1:12" x14ac:dyDescent="0.2">
      <c r="A256" t="e">
        <f>Table4[[#This Row],[ID]]</f>
        <v>#VALUE!</v>
      </c>
      <c r="B256" t="e">
        <f>VLOOKUP(Table8[[#This Row],[ME_ID]],Table4[#All],2)</f>
        <v>#VALUE!</v>
      </c>
      <c r="C256" t="e">
        <f>VLOOKUP(Table8[[#This Row],[ME_ID]],Table4[#All],4)</f>
        <v>#VALUE!</v>
      </c>
      <c r="D256" t="e">
        <f>VLOOKUP(Table8[[#This Row],[ME_ID]],Table4[#All],3)</f>
        <v>#VALUE!</v>
      </c>
      <c r="E256" t="e">
        <f>VLOOKUP(Table8[[#This Row],[MLEO_ID]],Table3[#All],4)</f>
        <v>#VALUE!</v>
      </c>
      <c r="F256" t="e">
        <f>VLOOKUP(Table8[[#This Row],[MLEO_ID]],Table3[#All],5)</f>
        <v>#VALUE!</v>
      </c>
      <c r="G256" t="e">
        <f>VLOOKUP(Table8[[#This Row],[MLEO_ID]],Table3[#All],3)</f>
        <v>#VALUE!</v>
      </c>
      <c r="H256" t="e">
        <f>VLOOKUP(Table8[[#This Row],[MLEO_ID]],Table3[#All],2)</f>
        <v>#VALUE!</v>
      </c>
      <c r="I256" t="e">
        <f>VLOOKUP(Table8[[#This Row],[LEO]],Table1[#All],2)</f>
        <v>#VALUE!</v>
      </c>
      <c r="J256" t="e">
        <f>VLOOKUP(Table8[[#This Row],[LEO]],Table1[#All],5)</f>
        <v>#VALUE!</v>
      </c>
      <c r="K256" t="e">
        <f>VLOOKUP(Table8[[#This Row],[LEO]],Table1[#All],3)</f>
        <v>#VALUE!</v>
      </c>
      <c r="L256" s="19" t="e">
        <f>VLOOKUP(Table8[[#This Row],[ME_ID]],Table4[#All],8)</f>
        <v>#VALUE!</v>
      </c>
    </row>
    <row r="257" spans="1:12" x14ac:dyDescent="0.2">
      <c r="A257" t="e">
        <f>Table4[[#This Row],[ID]]</f>
        <v>#VALUE!</v>
      </c>
      <c r="B257" t="e">
        <f>VLOOKUP(Table8[[#This Row],[ME_ID]],Table4[#All],2)</f>
        <v>#VALUE!</v>
      </c>
      <c r="C257" t="e">
        <f>VLOOKUP(Table8[[#This Row],[ME_ID]],Table4[#All],4)</f>
        <v>#VALUE!</v>
      </c>
      <c r="D257" t="e">
        <f>VLOOKUP(Table8[[#This Row],[ME_ID]],Table4[#All],3)</f>
        <v>#VALUE!</v>
      </c>
      <c r="E257" t="e">
        <f>VLOOKUP(Table8[[#This Row],[MLEO_ID]],Table3[#All],4)</f>
        <v>#VALUE!</v>
      </c>
      <c r="F257" t="e">
        <f>VLOOKUP(Table8[[#This Row],[MLEO_ID]],Table3[#All],5)</f>
        <v>#VALUE!</v>
      </c>
      <c r="G257" t="e">
        <f>VLOOKUP(Table8[[#This Row],[MLEO_ID]],Table3[#All],3)</f>
        <v>#VALUE!</v>
      </c>
      <c r="H257" t="e">
        <f>VLOOKUP(Table8[[#This Row],[MLEO_ID]],Table3[#All],2)</f>
        <v>#VALUE!</v>
      </c>
      <c r="I257" t="e">
        <f>VLOOKUP(Table8[[#This Row],[LEO]],Table1[#All],2)</f>
        <v>#VALUE!</v>
      </c>
      <c r="J257" t="e">
        <f>VLOOKUP(Table8[[#This Row],[LEO]],Table1[#All],5)</f>
        <v>#VALUE!</v>
      </c>
      <c r="K257" t="e">
        <f>VLOOKUP(Table8[[#This Row],[LEO]],Table1[#All],3)</f>
        <v>#VALUE!</v>
      </c>
      <c r="L257" s="19" t="e">
        <f>VLOOKUP(Table8[[#This Row],[ME_ID]],Table4[#All],8)</f>
        <v>#VALUE!</v>
      </c>
    </row>
    <row r="258" spans="1:12" x14ac:dyDescent="0.2">
      <c r="A258" t="e">
        <f>Table4[[#This Row],[ID]]</f>
        <v>#VALUE!</v>
      </c>
      <c r="B258" t="e">
        <f>VLOOKUP(Table8[[#This Row],[ME_ID]],Table4[#All],2)</f>
        <v>#VALUE!</v>
      </c>
      <c r="C258" t="e">
        <f>VLOOKUP(Table8[[#This Row],[ME_ID]],Table4[#All],4)</f>
        <v>#VALUE!</v>
      </c>
      <c r="D258" t="e">
        <f>VLOOKUP(Table8[[#This Row],[ME_ID]],Table4[#All],3)</f>
        <v>#VALUE!</v>
      </c>
      <c r="E258" t="e">
        <f>VLOOKUP(Table8[[#This Row],[MLEO_ID]],Table3[#All],4)</f>
        <v>#VALUE!</v>
      </c>
      <c r="F258" t="e">
        <f>VLOOKUP(Table8[[#This Row],[MLEO_ID]],Table3[#All],5)</f>
        <v>#VALUE!</v>
      </c>
      <c r="G258" t="e">
        <f>VLOOKUP(Table8[[#This Row],[MLEO_ID]],Table3[#All],3)</f>
        <v>#VALUE!</v>
      </c>
      <c r="H258" t="e">
        <f>VLOOKUP(Table8[[#This Row],[MLEO_ID]],Table3[#All],2)</f>
        <v>#VALUE!</v>
      </c>
      <c r="I258" t="e">
        <f>VLOOKUP(Table8[[#This Row],[LEO]],Table1[#All],2)</f>
        <v>#VALUE!</v>
      </c>
      <c r="J258" t="e">
        <f>VLOOKUP(Table8[[#This Row],[LEO]],Table1[#All],5)</f>
        <v>#VALUE!</v>
      </c>
      <c r="K258" t="e">
        <f>VLOOKUP(Table8[[#This Row],[LEO]],Table1[#All],3)</f>
        <v>#VALUE!</v>
      </c>
      <c r="L258" s="19" t="e">
        <f>VLOOKUP(Table8[[#This Row],[ME_ID]],Table4[#All],8)</f>
        <v>#VALUE!</v>
      </c>
    </row>
    <row r="259" spans="1:12" x14ac:dyDescent="0.2">
      <c r="A259" t="e">
        <f>Table4[[#This Row],[ID]]</f>
        <v>#VALUE!</v>
      </c>
      <c r="B259" t="e">
        <f>VLOOKUP(Table8[[#This Row],[ME_ID]],Table4[#All],2)</f>
        <v>#VALUE!</v>
      </c>
      <c r="C259" t="e">
        <f>VLOOKUP(Table8[[#This Row],[ME_ID]],Table4[#All],4)</f>
        <v>#VALUE!</v>
      </c>
      <c r="D259" t="e">
        <f>VLOOKUP(Table8[[#This Row],[ME_ID]],Table4[#All],3)</f>
        <v>#VALUE!</v>
      </c>
      <c r="E259" t="e">
        <f>VLOOKUP(Table8[[#This Row],[MLEO_ID]],Table3[#All],4)</f>
        <v>#VALUE!</v>
      </c>
      <c r="F259" t="e">
        <f>VLOOKUP(Table8[[#This Row],[MLEO_ID]],Table3[#All],5)</f>
        <v>#VALUE!</v>
      </c>
      <c r="G259" t="e">
        <f>VLOOKUP(Table8[[#This Row],[MLEO_ID]],Table3[#All],3)</f>
        <v>#VALUE!</v>
      </c>
      <c r="H259" t="e">
        <f>VLOOKUP(Table8[[#This Row],[MLEO_ID]],Table3[#All],2)</f>
        <v>#VALUE!</v>
      </c>
      <c r="I259" t="e">
        <f>VLOOKUP(Table8[[#This Row],[LEO]],Table1[#All],2)</f>
        <v>#VALUE!</v>
      </c>
      <c r="J259" t="e">
        <f>VLOOKUP(Table8[[#This Row],[LEO]],Table1[#All],5)</f>
        <v>#VALUE!</v>
      </c>
      <c r="K259" t="e">
        <f>VLOOKUP(Table8[[#This Row],[LEO]],Table1[#All],3)</f>
        <v>#VALUE!</v>
      </c>
      <c r="L259" s="19" t="e">
        <f>VLOOKUP(Table8[[#This Row],[ME_ID]],Table4[#All],8)</f>
        <v>#VALUE!</v>
      </c>
    </row>
    <row r="260" spans="1:12" x14ac:dyDescent="0.2">
      <c r="A260" t="e">
        <f>Table4[[#This Row],[ID]]</f>
        <v>#VALUE!</v>
      </c>
      <c r="B260" t="e">
        <f>VLOOKUP(Table8[[#This Row],[ME_ID]],Table4[#All],2)</f>
        <v>#VALUE!</v>
      </c>
      <c r="C260" t="e">
        <f>VLOOKUP(Table8[[#This Row],[ME_ID]],Table4[#All],4)</f>
        <v>#VALUE!</v>
      </c>
      <c r="D260" t="e">
        <f>VLOOKUP(Table8[[#This Row],[ME_ID]],Table4[#All],3)</f>
        <v>#VALUE!</v>
      </c>
      <c r="E260" t="e">
        <f>VLOOKUP(Table8[[#This Row],[MLEO_ID]],Table3[#All],4)</f>
        <v>#VALUE!</v>
      </c>
      <c r="F260" t="e">
        <f>VLOOKUP(Table8[[#This Row],[MLEO_ID]],Table3[#All],5)</f>
        <v>#VALUE!</v>
      </c>
      <c r="G260" t="e">
        <f>VLOOKUP(Table8[[#This Row],[MLEO_ID]],Table3[#All],3)</f>
        <v>#VALUE!</v>
      </c>
      <c r="H260" t="e">
        <f>VLOOKUP(Table8[[#This Row],[MLEO_ID]],Table3[#All],2)</f>
        <v>#VALUE!</v>
      </c>
      <c r="I260" t="e">
        <f>VLOOKUP(Table8[[#This Row],[LEO]],Table1[#All],2)</f>
        <v>#VALUE!</v>
      </c>
      <c r="J260" t="e">
        <f>VLOOKUP(Table8[[#This Row],[LEO]],Table1[#All],5)</f>
        <v>#VALUE!</v>
      </c>
      <c r="K260" t="e">
        <f>VLOOKUP(Table8[[#This Row],[LEO]],Table1[#All],3)</f>
        <v>#VALUE!</v>
      </c>
      <c r="L260" s="19" t="e">
        <f>VLOOKUP(Table8[[#This Row],[ME_ID]],Table4[#All],8)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7F0E2-0D46-4021-9896-622B93E0D539}">
  <sheetPr codeName="Sheet3">
    <tabColor rgb="FF92D050"/>
  </sheetPr>
  <dimension ref="A3:C7"/>
  <sheetViews>
    <sheetView zoomScale="140" zoomScaleNormal="140" workbookViewId="0">
      <selection activeCell="B5" sqref="B5"/>
    </sheetView>
  </sheetViews>
  <sheetFormatPr baseColWidth="10" defaultColWidth="9.1640625" defaultRowHeight="15" x14ac:dyDescent="0.2"/>
  <cols>
    <col min="1" max="1" width="22.33203125" bestFit="1" customWidth="1"/>
    <col min="2" max="2" width="14.83203125" bestFit="1" customWidth="1"/>
    <col min="3" max="3" width="11.6640625" bestFit="1" customWidth="1"/>
    <col min="4" max="4" width="16" bestFit="1" customWidth="1"/>
    <col min="5" max="5" width="11.83203125" bestFit="1" customWidth="1"/>
    <col min="6" max="6" width="11.33203125" bestFit="1" customWidth="1"/>
    <col min="7" max="7" width="32.83203125" bestFit="1" customWidth="1"/>
    <col min="8" max="9" width="11.33203125" bestFit="1" customWidth="1"/>
  </cols>
  <sheetData>
    <row r="3" spans="1:3" x14ac:dyDescent="0.2">
      <c r="A3" s="5" t="s">
        <v>35</v>
      </c>
      <c r="B3" t="s">
        <v>36</v>
      </c>
      <c r="C3" t="s">
        <v>37</v>
      </c>
    </row>
    <row r="4" spans="1:3" x14ac:dyDescent="0.2">
      <c r="A4" s="6" t="s">
        <v>38</v>
      </c>
      <c r="B4">
        <v>258</v>
      </c>
      <c r="C4" s="19" t="e">
        <v>#VALUE!</v>
      </c>
    </row>
    <row r="5" spans="1:3" x14ac:dyDescent="0.2">
      <c r="A5" s="6" t="s">
        <v>39</v>
      </c>
      <c r="B5">
        <v>1</v>
      </c>
      <c r="C5" s="19">
        <v>0.5</v>
      </c>
    </row>
    <row r="6" spans="1:3" x14ac:dyDescent="0.2">
      <c r="A6" s="23" t="s">
        <v>16</v>
      </c>
      <c r="B6">
        <v>1</v>
      </c>
      <c r="C6" s="19">
        <v>0.5</v>
      </c>
    </row>
    <row r="7" spans="1:3" x14ac:dyDescent="0.2">
      <c r="A7" s="6" t="s">
        <v>40</v>
      </c>
      <c r="B7" t="e">
        <v>#VALUE!</v>
      </c>
      <c r="C7" s="19" t="e">
        <v>#VALUE!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129BA-9152-4081-8CCF-BF77F6871ED9}">
  <sheetPr>
    <tabColor rgb="FFFFC000"/>
    <pageSetUpPr fitToPage="1"/>
  </sheetPr>
  <dimension ref="A1:C35"/>
  <sheetViews>
    <sheetView workbookViewId="0">
      <selection activeCell="D43" sqref="D43"/>
    </sheetView>
  </sheetViews>
  <sheetFormatPr baseColWidth="10" defaultColWidth="9.1640625" defaultRowHeight="15" x14ac:dyDescent="0.2"/>
  <cols>
    <col min="1" max="1" width="15.83203125" bestFit="1" customWidth="1"/>
    <col min="2" max="2" width="18.33203125" bestFit="1" customWidth="1"/>
    <col min="3" max="3" width="11.5" bestFit="1" customWidth="1"/>
    <col min="4" max="4" width="19.1640625" bestFit="1" customWidth="1"/>
    <col min="5" max="5" width="15.83203125" bestFit="1" customWidth="1"/>
    <col min="6" max="7" width="11.6640625" bestFit="1" customWidth="1"/>
    <col min="8" max="8" width="15.83203125" bestFit="1" customWidth="1"/>
    <col min="9" max="9" width="12" bestFit="1" customWidth="1"/>
    <col min="10" max="10" width="20.5" bestFit="1" customWidth="1"/>
    <col min="11" max="11" width="17.1640625" bestFit="1" customWidth="1"/>
    <col min="12" max="12" width="23" bestFit="1" customWidth="1"/>
    <col min="13" max="13" width="28.6640625" bestFit="1" customWidth="1"/>
    <col min="14" max="14" width="17.83203125" bestFit="1" customWidth="1"/>
    <col min="15" max="15" width="24.6640625" bestFit="1" customWidth="1"/>
    <col min="16" max="16" width="23.5" bestFit="1" customWidth="1"/>
    <col min="17" max="17" width="23" bestFit="1" customWidth="1"/>
    <col min="18" max="18" width="30" bestFit="1" customWidth="1"/>
    <col min="19" max="19" width="28.6640625" bestFit="1" customWidth="1"/>
  </cols>
  <sheetData>
    <row r="1" spans="1:2" x14ac:dyDescent="0.2">
      <c r="A1" s="5" t="s">
        <v>31</v>
      </c>
      <c r="B1" t="s">
        <v>417</v>
      </c>
    </row>
    <row r="3" spans="1:2" x14ac:dyDescent="0.2">
      <c r="A3" s="5" t="s">
        <v>36</v>
      </c>
      <c r="B3" s="5" t="s">
        <v>30</v>
      </c>
    </row>
    <row r="4" spans="1:2" x14ac:dyDescent="0.2">
      <c r="A4" s="5" t="s">
        <v>32</v>
      </c>
      <c r="B4" t="s">
        <v>416</v>
      </c>
    </row>
    <row r="5" spans="1:2" x14ac:dyDescent="0.2">
      <c r="A5" t="s">
        <v>416</v>
      </c>
      <c r="B5" s="125"/>
    </row>
    <row r="30" spans="1:2" x14ac:dyDescent="0.2">
      <c r="A30" s="5" t="s">
        <v>41</v>
      </c>
      <c r="B30" t="s">
        <v>42</v>
      </c>
    </row>
    <row r="32" spans="1:2" x14ac:dyDescent="0.2">
      <c r="A32" s="5" t="s">
        <v>43</v>
      </c>
      <c r="B32" s="5" t="s">
        <v>44</v>
      </c>
    </row>
    <row r="33" spans="1:3" x14ac:dyDescent="0.2">
      <c r="A33" s="5" t="s">
        <v>45</v>
      </c>
      <c r="B33" t="s">
        <v>16</v>
      </c>
      <c r="C33" t="s">
        <v>40</v>
      </c>
    </row>
    <row r="34" spans="1:3" x14ac:dyDescent="0.2">
      <c r="A34" t="s">
        <v>46</v>
      </c>
      <c r="B34">
        <v>4</v>
      </c>
      <c r="C34">
        <v>4</v>
      </c>
    </row>
    <row r="35" spans="1:3" x14ac:dyDescent="0.2">
      <c r="A35" t="s">
        <v>40</v>
      </c>
      <c r="B35">
        <v>4</v>
      </c>
      <c r="C35">
        <v>4</v>
      </c>
    </row>
  </sheetData>
  <pageMargins left="0.7" right="0.7" top="0.75" bottom="0.75" header="0.3" footer="0.3"/>
  <pageSetup paperSize="3" fitToHeight="0" orientation="landscape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703E4-F008-44E4-A977-8D1FFA649CA2}">
  <dimension ref="A1:C3"/>
  <sheetViews>
    <sheetView workbookViewId="0">
      <selection activeCell="B2" sqref="B2:C3"/>
    </sheetView>
  </sheetViews>
  <sheetFormatPr baseColWidth="10" defaultColWidth="9.1640625" defaultRowHeight="15" x14ac:dyDescent="0.2"/>
  <cols>
    <col min="1" max="1" width="7.6640625" bestFit="1" customWidth="1"/>
    <col min="2" max="2" width="21.83203125" bestFit="1" customWidth="1"/>
    <col min="3" max="3" width="38.33203125" bestFit="1" customWidth="1"/>
  </cols>
  <sheetData>
    <row r="1" spans="1:3" x14ac:dyDescent="0.2">
      <c r="A1" s="8" t="s">
        <v>10</v>
      </c>
      <c r="B1" s="9" t="s">
        <v>47</v>
      </c>
      <c r="C1" s="10" t="s">
        <v>11</v>
      </c>
    </row>
    <row r="2" spans="1:3" x14ac:dyDescent="0.2">
      <c r="A2" s="11" t="s">
        <v>48</v>
      </c>
      <c r="B2" s="12"/>
      <c r="C2" s="13"/>
    </row>
    <row r="3" spans="1:3" x14ac:dyDescent="0.2">
      <c r="A3" s="14" t="s">
        <v>49</v>
      </c>
      <c r="B3" s="15"/>
      <c r="C3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2"/>
  <sheetViews>
    <sheetView zoomScale="160" zoomScaleNormal="160" workbookViewId="0">
      <selection sqref="A1:E1"/>
    </sheetView>
  </sheetViews>
  <sheetFormatPr baseColWidth="10" defaultColWidth="9.1640625" defaultRowHeight="15" x14ac:dyDescent="0.2"/>
  <cols>
    <col min="1" max="1" width="7.6640625" bestFit="1" customWidth="1"/>
    <col min="2" max="2" width="27.83203125" bestFit="1" customWidth="1"/>
    <col min="3" max="3" width="132.33203125" bestFit="1" customWidth="1"/>
  </cols>
  <sheetData>
    <row r="1" spans="1:5" x14ac:dyDescent="0.2">
      <c r="A1" t="s">
        <v>10</v>
      </c>
      <c r="B1" t="s">
        <v>47</v>
      </c>
      <c r="C1" t="s">
        <v>11</v>
      </c>
      <c r="D1" t="s">
        <v>50</v>
      </c>
      <c r="E1" t="s">
        <v>51</v>
      </c>
    </row>
    <row r="2" spans="1:5" x14ac:dyDescent="0.2">
      <c r="A2" s="7" t="s">
        <v>52</v>
      </c>
      <c r="B2" s="7" t="s">
        <v>39</v>
      </c>
      <c r="C2" s="7" t="s">
        <v>53</v>
      </c>
      <c r="D2" s="17">
        <v>1</v>
      </c>
      <c r="E2" s="17">
        <v>1</v>
      </c>
    </row>
    <row r="3" spans="1:5" x14ac:dyDescent="0.2">
      <c r="A3" s="7" t="s">
        <v>54</v>
      </c>
      <c r="B3" s="7" t="s">
        <v>55</v>
      </c>
      <c r="C3" s="7" t="s">
        <v>56</v>
      </c>
      <c r="D3" s="17">
        <v>2</v>
      </c>
      <c r="E3" s="17">
        <v>2</v>
      </c>
    </row>
    <row r="4" spans="1:5" x14ac:dyDescent="0.2">
      <c r="A4" s="7" t="s">
        <v>57</v>
      </c>
      <c r="B4" s="7" t="s">
        <v>58</v>
      </c>
      <c r="C4" s="7" t="s">
        <v>59</v>
      </c>
      <c r="D4" s="17">
        <v>3</v>
      </c>
      <c r="E4" s="17">
        <v>3</v>
      </c>
    </row>
    <row r="5" spans="1:5" x14ac:dyDescent="0.2">
      <c r="A5" s="7" t="s">
        <v>60</v>
      </c>
      <c r="B5" s="7" t="s">
        <v>61</v>
      </c>
      <c r="C5" s="7" t="s">
        <v>62</v>
      </c>
      <c r="D5" s="17">
        <v>5</v>
      </c>
      <c r="E5" s="17">
        <v>4</v>
      </c>
    </row>
    <row r="6" spans="1:5" x14ac:dyDescent="0.2">
      <c r="A6" s="7" t="s">
        <v>63</v>
      </c>
      <c r="B6" s="7" t="s">
        <v>64</v>
      </c>
      <c r="C6" s="7" t="s">
        <v>65</v>
      </c>
      <c r="D6" s="17">
        <v>6</v>
      </c>
      <c r="E6" s="17">
        <v>5</v>
      </c>
    </row>
    <row r="7" spans="1:5" x14ac:dyDescent="0.2">
      <c r="A7" s="7" t="s">
        <v>66</v>
      </c>
      <c r="B7" s="7" t="s">
        <v>67</v>
      </c>
      <c r="C7" s="7" t="s">
        <v>68</v>
      </c>
      <c r="D7" s="17">
        <v>7</v>
      </c>
      <c r="E7" s="17">
        <v>7</v>
      </c>
    </row>
    <row r="8" spans="1:5" x14ac:dyDescent="0.2">
      <c r="A8" s="7" t="s">
        <v>69</v>
      </c>
      <c r="B8" s="7" t="s">
        <v>70</v>
      </c>
      <c r="C8" s="7" t="s">
        <v>71</v>
      </c>
      <c r="D8" s="17"/>
      <c r="E8" s="17"/>
    </row>
    <row r="9" spans="1:5" x14ac:dyDescent="0.2">
      <c r="A9" s="7" t="s">
        <v>72</v>
      </c>
      <c r="B9" s="7" t="s">
        <v>73</v>
      </c>
      <c r="C9" s="7" t="s">
        <v>74</v>
      </c>
      <c r="D9" s="17">
        <v>8</v>
      </c>
      <c r="E9" s="17">
        <v>9</v>
      </c>
    </row>
    <row r="10" spans="1:5" x14ac:dyDescent="0.2">
      <c r="A10" s="7" t="s">
        <v>75</v>
      </c>
      <c r="B10" s="7" t="s">
        <v>46</v>
      </c>
      <c r="C10" s="7" t="s">
        <v>76</v>
      </c>
      <c r="D10" s="17">
        <v>9</v>
      </c>
      <c r="E10" s="17">
        <v>10</v>
      </c>
    </row>
    <row r="11" spans="1:5" x14ac:dyDescent="0.2">
      <c r="A11" s="7" t="s">
        <v>77</v>
      </c>
      <c r="B11" s="7" t="s">
        <v>78</v>
      </c>
      <c r="C11" s="7" t="s">
        <v>79</v>
      </c>
      <c r="D11" s="17">
        <v>10</v>
      </c>
      <c r="E11" s="17">
        <v>11</v>
      </c>
    </row>
    <row r="12" spans="1:5" x14ac:dyDescent="0.2">
      <c r="A12" s="7" t="s">
        <v>80</v>
      </c>
      <c r="B12" s="7" t="s">
        <v>81</v>
      </c>
      <c r="C12" s="7" t="s">
        <v>82</v>
      </c>
      <c r="D12" s="17">
        <v>11</v>
      </c>
      <c r="E12" s="17">
        <v>12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EFF82-E0F2-4338-B547-F2A8FBCE3B2B}">
  <sheetPr codeName="Sheet5"/>
  <dimension ref="A1:D13"/>
  <sheetViews>
    <sheetView zoomScale="160" zoomScaleNormal="160" workbookViewId="0">
      <selection activeCell="C22" sqref="C22"/>
    </sheetView>
  </sheetViews>
  <sheetFormatPr baseColWidth="10" defaultColWidth="9.1640625" defaultRowHeight="15" x14ac:dyDescent="0.2"/>
  <cols>
    <col min="3" max="3" width="12.83203125" customWidth="1"/>
    <col min="4" max="4" width="72" bestFit="1" customWidth="1"/>
    <col min="5" max="5" width="22.33203125" customWidth="1"/>
  </cols>
  <sheetData>
    <row r="1" spans="1:4" x14ac:dyDescent="0.2">
      <c r="A1" t="s">
        <v>83</v>
      </c>
      <c r="B1" t="s">
        <v>84</v>
      </c>
      <c r="C1" t="s">
        <v>85</v>
      </c>
      <c r="D1" t="s">
        <v>86</v>
      </c>
    </row>
    <row r="2" spans="1:4" x14ac:dyDescent="0.2">
      <c r="A2" t="s">
        <v>54</v>
      </c>
      <c r="B2" t="s">
        <v>52</v>
      </c>
      <c r="C2" t="s">
        <v>87</v>
      </c>
      <c r="D2" t="str">
        <f>"LEO """&amp;VLOOKUP(A2,LEOs!A$1:E$12,2)&amp;""" "&amp;C2&amp;" LEO """&amp;VLOOKUP(B2,LEOs!A$1:E$12,2)&amp;""""</f>
        <v>LEO "CLASSES" requires LEO "BASIC_CLASSES"</v>
      </c>
    </row>
    <row r="3" spans="1:4" x14ac:dyDescent="0.2">
      <c r="A3" t="s">
        <v>57</v>
      </c>
      <c r="B3" t="s">
        <v>54</v>
      </c>
      <c r="C3" t="s">
        <v>87</v>
      </c>
      <c r="D3" t="str">
        <f>"LEO """&amp;VLOOKUP(A3,LEOs!A$1:E$12,2)&amp;""" "&amp;C3&amp;" LEO """&amp;VLOOKUP(B3,LEOs!A$1:E$12,2)&amp;""""</f>
        <v>LEO "BASIC_INHERITANCE" requires LEO "CLASSES"</v>
      </c>
    </row>
    <row r="4" spans="1:4" x14ac:dyDescent="0.2">
      <c r="A4" t="s">
        <v>60</v>
      </c>
      <c r="B4" t="s">
        <v>57</v>
      </c>
      <c r="C4" t="s">
        <v>87</v>
      </c>
      <c r="D4" t="str">
        <f>"LEO """&amp;VLOOKUP(A4,LEOs!A$1:E$12,2)&amp;""" "&amp;C4&amp;" LEO """&amp;VLOOKUP(B4,LEOs!A$1:E$12,2)&amp;""""</f>
        <v>LEO "INHERITANCE" requires LEO "BASIC_INHERITANCE"</v>
      </c>
    </row>
    <row r="5" spans="1:4" x14ac:dyDescent="0.2">
      <c r="A5" t="s">
        <v>63</v>
      </c>
      <c r="B5" t="s">
        <v>60</v>
      </c>
      <c r="C5" t="s">
        <v>87</v>
      </c>
      <c r="D5" t="str">
        <f>"LEO """&amp;VLOOKUP(A5,LEOs!A$1:E$12,2)&amp;""" "&amp;C5&amp;" LEO """&amp;VLOOKUP(B5,LEOs!A$1:E$12,2)&amp;""""</f>
        <v>LEO "ABSTRACT_INTERFACE" requires LEO "INHERITANCE"</v>
      </c>
    </row>
    <row r="6" spans="1:4" x14ac:dyDescent="0.2">
      <c r="A6" t="s">
        <v>69</v>
      </c>
      <c r="B6" t="s">
        <v>63</v>
      </c>
      <c r="C6" t="s">
        <v>87</v>
      </c>
      <c r="D6" t="str">
        <f>"LEO """&amp;VLOOKUP(A6,LEOs!A$1:E$12,2)&amp;""" "&amp;C6&amp;" LEO """&amp;VLOOKUP(B6,LEOs!A$1:E$12,2)&amp;""""</f>
        <v>LEO "EXCEPTIONS" requires LEO "ABSTRACT_INTERFACE"</v>
      </c>
    </row>
    <row r="7" spans="1:4" x14ac:dyDescent="0.2">
      <c r="A7" t="s">
        <v>75</v>
      </c>
      <c r="B7" t="s">
        <v>60</v>
      </c>
      <c r="C7" t="s">
        <v>87</v>
      </c>
      <c r="D7" t="str">
        <f>"LEO """&amp;VLOOKUP(A7,LEOs!A$1:E$12,2)&amp;""" "&amp;C7&amp;" LEO """&amp;VLOOKUP(B7,LEOs!A$1:E$12,2)&amp;""""</f>
        <v>LEO "TESTING" requires LEO "INHERITANCE"</v>
      </c>
    </row>
    <row r="8" spans="1:4" x14ac:dyDescent="0.2">
      <c r="A8" t="s">
        <v>88</v>
      </c>
      <c r="B8" t="s">
        <v>60</v>
      </c>
      <c r="C8" t="s">
        <v>87</v>
      </c>
      <c r="D8" t="str">
        <f>"LEO """&amp;VLOOKUP(A8,LEOs!A$1:E$12,2)&amp;""" "&amp;C8&amp;" LEO """&amp;VLOOKUP(B8,LEOs!A$1:E$12,2)&amp;""""</f>
        <v>LEO "TESTING" requires LEO "INHERITANCE"</v>
      </c>
    </row>
    <row r="9" spans="1:4" x14ac:dyDescent="0.2">
      <c r="A9" t="s">
        <v>52</v>
      </c>
      <c r="B9" t="s">
        <v>77</v>
      </c>
      <c r="C9" t="s">
        <v>87</v>
      </c>
      <c r="D9" t="str">
        <f>"LEO """&amp;VLOOKUP(A9,LEOs!A$1:E$12,2)&amp;""" "&amp;C9&amp;" LEO """&amp;VLOOKUP(B9,LEOs!A$1:E$12,2)&amp;""""</f>
        <v>LEO "BASIC_CLASSES" requires LEO "CLASS_DIAGRAM"</v>
      </c>
    </row>
    <row r="10" spans="1:4" x14ac:dyDescent="0.2">
      <c r="A10" t="s">
        <v>54</v>
      </c>
      <c r="B10" t="s">
        <v>77</v>
      </c>
      <c r="C10" t="s">
        <v>87</v>
      </c>
      <c r="D10" t="str">
        <f>"LEO """&amp;VLOOKUP(A10,LEOs!A$1:E$12,2)&amp;""" "&amp;C10&amp;" LEO """&amp;VLOOKUP(B10,LEOs!A$1:E$12,2)&amp;""""</f>
        <v>LEO "CLASSES" requires LEO "CLASS_DIAGRAM"</v>
      </c>
    </row>
    <row r="11" spans="1:4" x14ac:dyDescent="0.2">
      <c r="A11" t="s">
        <v>57</v>
      </c>
      <c r="B11" t="s">
        <v>77</v>
      </c>
      <c r="C11" t="s">
        <v>87</v>
      </c>
      <c r="D11" t="str">
        <f>"LEO """&amp;VLOOKUP(A11,LEOs!A$1:E$12,2)&amp;""" "&amp;C11&amp;" LEO """&amp;VLOOKUP(B11,LEOs!A$1:E$12,2)&amp;""""</f>
        <v>LEO "BASIC_INHERITANCE" requires LEO "CLASS_DIAGRAM"</v>
      </c>
    </row>
    <row r="12" spans="1:4" x14ac:dyDescent="0.2">
      <c r="A12" t="s">
        <v>60</v>
      </c>
      <c r="B12" t="s">
        <v>77</v>
      </c>
      <c r="C12" t="s">
        <v>87</v>
      </c>
      <c r="D12" t="str">
        <f>"LEO """&amp;VLOOKUP(A12,LEOs!A$1:E$12,2)&amp;""" "&amp;C12&amp;" LEO """&amp;VLOOKUP(B12,LEOs!A$1:E$12,2)&amp;""""</f>
        <v>LEO "INHERITANCE" requires LEO "CLASS_DIAGRAM"</v>
      </c>
    </row>
    <row r="13" spans="1:4" x14ac:dyDescent="0.2">
      <c r="A13" t="s">
        <v>63</v>
      </c>
      <c r="B13" t="s">
        <v>77</v>
      </c>
      <c r="C13" t="s">
        <v>87</v>
      </c>
      <c r="D13" t="str">
        <f>"LEO """&amp;VLOOKUP(A13,LEOs!A$1:E$12,2)&amp;""" "&amp;C13&amp;" LEO """&amp;VLOOKUP(B13,LEOs!A$1:E$12,2)&amp;""""</f>
        <v>LEO "ABSTRACT_INTERFACE" requires LEO "CLASS_DIAGRAM"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086E03-895C-4F88-9D35-E1DD7C2F5D9F}">
          <x14:formula1>
            <xm:f>LEOs!$A$2:$A$12</xm:f>
          </x14:formula1>
          <xm:sqref>A2:B15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DBA0C-9B71-4351-9ED7-CFCF4867A755}">
  <sheetPr codeName="Sheet6"/>
  <dimension ref="A1:J105"/>
  <sheetViews>
    <sheetView zoomScale="130" zoomScaleNormal="130" workbookViewId="0">
      <selection activeCell="E35" sqref="E35"/>
    </sheetView>
  </sheetViews>
  <sheetFormatPr baseColWidth="10" defaultColWidth="18.1640625" defaultRowHeight="15" x14ac:dyDescent="0.2"/>
  <cols>
    <col min="1" max="1" width="17.33203125" customWidth="1"/>
    <col min="2" max="2" width="9.5" bestFit="1" customWidth="1"/>
    <col min="3" max="3" width="18.5" bestFit="1" customWidth="1"/>
    <col min="4" max="4" width="38.5" customWidth="1"/>
    <col min="5" max="5" width="86.33203125" customWidth="1"/>
    <col min="6" max="6" width="27.83203125" bestFit="1" customWidth="1"/>
    <col min="7" max="7" width="101.5" bestFit="1" customWidth="1"/>
    <col min="8" max="8" width="62.5" bestFit="1" customWidth="1"/>
  </cols>
  <sheetData>
    <row r="1" spans="1:10" x14ac:dyDescent="0.2">
      <c r="A1" s="1" t="s">
        <v>10</v>
      </c>
      <c r="B1" s="2" t="s">
        <v>41</v>
      </c>
      <c r="C1" s="2" t="s">
        <v>44</v>
      </c>
      <c r="D1" s="2" t="s">
        <v>47</v>
      </c>
      <c r="E1" s="24" t="s">
        <v>11</v>
      </c>
      <c r="F1" s="2" t="s">
        <v>45</v>
      </c>
      <c r="G1" s="3" t="s">
        <v>86</v>
      </c>
      <c r="H1" s="2" t="s">
        <v>89</v>
      </c>
      <c r="I1" s="2" t="s">
        <v>90</v>
      </c>
      <c r="J1" s="2" t="s">
        <v>33</v>
      </c>
    </row>
    <row r="2" spans="1:10" x14ac:dyDescent="0.2">
      <c r="A2" t="s">
        <v>91</v>
      </c>
      <c r="B2" t="s">
        <v>52</v>
      </c>
      <c r="C2" t="s">
        <v>16</v>
      </c>
      <c r="D2" t="s">
        <v>92</v>
      </c>
      <c r="E2" t="s">
        <v>93</v>
      </c>
      <c r="F2" t="str">
        <f>VLOOKUP(B2,LEOs!A$1:E$12,2)</f>
        <v>BASIC_CLASSES</v>
      </c>
      <c r="G2" s="4" t="str">
        <f>"MLEO """&amp;D2&amp;""" is part of LEO """&amp;VLOOKUP(B2,LEOs!A$1:E$12,2)&amp;""""</f>
        <v>MLEO "PRIMITIVE_TYPE_ATTRIBUTES" is part of LEO "BASIC_CLASSES"</v>
      </c>
      <c r="H2" s="22"/>
    </row>
    <row r="3" spans="1:10" x14ac:dyDescent="0.2">
      <c r="A3" t="s">
        <v>94</v>
      </c>
      <c r="B3" t="s">
        <v>52</v>
      </c>
      <c r="C3" t="s">
        <v>16</v>
      </c>
      <c r="D3" t="s">
        <v>95</v>
      </c>
      <c r="E3" t="s">
        <v>96</v>
      </c>
      <c r="F3" t="str">
        <f>VLOOKUP(B3,LEOs!A$1:E$12,2)</f>
        <v>BASIC_CLASSES</v>
      </c>
      <c r="G3" s="4" t="str">
        <f>"MLEO """&amp;D3&amp;""" is part of LEO """&amp;VLOOKUP(B3,LEOs!A$1:E$12,2)&amp;""""</f>
        <v>MLEO "STRING_REPRESENTATIONS" is part of LEO "BASIC_CLASSES"</v>
      </c>
      <c r="H3" s="22"/>
    </row>
    <row r="4" spans="1:10" x14ac:dyDescent="0.2">
      <c r="A4" t="s">
        <v>97</v>
      </c>
      <c r="B4" t="s">
        <v>52</v>
      </c>
      <c r="C4" t="s">
        <v>16</v>
      </c>
      <c r="D4" t="s">
        <v>98</v>
      </c>
      <c r="E4" t="s">
        <v>99</v>
      </c>
      <c r="F4" t="str">
        <f>VLOOKUP(B4,LEOs!A$1:E$12,2)</f>
        <v>BASIC_CLASSES</v>
      </c>
      <c r="G4" s="4" t="str">
        <f>"MLEO """&amp;D4&amp;""" is part of LEO """&amp;VLOOKUP(B4,LEOs!A$1:E$12,2)&amp;""""</f>
        <v>MLEO "PRIMITIVE_TYPE_DIRECT_GETTER" is part of LEO "BASIC_CLASSES"</v>
      </c>
      <c r="H4" s="22"/>
      <c r="I4" t="s">
        <v>100</v>
      </c>
    </row>
    <row r="5" spans="1:10" x14ac:dyDescent="0.2">
      <c r="A5" t="s">
        <v>101</v>
      </c>
      <c r="B5" t="s">
        <v>52</v>
      </c>
      <c r="C5" t="s">
        <v>16</v>
      </c>
      <c r="D5" t="s">
        <v>102</v>
      </c>
      <c r="E5" t="s">
        <v>103</v>
      </c>
      <c r="F5" t="str">
        <f>VLOOKUP(B5,LEOs!A$1:E$12,2)</f>
        <v>BASIC_CLASSES</v>
      </c>
      <c r="G5" s="4" t="str">
        <f>"MLEO """&amp;D5&amp;""" is part of LEO """&amp;VLOOKUP(B5,LEOs!A$1:E$12,2)&amp;""""</f>
        <v>MLEO "PRIMITIVE_TYPE_DIRECT_SETTER" is part of LEO "BASIC_CLASSES"</v>
      </c>
      <c r="H5" s="22"/>
      <c r="I5" t="s">
        <v>100</v>
      </c>
    </row>
    <row r="6" spans="1:10" x14ac:dyDescent="0.2">
      <c r="A6" t="s">
        <v>104</v>
      </c>
      <c r="B6" t="s">
        <v>52</v>
      </c>
      <c r="C6" t="s">
        <v>16</v>
      </c>
      <c r="D6" t="s">
        <v>105</v>
      </c>
      <c r="E6" t="s">
        <v>106</v>
      </c>
      <c r="F6" t="str">
        <f>VLOOKUP(B6,LEOs!A$1:E$12,2)</f>
        <v>BASIC_CLASSES</v>
      </c>
      <c r="G6" s="4" t="str">
        <f>"MLEO """&amp;D6&amp;""" is part of LEO """&amp;VLOOKUP(B6,LEOs!A$1:E$12,2)&amp;""""</f>
        <v>MLEO "PRIMITIVE_TYPE_GETTER" is part of LEO "BASIC_CLASSES"</v>
      </c>
      <c r="H6" s="22"/>
      <c r="I6" t="s">
        <v>107</v>
      </c>
    </row>
    <row r="7" spans="1:10" x14ac:dyDescent="0.2">
      <c r="A7" t="s">
        <v>108</v>
      </c>
      <c r="B7" t="s">
        <v>52</v>
      </c>
      <c r="C7" t="s">
        <v>16</v>
      </c>
      <c r="D7" t="s">
        <v>109</v>
      </c>
      <c r="E7" t="s">
        <v>110</v>
      </c>
      <c r="F7" t="str">
        <f>VLOOKUP(B7,LEOs!A$1:E$12,2)</f>
        <v>BASIC_CLASSES</v>
      </c>
      <c r="G7" s="4" t="str">
        <f>"MLEO """&amp;D7&amp;""" is part of LEO """&amp;VLOOKUP(B7,LEOs!A$1:E$12,2)&amp;""""</f>
        <v>MLEO "PRIMITIVE_TYPE_SETTER" is part of LEO "BASIC_CLASSES"</v>
      </c>
      <c r="H7" s="22"/>
      <c r="I7" t="s">
        <v>100</v>
      </c>
    </row>
    <row r="8" spans="1:10" x14ac:dyDescent="0.2">
      <c r="A8" t="s">
        <v>111</v>
      </c>
      <c r="B8" t="s">
        <v>52</v>
      </c>
      <c r="C8" t="s">
        <v>16</v>
      </c>
      <c r="D8" t="s">
        <v>112</v>
      </c>
      <c r="E8" t="s">
        <v>113</v>
      </c>
      <c r="F8" t="str">
        <f>VLOOKUP(B8,LEOs!A$1:E$12,2)</f>
        <v>BASIC_CLASSES</v>
      </c>
      <c r="G8" s="4" t="str">
        <f>"MLEO """&amp;D8&amp;""" is part of LEO """&amp;VLOOKUP(B8,LEOs!A$1:E$12,2)&amp;""""</f>
        <v>MLEO "REFERENCE_TYPE_ATTRIBUTES" is part of LEO "BASIC_CLASSES"</v>
      </c>
      <c r="H8" s="22"/>
    </row>
    <row r="9" spans="1:10" x14ac:dyDescent="0.2">
      <c r="A9" t="s">
        <v>114</v>
      </c>
      <c r="B9" t="s">
        <v>52</v>
      </c>
      <c r="C9" t="s">
        <v>16</v>
      </c>
      <c r="D9" s="7" t="s">
        <v>115</v>
      </c>
      <c r="E9" s="7" t="s">
        <v>116</v>
      </c>
      <c r="F9" t="str">
        <f>VLOOKUP(B9,LEOs!A$1:E$12,2)</f>
        <v>BASIC_CLASSES</v>
      </c>
      <c r="G9" s="4" t="str">
        <f>"MLEO """&amp;D9&amp;""" is part of LEO """&amp;VLOOKUP(B9,LEOs!A$1:E$12,2)&amp;""""</f>
        <v>MLEO "SIMPLE_METHODS" is part of LEO "BASIC_CLASSES"</v>
      </c>
      <c r="H9" s="22"/>
    </row>
    <row r="10" spans="1:10" x14ac:dyDescent="0.2">
      <c r="A10" t="s">
        <v>117</v>
      </c>
      <c r="B10" t="s">
        <v>52</v>
      </c>
      <c r="C10" t="s">
        <v>16</v>
      </c>
      <c r="D10" s="7" t="s">
        <v>118</v>
      </c>
      <c r="E10" s="7" t="s">
        <v>119</v>
      </c>
      <c r="F10" t="str">
        <f>VLOOKUP(B10,LEOs!A$1:E$12,2)</f>
        <v>BASIC_CLASSES</v>
      </c>
      <c r="G10" s="4" t="str">
        <f>"MLEO """&amp;D10&amp;""" is part of LEO """&amp;VLOOKUP(B10,LEOs!A$1:E$12,2)&amp;""""</f>
        <v>MLEO "OVERLOAD_METHODS" is part of LEO "BASIC_CLASSES"</v>
      </c>
      <c r="H10" s="22"/>
    </row>
    <row r="11" spans="1:10" x14ac:dyDescent="0.2">
      <c r="A11" t="s">
        <v>120</v>
      </c>
      <c r="B11" t="s">
        <v>52</v>
      </c>
      <c r="C11" t="s">
        <v>16</v>
      </c>
      <c r="D11" s="7" t="s">
        <v>121</v>
      </c>
      <c r="E11" s="7" t="s">
        <v>122</v>
      </c>
      <c r="F11" t="str">
        <f>VLOOKUP(B11,LEOs!A$1:E$12,2)</f>
        <v>BASIC_CLASSES</v>
      </c>
      <c r="G11" s="4" t="str">
        <f>"MLEO """&amp;D11&amp;""" is part of LEO """&amp;VLOOKUP(B11,LEOs!A$1:E$12,2)&amp;""""</f>
        <v>MLEO "COMPARE_METHOD" is part of LEO "BASIC_CLASSES"</v>
      </c>
      <c r="H11" s="22"/>
      <c r="I11" t="s">
        <v>123</v>
      </c>
    </row>
    <row r="12" spans="1:10" x14ac:dyDescent="0.2">
      <c r="A12" t="s">
        <v>124</v>
      </c>
      <c r="B12" t="s">
        <v>52</v>
      </c>
      <c r="C12" t="s">
        <v>16</v>
      </c>
      <c r="D12" s="7" t="s">
        <v>125</v>
      </c>
      <c r="E12" s="7" t="s">
        <v>126</v>
      </c>
      <c r="F12" t="str">
        <f>VLOOKUP(B12,LEOs!A$1:E$12,2)</f>
        <v>BASIC_CLASSES</v>
      </c>
      <c r="G12" s="4" t="str">
        <f>"MLEO """&amp;D12&amp;""" is part of LEO """&amp;VLOOKUP(B12,LEOs!A$1:E$12,2)&amp;""""</f>
        <v>MLEO "PRIVATE_METHODS" is part of LEO "BASIC_CLASSES"</v>
      </c>
      <c r="H12" s="22"/>
    </row>
    <row r="13" spans="1:10" x14ac:dyDescent="0.2">
      <c r="A13" t="s">
        <v>127</v>
      </c>
      <c r="B13" t="s">
        <v>52</v>
      </c>
      <c r="C13" t="s">
        <v>16</v>
      </c>
      <c r="D13" t="s">
        <v>128</v>
      </c>
      <c r="E13" t="s">
        <v>129</v>
      </c>
      <c r="F13" t="str">
        <f>VLOOKUP(B13,LEOs!A$1:E$12,2)</f>
        <v>BASIC_CLASSES</v>
      </c>
      <c r="G13" s="4" t="str">
        <f>"MLEO """&amp;D13&amp;""" is part of LEO """&amp;VLOOKUP(B13,LEOs!A$1:E$12,2)&amp;""""</f>
        <v>MLEO "ENTITY_CLASSES" is part of LEO "BASIC_CLASSES"</v>
      </c>
      <c r="H13" s="22"/>
    </row>
    <row r="14" spans="1:10" x14ac:dyDescent="0.2">
      <c r="A14" t="s">
        <v>130</v>
      </c>
      <c r="B14" t="s">
        <v>52</v>
      </c>
      <c r="C14" t="s">
        <v>16</v>
      </c>
      <c r="D14" t="s">
        <v>131</v>
      </c>
      <c r="E14" t="s">
        <v>132</v>
      </c>
      <c r="F14" t="str">
        <f>VLOOKUP(B14,LEOs!A$1:E$12,2)</f>
        <v>BASIC_CLASSES</v>
      </c>
      <c r="G14" s="4" t="str">
        <f>"MLEO """&amp;D14&amp;""" is part of LEO """&amp;VLOOKUP(B14,LEOs!A$1:E$12,2)&amp;""""</f>
        <v>MLEO "CONTROLLER_CLASSES" is part of LEO "BASIC_CLASSES"</v>
      </c>
      <c r="H14" s="22"/>
      <c r="I14" t="s">
        <v>100</v>
      </c>
    </row>
    <row r="15" spans="1:10" x14ac:dyDescent="0.2">
      <c r="A15" t="s">
        <v>133</v>
      </c>
      <c r="B15" t="s">
        <v>52</v>
      </c>
      <c r="C15" t="s">
        <v>16</v>
      </c>
      <c r="D15" t="s">
        <v>134</v>
      </c>
      <c r="E15" t="s">
        <v>135</v>
      </c>
      <c r="F15" t="str">
        <f>VLOOKUP(B15,LEOs!A$1:E$12,2)</f>
        <v>BASIC_CLASSES</v>
      </c>
      <c r="G15" s="4" t="str">
        <f>"MLEO """&amp;D16&amp;""" is part of LEO """&amp;VLOOKUP(B16,LEOs!A$1:E$12,2)&amp;""""</f>
        <v>MLEO "USE_BASIC_CLASSES" is part of LEO "BASIC_CLASSES"</v>
      </c>
      <c r="H15" s="22"/>
    </row>
    <row r="16" spans="1:10" x14ac:dyDescent="0.2">
      <c r="A16" t="s">
        <v>136</v>
      </c>
      <c r="B16" t="s">
        <v>52</v>
      </c>
      <c r="C16" t="s">
        <v>16</v>
      </c>
      <c r="D16" t="s">
        <v>137</v>
      </c>
      <c r="E16" t="s">
        <v>138</v>
      </c>
      <c r="F16" t="str">
        <f>VLOOKUP(B16,LEOs!A$1:E$12,2)</f>
        <v>BASIC_CLASSES</v>
      </c>
      <c r="G16" s="4" t="str">
        <f>"MLEO """&amp;D17&amp;""" is part of LEO """&amp;VLOOKUP(B17,LEOs!A$1:E$12,2)&amp;""""</f>
        <v>MLEO "STANDARD_CONSTRUCTOR" is part of LEO "CLASSES"</v>
      </c>
      <c r="H16" s="22"/>
      <c r="I16" t="s">
        <v>139</v>
      </c>
      <c r="J16" t="s">
        <v>140</v>
      </c>
    </row>
    <row r="17" spans="1:9" x14ac:dyDescent="0.2">
      <c r="A17" t="s">
        <v>141</v>
      </c>
      <c r="B17" s="7" t="s">
        <v>54</v>
      </c>
      <c r="C17" t="s">
        <v>16</v>
      </c>
      <c r="D17" t="s">
        <v>142</v>
      </c>
      <c r="E17" t="s">
        <v>143</v>
      </c>
      <c r="F17" t="str">
        <f>VLOOKUP(B17,LEOs!A$1:E$12,2)</f>
        <v>CLASSES</v>
      </c>
      <c r="G17" s="4" t="str">
        <f>"MLEO """&amp;D18&amp;""" is part of LEO """&amp;VLOOKUP(B18,LEOs!A$1:E$12,2)&amp;""""</f>
        <v>MLEO "CUSTOM_CONSTRUCTOR" is part of LEO "CLASSES"</v>
      </c>
      <c r="H17" s="22"/>
    </row>
    <row r="18" spans="1:9" x14ac:dyDescent="0.2">
      <c r="A18" t="s">
        <v>144</v>
      </c>
      <c r="B18" s="7" t="s">
        <v>54</v>
      </c>
      <c r="C18" t="s">
        <v>16</v>
      </c>
      <c r="D18" t="s">
        <v>145</v>
      </c>
      <c r="E18" t="s">
        <v>146</v>
      </c>
      <c r="F18" t="str">
        <f>VLOOKUP(B18,LEOs!A$1:E$12,2)</f>
        <v>CLASSES</v>
      </c>
      <c r="G18" s="4" t="str">
        <f>"MLEO """&amp;D19&amp;""" is part of LEO """&amp;VLOOKUP(B19,LEOs!A$1:E$12,2)&amp;""""</f>
        <v>MLEO "CONSTRUCTOR_CALL" is part of LEO "CLASSES"</v>
      </c>
      <c r="H18" s="22"/>
    </row>
    <row r="19" spans="1:9" x14ac:dyDescent="0.2">
      <c r="A19" t="s">
        <v>147</v>
      </c>
      <c r="B19" s="7" t="s">
        <v>54</v>
      </c>
      <c r="C19" t="s">
        <v>16</v>
      </c>
      <c r="D19" t="s">
        <v>148</v>
      </c>
      <c r="E19" t="s">
        <v>149</v>
      </c>
      <c r="F19" t="str">
        <f>VLOOKUP(B19,LEOs!A$1:E$12,2)</f>
        <v>CLASSES</v>
      </c>
      <c r="G19" s="4" t="str">
        <f>"MLEO """&amp;D20&amp;""" is part of LEO """&amp;VLOOKUP(B20,LEOs!A$1:E$12,2)&amp;""""</f>
        <v>MLEO "SHALLOW_COPY" is part of LEO "CLASSES"</v>
      </c>
      <c r="H19" s="22"/>
    </row>
    <row r="20" spans="1:9" x14ac:dyDescent="0.2">
      <c r="A20" t="s">
        <v>150</v>
      </c>
      <c r="B20" s="7" t="s">
        <v>54</v>
      </c>
      <c r="C20" t="s">
        <v>16</v>
      </c>
      <c r="D20" t="s">
        <v>151</v>
      </c>
      <c r="E20" t="s">
        <v>152</v>
      </c>
      <c r="F20" t="str">
        <f>VLOOKUP(B20,LEOs!A$1:E$12,2)</f>
        <v>CLASSES</v>
      </c>
      <c r="G20" s="4" t="str">
        <f>"MLEO """&amp;D21&amp;""" is part of LEO """&amp;VLOOKUP(B21,LEOs!A$1:E$12,2)&amp;""""</f>
        <v>MLEO "DEEP_COPY" is part of LEO "CLASSES"</v>
      </c>
      <c r="H20" s="22"/>
    </row>
    <row r="21" spans="1:9" x14ac:dyDescent="0.2">
      <c r="A21" t="s">
        <v>153</v>
      </c>
      <c r="B21" s="7" t="s">
        <v>54</v>
      </c>
      <c r="C21" t="s">
        <v>16</v>
      </c>
      <c r="D21" t="s">
        <v>154</v>
      </c>
      <c r="E21" t="s">
        <v>155</v>
      </c>
      <c r="F21" t="str">
        <f>VLOOKUP(B21,LEOs!A$1:E$12,2)</f>
        <v>CLASSES</v>
      </c>
      <c r="G21" s="4" t="str">
        <f>"MLEO """&amp;D22&amp;""" is part of LEO """&amp;VLOOKUP(B22,LEOs!A$1:E$12,2)&amp;""""</f>
        <v>MLEO "DEFENSIVE_GETTER_SETTER" is part of LEO "CLASSES"</v>
      </c>
      <c r="H21" s="22"/>
    </row>
    <row r="22" spans="1:9" x14ac:dyDescent="0.2">
      <c r="A22" s="7" t="s">
        <v>156</v>
      </c>
      <c r="B22" s="7" t="s">
        <v>54</v>
      </c>
      <c r="C22" t="s">
        <v>16</v>
      </c>
      <c r="D22" s="7" t="s">
        <v>157</v>
      </c>
      <c r="E22" s="7" t="s">
        <v>158</v>
      </c>
      <c r="F22" t="str">
        <f>VLOOKUP(B22,LEOs!A$1:E$12,2)</f>
        <v>CLASSES</v>
      </c>
      <c r="G22" s="4" t="str">
        <f>"MLEO """&amp;D23&amp;""" is part of LEO """&amp;VLOOKUP(B23,LEOs!A$1:E$12,2)&amp;""""</f>
        <v>MLEO "METHOD_CHAINING" is part of LEO "CLASSES"</v>
      </c>
      <c r="H22" s="22"/>
    </row>
    <row r="23" spans="1:9" x14ac:dyDescent="0.2">
      <c r="A23" s="7" t="s">
        <v>159</v>
      </c>
      <c r="B23" s="7" t="s">
        <v>54</v>
      </c>
      <c r="C23" t="s">
        <v>16</v>
      </c>
      <c r="D23" s="7" t="s">
        <v>160</v>
      </c>
      <c r="E23" s="7" t="s">
        <v>161</v>
      </c>
      <c r="F23" t="str">
        <f>VLOOKUP(B23,LEOs!A$1:E$12,2)</f>
        <v>CLASSES</v>
      </c>
      <c r="G23" s="4" t="str">
        <f>"MLEO """&amp;D24&amp;""" is part of LEO """&amp;VLOOKUP(B24,LEOs!A$1:E$12,2)&amp;""""</f>
        <v>MLEO "STATIC_FINAL_MEMBERS" is part of LEO "CLASSES"</v>
      </c>
      <c r="H23" s="22"/>
    </row>
    <row r="24" spans="1:9" x14ac:dyDescent="0.2">
      <c r="A24" s="7" t="s">
        <v>162</v>
      </c>
      <c r="B24" s="7" t="s">
        <v>54</v>
      </c>
      <c r="C24" t="s">
        <v>16</v>
      </c>
      <c r="D24" t="s">
        <v>163</v>
      </c>
      <c r="E24" t="s">
        <v>164</v>
      </c>
      <c r="F24" t="str">
        <f>VLOOKUP(B24,LEOs!A$1:E$12,2)</f>
        <v>CLASSES</v>
      </c>
      <c r="G24" s="4" t="str">
        <f>"MLEO """&amp;D25&amp;""" is part of LEO """&amp;VLOOKUP(B25,LEOs!A$1:E$12,2)&amp;""""</f>
        <v>MLEO "JAVA_DATE" is part of LEO "CLASSES"</v>
      </c>
      <c r="H24" s="22"/>
      <c r="I24" t="s">
        <v>165</v>
      </c>
    </row>
    <row r="25" spans="1:9" x14ac:dyDescent="0.2">
      <c r="A25" s="7" t="s">
        <v>166</v>
      </c>
      <c r="B25" s="7" t="s">
        <v>54</v>
      </c>
      <c r="C25" t="s">
        <v>16</v>
      </c>
      <c r="D25" t="s">
        <v>167</v>
      </c>
      <c r="E25" t="s">
        <v>168</v>
      </c>
      <c r="F25" t="str">
        <f>VLOOKUP(B25,LEOs!A$1:E$12,2)</f>
        <v>CLASSES</v>
      </c>
      <c r="G25" s="4" t="str">
        <f>"MLEO """&amp;D26&amp;""" is part of LEO """&amp;VLOOKUP(B26,LEOs!A$1:E$12,2)&amp;""""</f>
        <v>MLEO "IMPLEMENT_AGGREGATION_COMPOSITION" is part of LEO "CLASSES"</v>
      </c>
      <c r="H25" s="22"/>
    </row>
    <row r="26" spans="1:9" x14ac:dyDescent="0.2">
      <c r="A26" s="7" t="s">
        <v>169</v>
      </c>
      <c r="B26" s="7" t="s">
        <v>54</v>
      </c>
      <c r="C26" t="s">
        <v>16</v>
      </c>
      <c r="D26" t="s">
        <v>170</v>
      </c>
      <c r="E26" t="s">
        <v>171</v>
      </c>
      <c r="F26" t="str">
        <f>VLOOKUP(B26,LEOs!A$1:E$12,2)</f>
        <v>CLASSES</v>
      </c>
      <c r="G26" s="4" t="str">
        <f>"MLEO """&amp;D27&amp;""" is part of LEO """&amp;VLOOKUP(B27,LEOs!A$1:E$12,2)&amp;""""</f>
        <v>MLEO "USE_CLASSES" is part of LEO "CLASSES"</v>
      </c>
      <c r="H26" s="22"/>
    </row>
    <row r="27" spans="1:9" x14ac:dyDescent="0.2">
      <c r="A27" s="7" t="s">
        <v>172</v>
      </c>
      <c r="B27" s="7" t="s">
        <v>54</v>
      </c>
      <c r="C27" t="s">
        <v>16</v>
      </c>
      <c r="D27" s="7" t="s">
        <v>173</v>
      </c>
      <c r="E27" t="s">
        <v>174</v>
      </c>
      <c r="F27" t="str">
        <f>VLOOKUP(B27,LEOs!A$1:E$12,2)</f>
        <v>CLASSES</v>
      </c>
      <c r="G27" s="4" t="str">
        <f>"MLEO """&amp;D28&amp;""" is part of LEO """&amp;VLOOKUP(B28,LEOs!A$1:E$12,2)&amp;""""</f>
        <v>MLEO "EXTEND_CLASSES" is part of LEO "BASIC_INHERITANCE"</v>
      </c>
      <c r="H27" s="22"/>
      <c r="I27" t="s">
        <v>175</v>
      </c>
    </row>
    <row r="28" spans="1:9" x14ac:dyDescent="0.2">
      <c r="A28" t="s">
        <v>176</v>
      </c>
      <c r="B28" s="7" t="s">
        <v>57</v>
      </c>
      <c r="C28" t="s">
        <v>16</v>
      </c>
      <c r="D28" t="s">
        <v>177</v>
      </c>
      <c r="E28" t="s">
        <v>178</v>
      </c>
      <c r="F28" t="str">
        <f>VLOOKUP(B28,LEOs!A$1:E$12,2)</f>
        <v>BASIC_INHERITANCE</v>
      </c>
      <c r="G28" s="4" t="str">
        <f>"MLEO """&amp;D29&amp;""" is part of LEO """&amp;VLOOKUP(B29,LEOs!A$1:E$12,2)&amp;""""</f>
        <v>MLEO "OVERRIDE" is part of LEO "BASIC_INHERITANCE"</v>
      </c>
      <c r="H28" s="22"/>
    </row>
    <row r="29" spans="1:9" x14ac:dyDescent="0.2">
      <c r="A29" t="s">
        <v>179</v>
      </c>
      <c r="B29" s="7" t="s">
        <v>57</v>
      </c>
      <c r="C29" t="s">
        <v>16</v>
      </c>
      <c r="D29" t="s">
        <v>180</v>
      </c>
      <c r="E29" t="s">
        <v>181</v>
      </c>
      <c r="F29" t="str">
        <f>VLOOKUP(B29,LEOs!A$1:E$12,2)</f>
        <v>BASIC_INHERITANCE</v>
      </c>
      <c r="G29" s="4" t="str">
        <f>"MLEO """&amp;D30&amp;""" is part of LEO """&amp;VLOOKUP(B30,LEOs!A$1:E$12,2)&amp;""""</f>
        <v>MLEO "CLASS_OBJECT_METHODS" is part of LEO "BASIC_INHERITANCE"</v>
      </c>
      <c r="H29" s="22"/>
    </row>
    <row r="30" spans="1:9" x14ac:dyDescent="0.2">
      <c r="A30" t="s">
        <v>182</v>
      </c>
      <c r="B30" s="7" t="s">
        <v>57</v>
      </c>
      <c r="C30" t="s">
        <v>16</v>
      </c>
      <c r="D30" t="s">
        <v>183</v>
      </c>
      <c r="E30" t="s">
        <v>184</v>
      </c>
      <c r="F30" t="str">
        <f>VLOOKUP(B30,LEOs!A$1:E$12,2)</f>
        <v>BASIC_INHERITANCE</v>
      </c>
      <c r="G30" s="4" t="str">
        <f>"MLEO """&amp;D30&amp;""" is part of LEO """&amp;VLOOKUP(B30,LEOs!A$1:E$12,2)&amp;""""</f>
        <v>MLEO "CLASS_OBJECT_METHODS" is part of LEO "BASIC_INHERITANCE"</v>
      </c>
      <c r="H30" s="22"/>
    </row>
    <row r="31" spans="1:9" x14ac:dyDescent="0.2">
      <c r="A31" t="s">
        <v>185</v>
      </c>
      <c r="B31" s="7" t="s">
        <v>57</v>
      </c>
      <c r="C31" t="s">
        <v>16</v>
      </c>
      <c r="D31" t="s">
        <v>186</v>
      </c>
      <c r="E31" t="s">
        <v>187</v>
      </c>
      <c r="F31" t="str">
        <f>VLOOKUP(B31,LEOs!A$1:E$12,2)</f>
        <v>BASIC_INHERITANCE</v>
      </c>
      <c r="G31" s="4" t="str">
        <f>"MLEO """&amp;D31&amp;""" is part of LEO """&amp;VLOOKUP(B31,LEOs!A$1:E$12,2)&amp;""""</f>
        <v>MLEO "APPLY_BASIC_POLYMORPHISM" is part of LEO "BASIC_INHERITANCE"</v>
      </c>
      <c r="H31" s="22"/>
    </row>
    <row r="32" spans="1:9" x14ac:dyDescent="0.2">
      <c r="A32" t="s">
        <v>188</v>
      </c>
      <c r="B32" s="7" t="s">
        <v>57</v>
      </c>
      <c r="C32" t="s">
        <v>16</v>
      </c>
      <c r="D32" t="s">
        <v>189</v>
      </c>
      <c r="E32" t="s">
        <v>190</v>
      </c>
      <c r="F32" t="str">
        <f>VLOOKUP(B32,LEOs!A$1:E$12,2)</f>
        <v>BASIC_INHERITANCE</v>
      </c>
      <c r="G32" s="4" t="str">
        <f>"MLEO """&amp;D32&amp;""" is part of LEO """&amp;VLOOKUP(B32,LEOs!A$1:E$12,2)&amp;""""</f>
        <v>MLEO "CALL_SUPER_METHODS" is part of LEO "BASIC_INHERITANCE"</v>
      </c>
      <c r="H32" s="22"/>
    </row>
    <row r="33" spans="1:9" x14ac:dyDescent="0.2">
      <c r="A33" t="s">
        <v>191</v>
      </c>
      <c r="B33" s="7" t="s">
        <v>60</v>
      </c>
      <c r="C33" t="s">
        <v>16</v>
      </c>
      <c r="D33" t="s">
        <v>192</v>
      </c>
      <c r="E33" t="s">
        <v>193</v>
      </c>
      <c r="F33" t="str">
        <f>VLOOKUP(B33,LEOs!A$1:E$12,2)</f>
        <v>INHERITANCE</v>
      </c>
      <c r="G33" s="4" t="str">
        <f>"MLEO """&amp;D33&amp;""" is part of LEO """&amp;VLOOKUP(B33,LEOs!A$1:E$12,2)&amp;""""</f>
        <v>MLEO "SUPERCONSTRUCTOR" is part of LEO "INHERITANCE"</v>
      </c>
      <c r="H33" s="22"/>
    </row>
    <row r="34" spans="1:9" x14ac:dyDescent="0.2">
      <c r="A34" t="s">
        <v>194</v>
      </c>
      <c r="B34" s="7" t="s">
        <v>60</v>
      </c>
      <c r="C34" t="s">
        <v>16</v>
      </c>
      <c r="D34" t="s">
        <v>195</v>
      </c>
      <c r="E34" t="s">
        <v>196</v>
      </c>
      <c r="F34" t="str">
        <f>VLOOKUP(B34,LEOs!A$1:E$12,2)</f>
        <v>INHERITANCE</v>
      </c>
      <c r="G34" s="4" t="str">
        <f>"MLEO """&amp;D35&amp;""" is part of LEO """&amp;VLOOKUP(B35,LEOs!A$1:E$12,2)&amp;""""</f>
        <v>MLEO "ENUMERATIONS" is part of LEO "INHERITANCE"</v>
      </c>
      <c r="H34" s="22"/>
      <c r="I34" t="s">
        <v>100</v>
      </c>
    </row>
    <row r="35" spans="1:9" x14ac:dyDescent="0.2">
      <c r="A35" t="s">
        <v>197</v>
      </c>
      <c r="B35" s="7" t="s">
        <v>60</v>
      </c>
      <c r="C35" t="s">
        <v>16</v>
      </c>
      <c r="D35" t="s">
        <v>198</v>
      </c>
      <c r="E35" t="s">
        <v>199</v>
      </c>
      <c r="F35" t="str">
        <f>VLOOKUP(B35,LEOs!A$1:E$12,2)</f>
        <v>INHERITANCE</v>
      </c>
      <c r="G35" s="4" t="str">
        <f>"MLEO """&amp;D35&amp;""" is part of LEO """&amp;VLOOKUP(B35,LEOs!A$1:E$12,2)&amp;""""</f>
        <v>MLEO "ENUMERATIONS" is part of LEO "INHERITANCE"</v>
      </c>
      <c r="H35" s="22"/>
    </row>
    <row r="36" spans="1:9" x14ac:dyDescent="0.2">
      <c r="A36" t="s">
        <v>200</v>
      </c>
      <c r="B36" s="7" t="s">
        <v>60</v>
      </c>
      <c r="C36" t="s">
        <v>16</v>
      </c>
      <c r="D36" t="s">
        <v>201</v>
      </c>
      <c r="E36" t="s">
        <v>202</v>
      </c>
      <c r="F36" t="str">
        <f>VLOOKUP(B36,LEOs!A$1:E$12,2)</f>
        <v>INHERITANCE</v>
      </c>
      <c r="G36" s="4" t="str">
        <f>"MLEO """&amp;D36&amp;""" is part of LEO """&amp;VLOOKUP(B36,LEOs!A$1:E$12,2)&amp;""""</f>
        <v>MLEO "APPLY_POLYMORPHISM" is part of LEO "INHERITANCE"</v>
      </c>
      <c r="H36" s="22"/>
      <c r="I36" t="s">
        <v>203</v>
      </c>
    </row>
    <row r="37" spans="1:9" x14ac:dyDescent="0.2">
      <c r="A37" s="7" t="s">
        <v>204</v>
      </c>
      <c r="B37" s="7" t="s">
        <v>63</v>
      </c>
      <c r="C37" t="s">
        <v>16</v>
      </c>
      <c r="D37" s="7" t="s">
        <v>205</v>
      </c>
      <c r="E37" s="7" t="s">
        <v>206</v>
      </c>
      <c r="F37" s="7" t="str">
        <f>VLOOKUP(B37,LEOs!A$1:E$12,2)</f>
        <v>ABSTRACT_INTERFACE</v>
      </c>
      <c r="G37" s="4" t="str">
        <f>"MLEO """&amp;D37&amp;""" is part of LEO """&amp;VLOOKUP(B37,LEOs!A$1:E$12,2)&amp;""""</f>
        <v>MLEO "ABSTRACT_CLASS" is part of LEO "ABSTRACT_INTERFACE"</v>
      </c>
      <c r="H37" s="22"/>
    </row>
    <row r="38" spans="1:9" x14ac:dyDescent="0.2">
      <c r="A38" s="7" t="s">
        <v>207</v>
      </c>
      <c r="B38" s="7" t="s">
        <v>63</v>
      </c>
      <c r="C38" t="s">
        <v>16</v>
      </c>
      <c r="D38" s="7" t="s">
        <v>208</v>
      </c>
      <c r="E38" s="7" t="s">
        <v>209</v>
      </c>
      <c r="F38" s="7" t="str">
        <f>VLOOKUP(B38,LEOs!A$1:E$12,2)</f>
        <v>ABSTRACT_INTERFACE</v>
      </c>
      <c r="G38" s="4" t="str">
        <f>"MLEO """&amp;D38&amp;""" is part of LEO """&amp;VLOOKUP(B38,LEOs!A$1:E$12,2)&amp;""""</f>
        <v>MLEO "COMPARABLE" is part of LEO "ABSTRACT_INTERFACE"</v>
      </c>
      <c r="H38" s="22"/>
      <c r="I38" t="s">
        <v>210</v>
      </c>
    </row>
    <row r="39" spans="1:9" x14ac:dyDescent="0.2">
      <c r="A39" s="7" t="s">
        <v>211</v>
      </c>
      <c r="B39" s="7" t="s">
        <v>69</v>
      </c>
      <c r="C39" s="110" t="s">
        <v>16</v>
      </c>
      <c r="D39" s="7" t="s">
        <v>212</v>
      </c>
      <c r="E39" s="7" t="s">
        <v>213</v>
      </c>
      <c r="F39" s="7" t="str">
        <f>VLOOKUP(B39,LEOs!A$1:E$12,2)</f>
        <v>EXCEPTIONS</v>
      </c>
      <c r="G39" s="4" t="str">
        <f>"MLEO """&amp;D39&amp;""" is part of LEO """&amp;VLOOKUP(B39,LEOs!A$1:E$12,2)&amp;""""</f>
        <v>MLEO "GENERIC_LISTS" is part of LEO "EXCEPTIONS"</v>
      </c>
      <c r="H39" s="22"/>
    </row>
    <row r="40" spans="1:9" x14ac:dyDescent="0.2">
      <c r="A40" s="7" t="s">
        <v>214</v>
      </c>
      <c r="B40" s="7" t="s">
        <v>69</v>
      </c>
      <c r="C40" s="110" t="s">
        <v>16</v>
      </c>
      <c r="D40" s="7" t="s">
        <v>215</v>
      </c>
      <c r="E40" s="7" t="s">
        <v>216</v>
      </c>
      <c r="F40" t="str">
        <f>VLOOKUP(B40,LEOs!A$1:E$12,2)</f>
        <v>EXCEPTIONS</v>
      </c>
      <c r="G40" s="4" t="str">
        <f>"MLEO """&amp;D40&amp;""" is part of LEO """&amp;VLOOKUP(B40,LEOs!A$1:E$12,2)&amp;""""</f>
        <v>MLEO "GENERIC_MAPS" is part of LEO "EXCEPTIONS"</v>
      </c>
      <c r="H40" s="22"/>
    </row>
    <row r="41" spans="1:9" x14ac:dyDescent="0.2">
      <c r="A41" s="7" t="s">
        <v>217</v>
      </c>
      <c r="B41" s="7" t="s">
        <v>69</v>
      </c>
      <c r="C41" s="110" t="s">
        <v>16</v>
      </c>
      <c r="D41" t="s">
        <v>218</v>
      </c>
      <c r="E41" t="s">
        <v>219</v>
      </c>
      <c r="F41" t="str">
        <f>VLOOKUP(B41,LEOs!A$1:E$12,2)</f>
        <v>EXCEPTIONS</v>
      </c>
      <c r="G41" s="4" t="str">
        <f>"MLEO """&amp;D41&amp;""" is part of LEO """&amp;VLOOKUP(B41,LEOs!A$1:E$12,2)&amp;""""</f>
        <v>MLEO "ONE_TO_N" is part of LEO "EXCEPTIONS"</v>
      </c>
      <c r="H41" s="22"/>
    </row>
    <row r="42" spans="1:9" x14ac:dyDescent="0.2">
      <c r="A42" s="7" t="s">
        <v>220</v>
      </c>
      <c r="B42" s="7" t="s">
        <v>69</v>
      </c>
      <c r="C42" s="110" t="s">
        <v>16</v>
      </c>
      <c r="D42" t="s">
        <v>221</v>
      </c>
      <c r="E42" t="s">
        <v>222</v>
      </c>
      <c r="F42" t="str">
        <f>VLOOKUP(B42,LEOs!A$1:E$12,2)</f>
        <v>EXCEPTIONS</v>
      </c>
      <c r="G42" s="4" t="str">
        <f>"MLEO """&amp;D42&amp;""" is part of LEO """&amp;VLOOKUP(B42,LEOs!A$1:E$12,2)&amp;""""</f>
        <v>MLEO "N_TO_M" is part of LEO "EXCEPTIONS"</v>
      </c>
      <c r="H42" s="22"/>
    </row>
    <row r="43" spans="1:9" x14ac:dyDescent="0.2">
      <c r="A43" s="7" t="s">
        <v>223</v>
      </c>
      <c r="B43" s="7" t="s">
        <v>69</v>
      </c>
      <c r="C43" s="110" t="s">
        <v>16</v>
      </c>
      <c r="D43" t="s">
        <v>224</v>
      </c>
      <c r="E43" t="s">
        <v>225</v>
      </c>
      <c r="F43" t="str">
        <f>VLOOKUP(B43,LEOs!A$1:E$12,2)</f>
        <v>EXCEPTIONS</v>
      </c>
      <c r="G43" s="4" t="str">
        <f>"MLEO """&amp;D43&amp;""" is part of LEO """&amp;VLOOKUP(B43,LEOs!A$1:E$12,2)&amp;""""</f>
        <v>MLEO "CUSTOM_CONTAINER" is part of LEO "EXCEPTIONS"</v>
      </c>
      <c r="H43" s="22"/>
    </row>
    <row r="44" spans="1:9" x14ac:dyDescent="0.2">
      <c r="A44" t="s">
        <v>226</v>
      </c>
      <c r="B44" t="s">
        <v>75</v>
      </c>
      <c r="C44" s="110" t="s">
        <v>16</v>
      </c>
      <c r="D44" t="s">
        <v>227</v>
      </c>
      <c r="E44" t="s">
        <v>228</v>
      </c>
      <c r="F44" t="str">
        <f>VLOOKUP(B44,LEOs!A$1:E$12,2)</f>
        <v>TESTING</v>
      </c>
      <c r="G44" s="4" t="str">
        <f>"MLEO """&amp;D44&amp;""" is part of LEO """&amp;VLOOKUP(B44,LEOs!A$1:E$12,2)&amp;""""</f>
        <v>MLEO "WRITE_TEXTUAL_DATA" is part of LEO "TESTING"</v>
      </c>
      <c r="H44" s="22"/>
    </row>
    <row r="45" spans="1:9" x14ac:dyDescent="0.2">
      <c r="A45" t="s">
        <v>229</v>
      </c>
      <c r="B45" t="s">
        <v>75</v>
      </c>
      <c r="C45" s="110" t="s">
        <v>16</v>
      </c>
      <c r="D45" t="s">
        <v>230</v>
      </c>
      <c r="E45" t="s">
        <v>231</v>
      </c>
      <c r="F45" t="str">
        <f>VLOOKUP(B45,LEOs!A$1:E$12,2)</f>
        <v>TESTING</v>
      </c>
      <c r="G45" s="4" t="str">
        <f>"MLEO """&amp;D45&amp;""" is part of LEO """&amp;VLOOKUP(B45,LEOs!A$1:E$12,2)&amp;""""</f>
        <v>MLEO "READ_TEXTUAL_DATA" is part of LEO "TESTING"</v>
      </c>
      <c r="H45" s="22"/>
    </row>
    <row r="46" spans="1:9" x14ac:dyDescent="0.2">
      <c r="A46" t="s">
        <v>232</v>
      </c>
      <c r="B46" t="s">
        <v>88</v>
      </c>
      <c r="C46" s="110" t="s">
        <v>16</v>
      </c>
      <c r="D46" t="s">
        <v>233</v>
      </c>
      <c r="E46" s="7" t="s">
        <v>234</v>
      </c>
      <c r="F46" s="7" t="str">
        <f>VLOOKUP(B46,LEOs!A$1:E$12,2)</f>
        <v>TESTING</v>
      </c>
      <c r="G46" s="4" t="str">
        <f>"MLEO """&amp;D46&amp;""" is part of LEO """&amp;VLOOKUP(B46,LEOs!A$1:E$12,2)&amp;""""</f>
        <v>MLEO "UNIT_TEST_METHOD" is part of LEO "TESTING"</v>
      </c>
      <c r="H46" s="22"/>
    </row>
    <row r="47" spans="1:9" x14ac:dyDescent="0.2">
      <c r="A47" t="s">
        <v>235</v>
      </c>
      <c r="B47" t="s">
        <v>88</v>
      </c>
      <c r="C47" s="110" t="s">
        <v>16</v>
      </c>
      <c r="D47" t="s">
        <v>236</v>
      </c>
      <c r="E47" s="7" t="s">
        <v>237</v>
      </c>
      <c r="F47" t="str">
        <f>VLOOKUP(B47,LEOs!A$1:E$12,2)</f>
        <v>TESTING</v>
      </c>
      <c r="G47" s="4" t="str">
        <f>"MLEO """&amp;D47&amp;""" is part of LEO """&amp;VLOOKUP(B47,LEOs!A$1:E$12,2)&amp;""""</f>
        <v>MLEO "UNIT_TEST" is part of LEO "TESTING"</v>
      </c>
      <c r="H47" s="22"/>
    </row>
    <row r="48" spans="1:9" x14ac:dyDescent="0.2">
      <c r="A48" t="s">
        <v>238</v>
      </c>
      <c r="B48" t="s">
        <v>77</v>
      </c>
      <c r="C48" t="s">
        <v>16</v>
      </c>
      <c r="D48" t="s">
        <v>239</v>
      </c>
      <c r="E48" s="7" t="s">
        <v>240</v>
      </c>
      <c r="F48" s="7" t="str">
        <f>VLOOKUP(B48,LEOs!A$1:E$12,2)</f>
        <v>CLASS_DIAGRAM</v>
      </c>
      <c r="G48" s="4" t="str">
        <f>"MLEO """&amp;D48&amp;""" is part of LEO """&amp;VLOOKUP(B48,LEOs!A$1:E$12,2)&amp;""""</f>
        <v>MLEO "IDENTIFY_CLASSES" is part of LEO "CLASS_DIAGRAM"</v>
      </c>
      <c r="H48" s="22"/>
    </row>
    <row r="49" spans="1:8" x14ac:dyDescent="0.2">
      <c r="A49" t="s">
        <v>241</v>
      </c>
      <c r="B49" t="s">
        <v>77</v>
      </c>
      <c r="C49" t="s">
        <v>16</v>
      </c>
      <c r="D49" t="s">
        <v>242</v>
      </c>
      <c r="E49" t="s">
        <v>243</v>
      </c>
      <c r="F49" t="str">
        <f>VLOOKUP(B49,LEOs!A$1:E$12,2)</f>
        <v>CLASS_DIAGRAM</v>
      </c>
      <c r="G49" s="4" t="str">
        <f>"MLEO """&amp;D49&amp;""" is part of LEO """&amp;VLOOKUP(B49,LEOs!A$1:E$12,2)&amp;""""</f>
        <v>MLEO "IDENTIFY_MEMBERS" is part of LEO "CLASS_DIAGRAM"</v>
      </c>
      <c r="H49" s="22"/>
    </row>
    <row r="50" spans="1:8" x14ac:dyDescent="0.2">
      <c r="A50" t="s">
        <v>244</v>
      </c>
      <c r="B50" t="s">
        <v>77</v>
      </c>
      <c r="C50" t="s">
        <v>16</v>
      </c>
      <c r="D50" t="s">
        <v>245</v>
      </c>
      <c r="E50" s="7" t="s">
        <v>246</v>
      </c>
      <c r="F50" t="str">
        <f>VLOOKUP(B50,LEOs!A$1:E$12,2)</f>
        <v>CLASS_DIAGRAM</v>
      </c>
      <c r="G50" s="4" t="str">
        <f>"MLEO """&amp;D50&amp;""" is part of LEO """&amp;VLOOKUP(B50,LEOs!A$1:E$12,2)&amp;""""</f>
        <v>MLEO "IDENTIFY_GENERALIZATION" is part of LEO "CLASS_DIAGRAM"</v>
      </c>
      <c r="H50" s="22"/>
    </row>
    <row r="51" spans="1:8" x14ac:dyDescent="0.2">
      <c r="A51" t="s">
        <v>247</v>
      </c>
      <c r="B51" t="s">
        <v>77</v>
      </c>
      <c r="C51" t="s">
        <v>16</v>
      </c>
      <c r="D51" t="s">
        <v>248</v>
      </c>
      <c r="E51" t="s">
        <v>249</v>
      </c>
      <c r="F51" t="str">
        <f>VLOOKUP(B51,LEOs!A$1:E$12,2)</f>
        <v>CLASS_DIAGRAM</v>
      </c>
      <c r="G51" s="4" t="str">
        <f>"MLEO """&amp;D51&amp;""" is part of LEO """&amp;VLOOKUP(B51,LEOs!A$1:E$12,2)&amp;""""</f>
        <v>MLEO "IDENTIFY_ASSOCIATIONS" is part of LEO "CLASS_DIAGRAM"</v>
      </c>
      <c r="H51" s="22"/>
    </row>
    <row r="52" spans="1:8" x14ac:dyDescent="0.2">
      <c r="A52" t="s">
        <v>250</v>
      </c>
      <c r="B52" t="s">
        <v>77</v>
      </c>
      <c r="C52" t="s">
        <v>16</v>
      </c>
      <c r="D52" t="s">
        <v>251</v>
      </c>
      <c r="E52" t="s">
        <v>252</v>
      </c>
      <c r="F52" t="str">
        <f>VLOOKUP(B52,LEOs!A$1:E$12,2)</f>
        <v>CLASS_DIAGRAM</v>
      </c>
      <c r="G52" s="4" t="str">
        <f>"MLEO """&amp;D52&amp;""" is part of LEO """&amp;VLOOKUP(B52,LEOs!A$1:E$12,2)&amp;""""</f>
        <v>MLEO "IDENTIFY_AGGREGATIONS" is part of LEO "CLASS_DIAGRAM"</v>
      </c>
      <c r="H52" s="22"/>
    </row>
    <row r="53" spans="1:8" x14ac:dyDescent="0.2">
      <c r="A53" t="s">
        <v>253</v>
      </c>
      <c r="B53" t="s">
        <v>80</v>
      </c>
      <c r="C53" t="s">
        <v>16</v>
      </c>
      <c r="D53" t="s">
        <v>254</v>
      </c>
      <c r="E53" t="s">
        <v>255</v>
      </c>
      <c r="F53" t="str">
        <f>VLOOKUP(B53,LEOs!A$1:E$12,2)</f>
        <v>SEQUENCE_DIAGRAM</v>
      </c>
      <c r="G53" s="4" t="str">
        <f>"MLEO """&amp;D53&amp;""" is part of LEO """&amp;VLOOKUP(B53,LEOs!A$1:E$12,2)&amp;""""</f>
        <v>MLEO "IDENTIFY_ACTORS" is part of LEO "SEQUENCE_DIAGRAM"</v>
      </c>
      <c r="H53" s="22"/>
    </row>
    <row r="54" spans="1:8" x14ac:dyDescent="0.2">
      <c r="A54" t="s">
        <v>256</v>
      </c>
      <c r="B54" t="s">
        <v>80</v>
      </c>
      <c r="C54" t="s">
        <v>16</v>
      </c>
      <c r="D54" t="s">
        <v>257</v>
      </c>
      <c r="E54" t="s">
        <v>258</v>
      </c>
      <c r="F54" t="str">
        <f>VLOOKUP(B54,LEOs!A$1:E$12,2)</f>
        <v>SEQUENCE_DIAGRAM</v>
      </c>
      <c r="G54" s="4" t="str">
        <f>"MLEO """&amp;D54&amp;""" is part of LEO """&amp;VLOOKUP(B54,LEOs!A$1:E$12,2)&amp;""""</f>
        <v>MLEO "IDENTIFY_MESSAGES" is part of LEO "SEQUENCE_DIAGRAM"</v>
      </c>
      <c r="H54" s="22"/>
    </row>
    <row r="55" spans="1:8" x14ac:dyDescent="0.2">
      <c r="A55" t="s">
        <v>259</v>
      </c>
      <c r="B55" t="s">
        <v>80</v>
      </c>
      <c r="C55" t="s">
        <v>16</v>
      </c>
      <c r="D55" t="s">
        <v>260</v>
      </c>
      <c r="E55" t="s">
        <v>261</v>
      </c>
      <c r="F55" t="str">
        <f>VLOOKUP(B55,LEOs!A$1:E$12,2)</f>
        <v>SEQUENCE_DIAGRAM</v>
      </c>
      <c r="G55" s="4" t="str">
        <f>"MLEO """&amp;D55&amp;""" is part of LEO """&amp;VLOOKUP(B55,LEOs!A$1:E$12,2)&amp;""""</f>
        <v>MLEO "IDENTIFY_ACTIVATIONS" is part of LEO "SEQUENCE_DIAGRAM"</v>
      </c>
      <c r="H55" s="22"/>
    </row>
    <row r="56" spans="1:8" x14ac:dyDescent="0.2">
      <c r="A56" t="s">
        <v>262</v>
      </c>
      <c r="B56" t="s">
        <v>80</v>
      </c>
      <c r="C56" t="s">
        <v>16</v>
      </c>
      <c r="D56" t="s">
        <v>263</v>
      </c>
      <c r="E56" t="s">
        <v>264</v>
      </c>
      <c r="F56" s="7" t="str">
        <f>VLOOKUP(B56,LEOs!A$1:E$12,2)</f>
        <v>SEQUENCE_DIAGRAM</v>
      </c>
      <c r="G56" s="4" t="str">
        <f>"MLEO """&amp;D56&amp;""" is part of LEO """&amp;VLOOKUP(B56,LEOs!A$1:E$12,2)&amp;""""</f>
        <v>MLEO "IDENTIFY_FRAGMENTS" is part of LEO "SEQUENCE_DIAGRAM"</v>
      </c>
      <c r="H56" s="22"/>
    </row>
    <row r="57" spans="1:8" x14ac:dyDescent="0.2">
      <c r="F57" t="e">
        <f>VLOOKUP(B57,LEOs!A$1:E$12,2)</f>
        <v>#N/A</v>
      </c>
      <c r="G57" s="4" t="e">
        <f>"MLEO """&amp;D57&amp;""" is part of LEO """&amp;VLOOKUP(B57,LEOs!A$1:E$12,2)&amp;""""</f>
        <v>#N/A</v>
      </c>
      <c r="H57" s="22"/>
    </row>
    <row r="58" spans="1:8" x14ac:dyDescent="0.2">
      <c r="E58" s="7"/>
      <c r="F58" t="e">
        <f>VLOOKUP(B58,LEOs!A$1:E$12,2)</f>
        <v>#N/A</v>
      </c>
      <c r="G58" s="4" t="e">
        <f>"MLEO """&amp;D58&amp;""" is part of LEO """&amp;VLOOKUP(B58,LEOs!A$1:E$12,2)&amp;""""</f>
        <v>#N/A</v>
      </c>
      <c r="H58" s="22"/>
    </row>
    <row r="59" spans="1:8" x14ac:dyDescent="0.2">
      <c r="A59" s="7"/>
      <c r="B59" s="7"/>
      <c r="C59" s="110"/>
      <c r="D59" s="7"/>
      <c r="E59" s="7"/>
      <c r="F59" s="7" t="e">
        <f>VLOOKUP(B59,LEOs!A$1:E$12,2)</f>
        <v>#N/A</v>
      </c>
      <c r="G59" s="4" t="e">
        <f>"MLEO """&amp;D59&amp;""" is part of LEO """&amp;VLOOKUP(B59,LEOs!A$1:E$12,2)&amp;""""</f>
        <v>#N/A</v>
      </c>
      <c r="H59" s="22"/>
    </row>
    <row r="60" spans="1:8" x14ac:dyDescent="0.2">
      <c r="A60" s="7"/>
      <c r="B60" s="7"/>
      <c r="C60" s="110"/>
      <c r="D60" s="7"/>
      <c r="E60" s="7"/>
      <c r="F60" s="7" t="e">
        <f>VLOOKUP(B60,LEOs!A$1:E$12,2)</f>
        <v>#N/A</v>
      </c>
      <c r="G60" s="4" t="e">
        <f>"MLEO """&amp;D60&amp;""" is part of LEO """&amp;VLOOKUP(B60,LEOs!A$1:E$12,2)&amp;""""</f>
        <v>#N/A</v>
      </c>
      <c r="H60" s="22"/>
    </row>
    <row r="61" spans="1:8" x14ac:dyDescent="0.2">
      <c r="A61" s="7"/>
      <c r="B61" s="7"/>
      <c r="C61" s="110"/>
      <c r="D61" s="7"/>
      <c r="E61" s="7"/>
      <c r="F61" s="7" t="e">
        <f>VLOOKUP(B61,LEOs!A$1:E$12,2)</f>
        <v>#N/A</v>
      </c>
      <c r="G61" s="4" t="e">
        <f>"MLEO """&amp;D61&amp;""" is part of LEO """&amp;VLOOKUP(B61,LEOs!A$1:E$12,2)&amp;""""</f>
        <v>#N/A</v>
      </c>
      <c r="H61" s="22"/>
    </row>
    <row r="62" spans="1:8" x14ac:dyDescent="0.2">
      <c r="A62" s="7"/>
      <c r="B62" s="7"/>
      <c r="C62" s="110"/>
      <c r="D62" s="7"/>
      <c r="E62" s="7"/>
      <c r="F62" s="7" t="e">
        <f>VLOOKUP(B62,LEOs!A$1:E$12,2)</f>
        <v>#N/A</v>
      </c>
      <c r="G62" s="4" t="e">
        <f>"MLEO """&amp;D62&amp;""" is part of LEO """&amp;VLOOKUP(B62,LEOs!A$1:E$12,2)&amp;""""</f>
        <v>#N/A</v>
      </c>
      <c r="H62" s="22"/>
    </row>
    <row r="63" spans="1:8" x14ac:dyDescent="0.2">
      <c r="A63" s="7"/>
      <c r="B63" s="7"/>
      <c r="C63" s="110"/>
      <c r="D63" s="7"/>
      <c r="E63" s="7"/>
      <c r="F63" s="7" t="e">
        <f>VLOOKUP(B63,LEOs!A$1:E$12,2)</f>
        <v>#N/A</v>
      </c>
      <c r="G63" s="4" t="e">
        <f>"MLEO """&amp;D63&amp;""" is part of LEO """&amp;VLOOKUP(B63,LEOs!A$1:E$12,2)&amp;""""</f>
        <v>#N/A</v>
      </c>
      <c r="H63" s="22"/>
    </row>
    <row r="64" spans="1:8" x14ac:dyDescent="0.2">
      <c r="A64" s="7"/>
      <c r="F64" t="e">
        <f>VLOOKUP(B64,LEOs!A$1:E$12,2)</f>
        <v>#N/A</v>
      </c>
      <c r="G64" s="4" t="e">
        <f>"MLEO """&amp;D64&amp;""" is part of LEO """&amp;VLOOKUP(B64,LEOs!A$1:E$12,2)&amp;""""</f>
        <v>#N/A</v>
      </c>
      <c r="H64" s="22"/>
    </row>
    <row r="65" spans="1:8" x14ac:dyDescent="0.2">
      <c r="A65" s="7"/>
      <c r="F65" t="e">
        <f>VLOOKUP(B65,LEOs!A$1:E$12,2)</f>
        <v>#N/A</v>
      </c>
      <c r="G65" s="4" t="e">
        <f>"MLEO """&amp;D65&amp;""" is part of LEO """&amp;VLOOKUP(B65,LEOs!A$1:E$12,2)&amp;""""</f>
        <v>#N/A</v>
      </c>
      <c r="H65" s="22"/>
    </row>
    <row r="66" spans="1:8" x14ac:dyDescent="0.2">
      <c r="A66" s="7"/>
      <c r="E66" s="7"/>
      <c r="F66" t="e">
        <f>VLOOKUP(B66,LEOs!A$1:E$12,2)</f>
        <v>#N/A</v>
      </c>
      <c r="G66" s="4" t="e">
        <f>"MLEO """&amp;D66&amp;""" is part of LEO """&amp;VLOOKUP(B66,LEOs!A$1:E$12,2)&amp;""""</f>
        <v>#N/A</v>
      </c>
      <c r="H66" s="22"/>
    </row>
    <row r="67" spans="1:8" x14ac:dyDescent="0.2">
      <c r="A67" s="7"/>
      <c r="B67" s="7"/>
      <c r="C67" s="110"/>
      <c r="D67" s="7"/>
      <c r="E67" s="7"/>
      <c r="F67" s="7" t="e">
        <f>VLOOKUP(B67,LEOs!A$1:E$12,2)</f>
        <v>#N/A</v>
      </c>
      <c r="G67" s="4" t="e">
        <f>"MLEO """&amp;D67&amp;""" is part of LEO """&amp;VLOOKUP(B67,LEOs!A$1:E$12,2)&amp;""""</f>
        <v>#N/A</v>
      </c>
      <c r="H67" s="22"/>
    </row>
    <row r="68" spans="1:8" x14ac:dyDescent="0.2">
      <c r="A68" s="7"/>
      <c r="B68" s="7"/>
      <c r="C68" s="110"/>
      <c r="D68" s="7"/>
      <c r="E68" s="7"/>
      <c r="F68" s="7" t="e">
        <f>VLOOKUP(B68,LEOs!A$1:E$12,2)</f>
        <v>#N/A</v>
      </c>
      <c r="G68" s="4" t="e">
        <f>"MLEO """&amp;D68&amp;""" is part of LEO """&amp;VLOOKUP(B68,LEOs!A$1:E$12,2)&amp;""""</f>
        <v>#N/A</v>
      </c>
      <c r="H68" s="22"/>
    </row>
    <row r="69" spans="1:8" x14ac:dyDescent="0.2">
      <c r="A69" s="7"/>
      <c r="B69" s="7"/>
      <c r="C69" s="110"/>
      <c r="D69" s="7"/>
      <c r="E69" s="7"/>
      <c r="F69" s="7" t="e">
        <f>VLOOKUP(B69,LEOs!A$1:E$12,2)</f>
        <v>#N/A</v>
      </c>
      <c r="G69" s="4" t="e">
        <f>"MLEO """&amp;D69&amp;""" is part of LEO """&amp;VLOOKUP(B69,LEOs!A$1:E$12,2)&amp;""""</f>
        <v>#N/A</v>
      </c>
      <c r="H69" s="22"/>
    </row>
    <row r="70" spans="1:8" x14ac:dyDescent="0.2">
      <c r="F70" t="e">
        <f>VLOOKUP(B70,LEOs!A$1:E$12,2)</f>
        <v>#N/A</v>
      </c>
      <c r="G70" s="4" t="e">
        <f>"MLEO """&amp;D70&amp;""" is part of LEO """&amp;VLOOKUP(B70,LEOs!A$1:E$12,2)&amp;""""</f>
        <v>#N/A</v>
      </c>
      <c r="H70" s="22"/>
    </row>
    <row r="71" spans="1:8" x14ac:dyDescent="0.2">
      <c r="F71" t="e">
        <f>VLOOKUP(B71,LEOs!A$1:E$12,2)</f>
        <v>#N/A</v>
      </c>
      <c r="G71" s="4" t="e">
        <f>"MLEO """&amp;D71&amp;""" is part of LEO """&amp;VLOOKUP(B71,LEOs!A$1:E$12,2)&amp;""""</f>
        <v>#N/A</v>
      </c>
      <c r="H71" s="22"/>
    </row>
    <row r="72" spans="1:8" x14ac:dyDescent="0.2">
      <c r="F72" t="e">
        <f>VLOOKUP(B72,LEOs!A$1:E$12,2)</f>
        <v>#N/A</v>
      </c>
      <c r="G72" s="4" t="e">
        <f>"MLEO """&amp;D72&amp;""" is part of LEO """&amp;VLOOKUP(B72,LEOs!A$1:E$12,2)&amp;""""</f>
        <v>#N/A</v>
      </c>
      <c r="H72" s="22"/>
    </row>
    <row r="73" spans="1:8" x14ac:dyDescent="0.2">
      <c r="E73" s="7"/>
      <c r="F73" t="e">
        <f>VLOOKUP(B73,LEOs!A$1:E$12,2)</f>
        <v>#N/A</v>
      </c>
      <c r="G73" s="4" t="e">
        <f>"MLEO """&amp;D73&amp;""" is part of LEO """&amp;VLOOKUP(B73,LEOs!A$1:E$12,2)&amp;""""</f>
        <v>#N/A</v>
      </c>
      <c r="H73" s="22"/>
    </row>
    <row r="74" spans="1:8" x14ac:dyDescent="0.2">
      <c r="F74" t="e">
        <f>VLOOKUP(B74,LEOs!A$1:E$12,2)</f>
        <v>#N/A</v>
      </c>
      <c r="G74" s="4" t="e">
        <f>"MLEO """&amp;D74&amp;""" is part of LEO """&amp;VLOOKUP(B74,LEOs!A$1:E$12,2)&amp;""""</f>
        <v>#N/A</v>
      </c>
      <c r="H74" s="22"/>
    </row>
    <row r="75" spans="1:8" x14ac:dyDescent="0.2">
      <c r="F75" t="e">
        <f>VLOOKUP(B75,LEOs!A$1:E$12,2)</f>
        <v>#N/A</v>
      </c>
      <c r="G75" s="4" t="e">
        <f>"MLEO """&amp;D75&amp;""" is part of LEO """&amp;VLOOKUP(B75,LEOs!A$1:E$12,2)&amp;""""</f>
        <v>#N/A</v>
      </c>
      <c r="H75" s="22"/>
    </row>
    <row r="76" spans="1:8" x14ac:dyDescent="0.2">
      <c r="E76" s="25"/>
      <c r="F76" t="e">
        <f>VLOOKUP(B76,LEOs!A$1:E$12,2)</f>
        <v>#N/A</v>
      </c>
      <c r="G76" s="4" t="e">
        <f>"MLEO """&amp;D76&amp;""" is part of LEO """&amp;VLOOKUP(B76,LEOs!A$1:E$12,2)&amp;""""</f>
        <v>#N/A</v>
      </c>
      <c r="H76" s="22"/>
    </row>
    <row r="77" spans="1:8" x14ac:dyDescent="0.2">
      <c r="E77" s="7"/>
      <c r="F77" t="e">
        <f>VLOOKUP(B77,LEOs!A$1:E$12,2)</f>
        <v>#N/A</v>
      </c>
      <c r="G77" s="4" t="e">
        <f>"MLEO """&amp;D77&amp;""" is part of LEO """&amp;VLOOKUP(B77,LEOs!A$1:E$12,2)&amp;""""</f>
        <v>#N/A</v>
      </c>
      <c r="H77" s="22"/>
    </row>
    <row r="78" spans="1:8" x14ac:dyDescent="0.2">
      <c r="F78" t="e">
        <f>VLOOKUP(B78,LEOs!A$1:E$12,2)</f>
        <v>#N/A</v>
      </c>
      <c r="G78" s="4" t="e">
        <f>"MLEO """&amp;D78&amp;""" is part of LEO """&amp;VLOOKUP(B78,LEOs!A$1:E$12,2)&amp;""""</f>
        <v>#N/A</v>
      </c>
      <c r="H78" s="22"/>
    </row>
    <row r="79" spans="1:8" x14ac:dyDescent="0.2">
      <c r="F79" t="e">
        <f>VLOOKUP(B79,LEOs!A$1:E$12,2)</f>
        <v>#N/A</v>
      </c>
      <c r="G79" s="4" t="e">
        <f>"MLEO """&amp;D79&amp;""" is part of LEO """&amp;VLOOKUP(B79,LEOs!A$1:E$12,2)&amp;""""</f>
        <v>#N/A</v>
      </c>
      <c r="H79" s="22"/>
    </row>
    <row r="80" spans="1:8" x14ac:dyDescent="0.2">
      <c r="F80" t="e">
        <f>VLOOKUP(B80,LEOs!A$1:E$12,2)</f>
        <v>#N/A</v>
      </c>
      <c r="G80" s="4" t="e">
        <f>"MLEO """&amp;D80&amp;""" is part of LEO """&amp;VLOOKUP(B80,LEOs!A$1:E$12,2)&amp;""""</f>
        <v>#N/A</v>
      </c>
      <c r="H80" s="22"/>
    </row>
    <row r="81" spans="5:8" x14ac:dyDescent="0.2">
      <c r="F81" t="e">
        <f>VLOOKUP(B81,LEOs!A$1:E$12,2)</f>
        <v>#N/A</v>
      </c>
      <c r="G81" s="4" t="e">
        <f>"MLEO """&amp;D81&amp;""" is part of LEO """&amp;VLOOKUP(B81,LEOs!A$1:E$12,2)&amp;""""</f>
        <v>#N/A</v>
      </c>
      <c r="H81" s="22"/>
    </row>
    <row r="82" spans="5:8" x14ac:dyDescent="0.2">
      <c r="F82" t="e">
        <f>VLOOKUP(B82,LEOs!A$1:E$12,2)</f>
        <v>#N/A</v>
      </c>
      <c r="G82" s="4" t="e">
        <f>"MLEO """&amp;D82&amp;""" is part of LEO """&amp;VLOOKUP(B82,LEOs!A$1:E$12,2)&amp;""""</f>
        <v>#N/A</v>
      </c>
      <c r="H82" s="22"/>
    </row>
    <row r="83" spans="5:8" x14ac:dyDescent="0.2">
      <c r="E83" s="18"/>
      <c r="F83" t="e">
        <f>VLOOKUP(B83,LEOs!A$1:E$12,2)</f>
        <v>#N/A</v>
      </c>
      <c r="G83" s="4" t="e">
        <f>"MLEO """&amp;D83&amp;""" is part of LEO """&amp;VLOOKUP(B83,LEOs!A$1:E$12,2)&amp;""""</f>
        <v>#N/A</v>
      </c>
      <c r="H83" s="22"/>
    </row>
    <row r="84" spans="5:8" x14ac:dyDescent="0.2">
      <c r="E84" s="7"/>
      <c r="F84" t="e">
        <f>VLOOKUP(B84,LEOs!A$1:E$12,2)</f>
        <v>#N/A</v>
      </c>
      <c r="G84" s="4" t="e">
        <f>"MLEO """&amp;D84&amp;""" is part of LEO """&amp;VLOOKUP(B84,LEOs!A$1:E$12,2)&amp;""""</f>
        <v>#N/A</v>
      </c>
      <c r="H84" s="22"/>
    </row>
    <row r="85" spans="5:8" x14ac:dyDescent="0.2">
      <c r="F85" t="e">
        <f>VLOOKUP(B85,LEOs!A$1:E$12,2)</f>
        <v>#N/A</v>
      </c>
      <c r="G85" s="4" t="e">
        <f>"MLEO """&amp;D85&amp;""" is part of LEO """&amp;VLOOKUP(B85,LEOs!A$1:E$12,2)&amp;""""</f>
        <v>#N/A</v>
      </c>
      <c r="H85" s="22"/>
    </row>
    <row r="86" spans="5:8" x14ac:dyDescent="0.2">
      <c r="F86" t="e">
        <f>VLOOKUP(B86,LEOs!A$1:E$12,2)</f>
        <v>#N/A</v>
      </c>
      <c r="G86" s="4" t="e">
        <f>"MLEO """&amp;D86&amp;""" is part of LEO """&amp;VLOOKUP(B86,LEOs!A$1:E$12,2)&amp;""""</f>
        <v>#N/A</v>
      </c>
      <c r="H86" s="22"/>
    </row>
    <row r="87" spans="5:8" x14ac:dyDescent="0.2">
      <c r="E87" s="7"/>
      <c r="F87" t="e">
        <f>VLOOKUP(B87,LEOs!A$1:E$12,2)</f>
        <v>#N/A</v>
      </c>
      <c r="G87" s="4" t="e">
        <f>"MLEO """&amp;D87&amp;""" is part of LEO """&amp;VLOOKUP(B87,LEOs!A$1:E$12,2)&amp;""""</f>
        <v>#N/A</v>
      </c>
      <c r="H87" s="22"/>
    </row>
    <row r="88" spans="5:8" x14ac:dyDescent="0.2">
      <c r="F88" t="e">
        <f>VLOOKUP(B88,LEOs!A$1:E$12,2)</f>
        <v>#N/A</v>
      </c>
      <c r="G88" s="4" t="e">
        <f>"MLEO """&amp;D88&amp;""" is part of LEO """&amp;VLOOKUP(B88,LEOs!A$1:E$12,2)&amp;""""</f>
        <v>#N/A</v>
      </c>
      <c r="H88" s="22"/>
    </row>
    <row r="89" spans="5:8" x14ac:dyDescent="0.2">
      <c r="F89" t="e">
        <f>VLOOKUP(B89,LEOs!A$1:E$12,2)</f>
        <v>#N/A</v>
      </c>
      <c r="G89" s="4" t="e">
        <f>"MLEO """&amp;D89&amp;""" is part of LEO """&amp;VLOOKUP(B89,LEOs!A$1:E$12,2)&amp;""""</f>
        <v>#N/A</v>
      </c>
      <c r="H89" s="22"/>
    </row>
    <row r="90" spans="5:8" x14ac:dyDescent="0.2">
      <c r="F90" t="e">
        <f>VLOOKUP(B90,LEOs!A$1:E$12,2)</f>
        <v>#N/A</v>
      </c>
      <c r="G90" s="4" t="e">
        <f>"MLEO """&amp;D90&amp;""" is part of LEO """&amp;VLOOKUP(B90,LEOs!A$1:E$12,2)&amp;""""</f>
        <v>#N/A</v>
      </c>
      <c r="H90" s="22"/>
    </row>
    <row r="91" spans="5:8" x14ac:dyDescent="0.2">
      <c r="F91" t="e">
        <f>VLOOKUP(B91,LEOs!A$1:E$12,2)</f>
        <v>#N/A</v>
      </c>
      <c r="G91" s="4" t="e">
        <f>"MLEO """&amp;D91&amp;""" is part of LEO """&amp;VLOOKUP(B91,LEOs!A$1:E$12,2)&amp;""""</f>
        <v>#N/A</v>
      </c>
      <c r="H91" s="22"/>
    </row>
    <row r="92" spans="5:8" x14ac:dyDescent="0.2">
      <c r="F92" t="e">
        <f>VLOOKUP(B92,LEOs!A$1:E$12,2)</f>
        <v>#N/A</v>
      </c>
      <c r="G92" s="4" t="e">
        <f>"MLEO """&amp;D92&amp;""" is part of LEO """&amp;VLOOKUP(B92,LEOs!A$1:E$12,2)&amp;""""</f>
        <v>#N/A</v>
      </c>
      <c r="H92" s="22"/>
    </row>
    <row r="93" spans="5:8" x14ac:dyDescent="0.2">
      <c r="F93" t="e">
        <f>VLOOKUP(B93,LEOs!A$1:E$12,2)</f>
        <v>#N/A</v>
      </c>
      <c r="G93" s="4" t="e">
        <f>"MLEO """&amp;D93&amp;""" is part of LEO """&amp;VLOOKUP(B93,LEOs!A$1:E$12,2)&amp;""""</f>
        <v>#N/A</v>
      </c>
      <c r="H93" s="22"/>
    </row>
    <row r="94" spans="5:8" x14ac:dyDescent="0.2">
      <c r="F94" t="e">
        <f>VLOOKUP(B94,LEOs!A$1:E$12,2)</f>
        <v>#N/A</v>
      </c>
      <c r="G94" s="4" t="e">
        <f>"MLEO """&amp;D94&amp;""" is part of LEO """&amp;VLOOKUP(B94,LEOs!A$1:E$12,2)&amp;""""</f>
        <v>#N/A</v>
      </c>
      <c r="H94" s="22"/>
    </row>
    <row r="95" spans="5:8" x14ac:dyDescent="0.2">
      <c r="F95" t="e">
        <f>VLOOKUP(B95,LEOs!A$1:E$12,2)</f>
        <v>#N/A</v>
      </c>
      <c r="G95" s="4" t="e">
        <f>"MLEO """&amp;D95&amp;""" is part of LEO """&amp;VLOOKUP(B95,LEOs!A$1:E$12,2)&amp;""""</f>
        <v>#N/A</v>
      </c>
      <c r="H95" s="22"/>
    </row>
    <row r="96" spans="5:8" x14ac:dyDescent="0.2">
      <c r="F96" t="e">
        <f>VLOOKUP(B96,LEOs!A$1:E$12,2)</f>
        <v>#N/A</v>
      </c>
      <c r="G96" s="4" t="e">
        <f>"MLEO """&amp;D96&amp;""" is part of LEO """&amp;VLOOKUP(B96,LEOs!A$1:E$12,2)&amp;""""</f>
        <v>#N/A</v>
      </c>
      <c r="H96" s="22"/>
    </row>
    <row r="97" spans="1:8" x14ac:dyDescent="0.2">
      <c r="F97" t="e">
        <f>VLOOKUP(B97,LEOs!A$1:E$12,2)</f>
        <v>#N/A</v>
      </c>
      <c r="G97" s="4" t="e">
        <f>"MLEO """&amp;D97&amp;""" is part of LEO """&amp;VLOOKUP(B97,LEOs!A$1:E$12,2)&amp;""""</f>
        <v>#N/A</v>
      </c>
      <c r="H97" s="22"/>
    </row>
    <row r="98" spans="1:8" x14ac:dyDescent="0.2">
      <c r="F98" t="e">
        <f>VLOOKUP(B98,LEOs!A$1:E$12,2)</f>
        <v>#N/A</v>
      </c>
      <c r="G98" s="4" t="e">
        <f>"MLEO """&amp;D98&amp;""" is part of LEO """&amp;VLOOKUP(B98,LEOs!A$1:E$12,2)&amp;""""</f>
        <v>#N/A</v>
      </c>
      <c r="H98" s="22"/>
    </row>
    <row r="99" spans="1:8" x14ac:dyDescent="0.2">
      <c r="E99" s="7"/>
      <c r="F99" t="e">
        <f>VLOOKUP(B99,LEOs!A$1:E$12,2)</f>
        <v>#N/A</v>
      </c>
      <c r="G99" s="4" t="e">
        <f>"MLEO """&amp;D99&amp;""" is part of LEO """&amp;VLOOKUP(B99,LEOs!A$1:E$12,2)&amp;""""</f>
        <v>#N/A</v>
      </c>
      <c r="H99" s="22"/>
    </row>
    <row r="100" spans="1:8" x14ac:dyDescent="0.2">
      <c r="A100" s="7"/>
      <c r="B100" s="7"/>
      <c r="C100" s="110"/>
      <c r="D100" s="7"/>
      <c r="E100" s="7"/>
      <c r="F100" s="7" t="e">
        <f>VLOOKUP(B100,LEOs!A$1:E$12,2)</f>
        <v>#N/A</v>
      </c>
      <c r="G100" s="4" t="e">
        <f>"MLEO """&amp;D100&amp;""" is part of LEO """&amp;VLOOKUP(B100,LEOs!A$1:E$12,2)&amp;""""</f>
        <v>#N/A</v>
      </c>
      <c r="H100" s="22"/>
    </row>
    <row r="101" spans="1:8" x14ac:dyDescent="0.2">
      <c r="A101" s="7"/>
      <c r="B101" s="7"/>
      <c r="C101" s="110"/>
      <c r="D101" s="7"/>
      <c r="E101" s="7"/>
      <c r="F101" s="7" t="e">
        <f>VLOOKUP(B101,LEOs!A$1:E$12,2)</f>
        <v>#N/A</v>
      </c>
      <c r="G101" s="4" t="e">
        <f>"MLEO """&amp;D101&amp;""" is part of LEO """&amp;VLOOKUP(B101,LEOs!A$1:E$12,2)&amp;""""</f>
        <v>#N/A</v>
      </c>
      <c r="H101" s="22"/>
    </row>
    <row r="102" spans="1:8" x14ac:dyDescent="0.2">
      <c r="A102" s="7"/>
      <c r="B102" s="7"/>
      <c r="C102" s="110"/>
      <c r="D102" s="7"/>
      <c r="E102" s="7"/>
      <c r="F102" s="7" t="e">
        <f>VLOOKUP(B102,LEOs!A$1:E$12,2)</f>
        <v>#N/A</v>
      </c>
      <c r="G102" s="4" t="e">
        <f>"MLEO """&amp;D102&amp;""" is part of LEO """&amp;VLOOKUP(B102,LEOs!A$1:E$12,2)&amp;""""</f>
        <v>#N/A</v>
      </c>
      <c r="H102" s="22"/>
    </row>
    <row r="103" spans="1:8" x14ac:dyDescent="0.2">
      <c r="A103" s="7"/>
      <c r="B103" s="7"/>
      <c r="C103" s="110"/>
      <c r="D103" s="7"/>
      <c r="E103" s="7"/>
      <c r="F103" s="7" t="e">
        <f>VLOOKUP(B103,LEOs!A$1:E$12,2)</f>
        <v>#N/A</v>
      </c>
      <c r="G103" s="4" t="e">
        <f>"MLEO """&amp;D103&amp;""" is part of LEO """&amp;VLOOKUP(B103,LEOs!A$1:E$12,2)&amp;""""</f>
        <v>#N/A</v>
      </c>
      <c r="H103" s="22"/>
    </row>
    <row r="104" spans="1:8" x14ac:dyDescent="0.2">
      <c r="B104" s="7"/>
      <c r="F104" t="e">
        <f>VLOOKUP(B104,LEOs!A$1:E$12,2)</f>
        <v>#N/A</v>
      </c>
      <c r="G104" s="4" t="e">
        <f>"MLEO """&amp;D104&amp;""" is part of LEO """&amp;VLOOKUP(B104,LEOs!A$1:E$12,2)&amp;""""</f>
        <v>#N/A</v>
      </c>
      <c r="H104" s="22"/>
    </row>
    <row r="105" spans="1:8" x14ac:dyDescent="0.2">
      <c r="E105" s="17"/>
      <c r="F105" t="e">
        <f>VLOOKUP(B105,LEOs!A$1:E$12,2)</f>
        <v>#N/A</v>
      </c>
      <c r="G105" s="4" t="e">
        <f>"MLEO """&amp;D105&amp;""" is part of LEO """&amp;VLOOKUP(B105,LEOs!A$1:E$12,2)&amp;""""</f>
        <v>#N/A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1BC305-F23D-433E-8724-BCF991E729C6}">
          <x14:formula1>
            <xm:f>KnowledgeLevels!$A$2:$A$6</xm:f>
          </x14:formula1>
          <xm:sqref>C2:C105</xm:sqref>
        </x14:dataValidation>
        <x14:dataValidation type="list" allowBlank="1" showInputMessage="1" showErrorMessage="1" xr:uid="{F9D05653-0134-41C0-801E-40A86B2714EF}">
          <x14:formula1>
            <xm:f>LEOs!$A$2:$A$12</xm:f>
          </x14:formula1>
          <xm:sqref>B2:B105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F8ACB-94B8-47B6-96B9-5251BEF7A357}">
  <sheetPr codeName="Sheet7"/>
  <dimension ref="A1:D32"/>
  <sheetViews>
    <sheetView zoomScale="160" zoomScaleNormal="160" workbookViewId="0">
      <selection activeCell="A3" sqref="A3"/>
    </sheetView>
  </sheetViews>
  <sheetFormatPr baseColWidth="10" defaultColWidth="9.1640625" defaultRowHeight="15" x14ac:dyDescent="0.2"/>
  <cols>
    <col min="1" max="1" width="17.83203125" customWidth="1"/>
    <col min="2" max="3" width="12.5" bestFit="1" customWidth="1"/>
    <col min="4" max="4" width="140.5" bestFit="1" customWidth="1"/>
  </cols>
  <sheetData>
    <row r="1" spans="1:4" x14ac:dyDescent="0.2">
      <c r="A1" t="s">
        <v>83</v>
      </c>
      <c r="B1" t="s">
        <v>84</v>
      </c>
      <c r="C1" t="s">
        <v>85</v>
      </c>
      <c r="D1" t="s">
        <v>86</v>
      </c>
    </row>
    <row r="2" spans="1:4" x14ac:dyDescent="0.2">
      <c r="A2" t="s">
        <v>150</v>
      </c>
      <c r="B2" t="s">
        <v>147</v>
      </c>
      <c r="C2" t="s">
        <v>265</v>
      </c>
      <c r="D2" t="str">
        <f>"MLEO """&amp;VLOOKUP(A2,MLEOsv2!$A$2:$J$61,6)&amp;""" "&amp;C2&amp;" MLEO   """&amp;VLOOKUP(B2,MLEOsv2!$A$2:$J$61,6)&amp;""""</f>
        <v>MLEO "CUSTOM_CONSTRUCTOR" implies MLEO   "STANDARD_CONSTRUCTOR"</v>
      </c>
    </row>
    <row r="3" spans="1:4" x14ac:dyDescent="0.2">
      <c r="A3" t="s">
        <v>104</v>
      </c>
      <c r="B3" t="s">
        <v>97</v>
      </c>
      <c r="C3" t="s">
        <v>265</v>
      </c>
      <c r="D3" t="str">
        <f>"MLEO """&amp;VLOOKUP(A3,MLEOsv2!$A$2:$J$61,6)&amp;""" "&amp;C3&amp;" MLEO   """&amp;VLOOKUP(B3,MLEOsv2!$A$2:$J$61,6)&amp;""""</f>
        <v>MLEO "PRIMITIVE_TYPE_GETTER" implies MLEO   "PRIMITIVE_TYPE_DIRECT_GETTER"</v>
      </c>
    </row>
    <row r="4" spans="1:4" x14ac:dyDescent="0.2">
      <c r="D4" t="e">
        <f>"MLEO """&amp;VLOOKUP(A4,MLEOsv2!$A$2:$J$61,6)&amp;""" "&amp;C4&amp;" MLEO   """&amp;VLOOKUP(B4,MLEOsv2!$A$2:$J$61,6)&amp;""""</f>
        <v>#N/A</v>
      </c>
    </row>
    <row r="5" spans="1:4" x14ac:dyDescent="0.2">
      <c r="D5" t="e">
        <f>"MLEO """&amp;VLOOKUP(A5,MLEOsv2!$A$2:$J$61,6)&amp;""" "&amp;C5&amp;" MLEO   """&amp;VLOOKUP(B5,MLEOsv2!$A$2:$J$61,6)&amp;""""</f>
        <v>#N/A</v>
      </c>
    </row>
    <row r="6" spans="1:4" x14ac:dyDescent="0.2">
      <c r="D6" t="e">
        <f>"MLEO """&amp;VLOOKUP(A6,MLEOsv2!$A$2:$J$61,6)&amp;""" "&amp;C6&amp;" MLEO   """&amp;VLOOKUP(B6,MLEOsv2!$A$2:$J$61,6)&amp;""""</f>
        <v>#N/A</v>
      </c>
    </row>
    <row r="7" spans="1:4" x14ac:dyDescent="0.2">
      <c r="D7" t="e">
        <f>"MLEO """&amp;VLOOKUP(A7,MLEOsv2!$A$2:$J$61,6)&amp;""" "&amp;C7&amp;" MLEO   """&amp;VLOOKUP(B7,MLEOsv2!$A$2:$J$61,6)&amp;""""</f>
        <v>#N/A</v>
      </c>
    </row>
    <row r="8" spans="1:4" x14ac:dyDescent="0.2">
      <c r="D8" t="e">
        <f>"MLEO """&amp;VLOOKUP(A8,MLEOsv2!$A$2:$J$61,6)&amp;""" "&amp;C8&amp;" MLEO   """&amp;VLOOKUP(B8,MLEOsv2!$A$2:$J$61,6)&amp;""""</f>
        <v>#N/A</v>
      </c>
    </row>
    <row r="9" spans="1:4" x14ac:dyDescent="0.2">
      <c r="D9" t="e">
        <f>"MLEO """&amp;VLOOKUP(A9,MLEOsv2!$A$2:$J$61,6)&amp;""" "&amp;C9&amp;" MLEO   """&amp;VLOOKUP(B9,MLEOsv2!$A$2:$J$61,6)&amp;""""</f>
        <v>#N/A</v>
      </c>
    </row>
    <row r="10" spans="1:4" x14ac:dyDescent="0.2">
      <c r="D10" t="e">
        <f>"MLEO """&amp;VLOOKUP(A10,MLEOsv2!$A$2:$J$61,6)&amp;""" "&amp;C10&amp;" MLEO   """&amp;VLOOKUP(B10,MLEOsv2!$A$2:$J$61,6)&amp;""""</f>
        <v>#N/A</v>
      </c>
    </row>
    <row r="11" spans="1:4" x14ac:dyDescent="0.2">
      <c r="D11" t="e">
        <f>"MLEO """&amp;VLOOKUP(A11,MLEOsv2!$A$2:$J$61,6)&amp;""" "&amp;C11&amp;" MLEO   """&amp;VLOOKUP(B11,MLEOsv2!$A$2:$J$61,6)&amp;""""</f>
        <v>#N/A</v>
      </c>
    </row>
    <row r="12" spans="1:4" x14ac:dyDescent="0.2">
      <c r="D12" t="e">
        <f>"MLEO """&amp;VLOOKUP(A12,MLEOsv2!$A$2:$J$61,6)&amp;""" "&amp;C12&amp;" MLEO   """&amp;VLOOKUP(B12,MLEOsv2!$A$2:$J$61,6)&amp;""""</f>
        <v>#N/A</v>
      </c>
    </row>
    <row r="13" spans="1:4" x14ac:dyDescent="0.2">
      <c r="D13" t="e">
        <f>"MLEO """&amp;VLOOKUP(A13,MLEOsv2!$A$2:$J$61,6)&amp;""" "&amp;C13&amp;" MLEO   """&amp;VLOOKUP(B13,MLEOsv2!$A$2:$J$61,6)&amp;""""</f>
        <v>#N/A</v>
      </c>
    </row>
    <row r="14" spans="1:4" x14ac:dyDescent="0.2">
      <c r="D14" t="e">
        <f>"MLEO """&amp;VLOOKUP(A14,MLEOsv2!$A$2:$J$61,6)&amp;""" "&amp;C14&amp;" MLEO   """&amp;VLOOKUP(B14,MLEOsv2!$A$2:$J$61,6)&amp;""""</f>
        <v>#N/A</v>
      </c>
    </row>
    <row r="15" spans="1:4" x14ac:dyDescent="0.2">
      <c r="D15" t="e">
        <f>"MLEO """&amp;VLOOKUP(A15,MLEOsv2!$A$2:$J$61,6)&amp;""" "&amp;C15&amp;" MLEO   """&amp;VLOOKUP(B15,MLEOsv2!$A$2:$J$61,6)&amp;""""</f>
        <v>#N/A</v>
      </c>
    </row>
    <row r="16" spans="1:4" x14ac:dyDescent="0.2">
      <c r="D16" t="e">
        <f>"MLEO """&amp;VLOOKUP(A16,MLEOsv2!$A$2:$J$61,6)&amp;""" "&amp;C16&amp;" MLEO   """&amp;VLOOKUP(B16,MLEOsv2!$A$2:$J$61,6)&amp;""""</f>
        <v>#N/A</v>
      </c>
    </row>
    <row r="17" spans="4:4" x14ac:dyDescent="0.2">
      <c r="D17" t="e">
        <f>"MLEO """&amp;VLOOKUP(A17,MLEOsv2!$A$2:$J$61,6)&amp;""" "&amp;C17&amp;" MLEO   """&amp;VLOOKUP(B17,MLEOsv2!$A$2:$J$61,6)&amp;""""</f>
        <v>#N/A</v>
      </c>
    </row>
    <row r="18" spans="4:4" x14ac:dyDescent="0.2">
      <c r="D18" t="e">
        <f>"MLEO """&amp;VLOOKUP(A18,MLEOsv2!$A$2:$J$61,6)&amp;""" "&amp;C18&amp;" MLEO   """&amp;VLOOKUP(B18,MLEOsv2!$A$2:$J$61,6)&amp;""""</f>
        <v>#N/A</v>
      </c>
    </row>
    <row r="19" spans="4:4" x14ac:dyDescent="0.2">
      <c r="D19" t="e">
        <f>"MLEO """&amp;VLOOKUP(A19,MLEOsv2!$A$2:$J$61,6)&amp;""" "&amp;C19&amp;" MLEO   """&amp;VLOOKUP(B19,MLEOsv2!$A$2:$J$61,6)&amp;""""</f>
        <v>#N/A</v>
      </c>
    </row>
    <row r="20" spans="4:4" x14ac:dyDescent="0.2">
      <c r="D20" t="e">
        <f>"MLEO """&amp;VLOOKUP(A20,MLEOsv2!$A$2:$J$61,6)&amp;""" "&amp;C20&amp;" MLEO   """&amp;VLOOKUP(B20,MLEOsv2!$A$2:$J$61,6)&amp;""""</f>
        <v>#N/A</v>
      </c>
    </row>
    <row r="21" spans="4:4" x14ac:dyDescent="0.2">
      <c r="D21" t="e">
        <f>"MLEO """&amp;VLOOKUP(A21,MLEOsv2!$A$2:$J$61,6)&amp;""" "&amp;C21&amp;" MLEO   """&amp;VLOOKUP(B21,MLEOsv2!$A$2:$J$61,6)&amp;""""</f>
        <v>#N/A</v>
      </c>
    </row>
    <row r="22" spans="4:4" x14ac:dyDescent="0.2">
      <c r="D22" t="e">
        <f>"MLEO """&amp;VLOOKUP(A22,MLEOsv2!$A$2:$J$61,6)&amp;""" "&amp;C22&amp;" MLEO   """&amp;VLOOKUP(B22,MLEOsv2!$A$2:$J$61,6)&amp;""""</f>
        <v>#N/A</v>
      </c>
    </row>
    <row r="23" spans="4:4" x14ac:dyDescent="0.2">
      <c r="D23" t="e">
        <f>"MLEO """&amp;VLOOKUP(A23,MLEOsv2!$A$2:$J$61,6)&amp;""" "&amp;C23&amp;" MLEO   """&amp;VLOOKUP(B23,MLEOsv2!$A$2:$J$61,6)&amp;""""</f>
        <v>#N/A</v>
      </c>
    </row>
    <row r="24" spans="4:4" x14ac:dyDescent="0.2">
      <c r="D24" t="e">
        <f>"MLEO """&amp;VLOOKUP(A24,MLEOsv2!$A$2:$J$61,6)&amp;""" "&amp;C24&amp;" MLEO   """&amp;VLOOKUP(B24,MLEOsv2!$A$2:$J$61,6)&amp;""""</f>
        <v>#N/A</v>
      </c>
    </row>
    <row r="25" spans="4:4" x14ac:dyDescent="0.2">
      <c r="D25" t="e">
        <f>"MLEO """&amp;VLOOKUP(A25,MLEOsv2!$A$2:$J$61,6)&amp;""" "&amp;C25&amp;" MLEO   """&amp;VLOOKUP(B25,MLEOsv2!$A$2:$J$61,6)&amp;""""</f>
        <v>#N/A</v>
      </c>
    </row>
    <row r="26" spans="4:4" x14ac:dyDescent="0.2">
      <c r="D26" t="e">
        <f>"MLEO """&amp;VLOOKUP(A26,MLEOsv2!$A$2:$J$61,6)&amp;""" "&amp;C26&amp;" MLEO   """&amp;VLOOKUP(B26,MLEOsv2!$A$2:$J$61,6)&amp;""""</f>
        <v>#N/A</v>
      </c>
    </row>
    <row r="27" spans="4:4" x14ac:dyDescent="0.2">
      <c r="D27" t="e">
        <f>"MLEO """&amp;VLOOKUP(A27,MLEOsv2!$A$2:$J$61,6)&amp;""" "&amp;C27&amp;" MLEO   """&amp;VLOOKUP(B27,MLEOsv2!$A$2:$J$61,6)&amp;""""</f>
        <v>#N/A</v>
      </c>
    </row>
    <row r="28" spans="4:4" x14ac:dyDescent="0.2">
      <c r="D28" t="e">
        <f>"MLEO """&amp;VLOOKUP(A28,MLEOsv2!$A$2:$J$61,6)&amp;""" "&amp;C28&amp;" MLEO   """&amp;VLOOKUP(B28,MLEOsv2!$A$2:$J$61,6)&amp;""""</f>
        <v>#N/A</v>
      </c>
    </row>
    <row r="29" spans="4:4" x14ac:dyDescent="0.2">
      <c r="D29" t="e">
        <f>"MLEO """&amp;VLOOKUP(A29,MLEOsv2!$A$2:$J$61,6)&amp;""" "&amp;C29&amp;" MLEO   """&amp;VLOOKUP(B29,MLEOsv2!$A$2:$J$61,6)&amp;""""</f>
        <v>#N/A</v>
      </c>
    </row>
    <row r="30" spans="4:4" x14ac:dyDescent="0.2">
      <c r="D30" t="e">
        <f>"MLEO """&amp;VLOOKUP(A30,MLEOsv2!$A$2:$J$61,6)&amp;""" "&amp;C30&amp;" MLEO   """&amp;VLOOKUP(B30,MLEOsv2!$A$2:$J$61,6)&amp;""""</f>
        <v>#N/A</v>
      </c>
    </row>
    <row r="31" spans="4:4" x14ac:dyDescent="0.2">
      <c r="D31" t="e">
        <f>"MLEO """&amp;VLOOKUP(A31,MLEOsv2!$A$2:$J$61,6)&amp;""" "&amp;C31&amp;" MLEO   """&amp;VLOOKUP(B31,MLEOsv2!$A$2:$J$61,6)&amp;""""</f>
        <v>#N/A</v>
      </c>
    </row>
    <row r="32" spans="4:4" x14ac:dyDescent="0.2">
      <c r="D32" t="e">
        <f>"MLEO """&amp;VLOOKUP(A32,MLEOsv2!$A$2:$J$61,6)&amp;""" "&amp;C32&amp;" MLEO   """&amp;VLOOKUP(B32,MLEOsv2!$A$2:$J$61,6)&amp;""""</f>
        <v>#N/A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854D2CDB-7C9F-426C-B26F-8FCE8ABDD875}">
          <x14:formula1>
            <xm:f>MLEOs!$A:$A</xm:f>
          </x14:formula1>
          <xm:sqref>A1:B1 A3:B1048576</xm:sqref>
        </x14:dataValidation>
        <x14:dataValidation type="list" allowBlank="1" showInputMessage="1" showErrorMessage="1" xr:uid="{E34B4C6B-8A43-474F-AC4A-C4A52217851F}">
          <x14:formula1>
            <xm:f>MLEOsv2!$A$2:$A$61</xm:f>
          </x14:formula1>
          <xm:sqref>A2:B2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EACC2-ED57-4FB5-A947-D570A29F9AB0}">
  <sheetPr codeName="Sheet8"/>
  <dimension ref="A1:J2"/>
  <sheetViews>
    <sheetView zoomScale="160" zoomScaleNormal="160" workbookViewId="0">
      <selection activeCell="E2" sqref="E2"/>
    </sheetView>
  </sheetViews>
  <sheetFormatPr baseColWidth="10" defaultColWidth="9.1640625" defaultRowHeight="15" x14ac:dyDescent="0.2"/>
  <cols>
    <col min="1" max="1" width="13.83203125" bestFit="1" customWidth="1"/>
    <col min="2" max="2" width="61" customWidth="1"/>
    <col min="3" max="3" width="12.83203125" bestFit="1" customWidth="1"/>
    <col min="4" max="4" width="25.5" customWidth="1"/>
    <col min="5" max="5" width="52.5" customWidth="1"/>
    <col min="6" max="6" width="18.5" bestFit="1" customWidth="1"/>
    <col min="7" max="7" width="9.83203125" bestFit="1" customWidth="1"/>
    <col min="8" max="8" width="6.1640625" bestFit="1" customWidth="1"/>
    <col min="9" max="9" width="11.5" bestFit="1" customWidth="1"/>
    <col min="10" max="10" width="180.33203125" bestFit="1" customWidth="1"/>
    <col min="12" max="12" width="12.83203125" bestFit="1" customWidth="1"/>
    <col min="13" max="13" width="12.5" bestFit="1" customWidth="1"/>
  </cols>
  <sheetData>
    <row r="1" spans="1:10" x14ac:dyDescent="0.2">
      <c r="A1" t="s">
        <v>10</v>
      </c>
      <c r="B1" t="s">
        <v>47</v>
      </c>
      <c r="C1" t="s">
        <v>266</v>
      </c>
      <c r="D1" t="s">
        <v>267</v>
      </c>
      <c r="E1" t="s">
        <v>268</v>
      </c>
      <c r="F1" t="s">
        <v>269</v>
      </c>
      <c r="G1" t="s">
        <v>270</v>
      </c>
      <c r="H1" t="s">
        <v>271</v>
      </c>
      <c r="I1" t="s">
        <v>33</v>
      </c>
      <c r="J1" t="s">
        <v>86</v>
      </c>
    </row>
    <row r="2" spans="1:10" x14ac:dyDescent="0.2">
      <c r="A2" t="s">
        <v>272</v>
      </c>
      <c r="B2" t="s">
        <v>273</v>
      </c>
      <c r="C2" t="s">
        <v>91</v>
      </c>
      <c r="D2" t="s">
        <v>274</v>
      </c>
      <c r="E2" t="str">
        <f>VLOOKUP(C2,MLEOs!A$1:D$105,4)</f>
        <v>PRIMITIVE_TYPE_ATTRIBUTES</v>
      </c>
      <c r="F2" t="str">
        <f>VLOOKUP(C2,MLEOs!A$1:D$105,3)</f>
        <v>APPLY_TO_SIMILAR</v>
      </c>
      <c r="G2" t="str">
        <f>VLOOKUP(C2,MLEOs!A$1:D$105,2)</f>
        <v>LEO_00</v>
      </c>
      <c r="H2" s="19">
        <f>VLOOKUP(F2,KnowledgeLevels!A$1:D$7,4)</f>
        <v>0.5</v>
      </c>
      <c r="I2" s="19"/>
      <c r="J2" t="str">
        <f xml:space="preserve"> "MicroExercise """&amp;B2&amp;""" tests MLEO """&amp;VLOOKUP(C2,MLEOs!A$1:G$105,4)&amp;""" which is on level "&amp;VLOOKUP(C2,MLEOs!A$1:G$105,3)</f>
        <v>MicroExercise "dummyME" tests MLEO "PRIMITIVE_TYPE_ATTRIBUTES" which is on level APPLY_TO_SIMILAR</v>
      </c>
    </row>
  </sheetData>
  <phoneticPr fontId="2" type="noConversion"/>
  <conditionalFormatting sqref="I1:I1048576">
    <cfRule type="containsText" dxfId="18" priority="1" operator="containsText" text="TODO">
      <formula>NOT(ISERROR(SEARCH("TODO",I1)))</formula>
    </cfRule>
  </conditionalFormatting>
  <dataValidations count="1">
    <dataValidation allowBlank="1" showInputMessage="1" showErrorMessage="1" sqref="A1:A1048576" xr:uid="{820A91FE-EE66-4182-9DE6-8488889C2798}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90FAEB-1134-437C-B2FB-E0C79A55204F}">
          <x14:formula1>
            <xm:f>MLEOs!$A:$A</xm:f>
          </x14:formula1>
          <xm:sqref>C1:C1048576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25183-4321-470C-95F8-9DB5992B8107}">
  <dimension ref="A1:D2"/>
  <sheetViews>
    <sheetView zoomScale="160" zoomScaleNormal="160" workbookViewId="0">
      <selection activeCell="B2" sqref="B2"/>
    </sheetView>
  </sheetViews>
  <sheetFormatPr baseColWidth="10" defaultColWidth="9.1640625" defaultRowHeight="15" x14ac:dyDescent="0.2"/>
  <cols>
    <col min="1" max="2" width="13.83203125" bestFit="1" customWidth="1"/>
    <col min="3" max="3" width="8.5" bestFit="1" customWidth="1"/>
    <col min="4" max="4" width="94.5" bestFit="1" customWidth="1"/>
  </cols>
  <sheetData>
    <row r="1" spans="1:4" x14ac:dyDescent="0.2">
      <c r="A1" t="s">
        <v>83</v>
      </c>
      <c r="B1" t="s">
        <v>84</v>
      </c>
      <c r="C1" t="s">
        <v>85</v>
      </c>
      <c r="D1" t="s">
        <v>86</v>
      </c>
    </row>
    <row r="2" spans="1:4" x14ac:dyDescent="0.2">
      <c r="A2" t="s">
        <v>272</v>
      </c>
      <c r="B2" t="s">
        <v>272</v>
      </c>
      <c r="C2" t="s">
        <v>87</v>
      </c>
      <c r="D2" t="str">
        <f>"MLEO """&amp;VLOOKUP(A2,MicroExercise!A$1:K$2,4)&amp;""" "&amp;C2&amp;" MLEO   """&amp;VLOOKUP(B2,MicroExercise!A$1:K$2,4)&amp;""""</f>
        <v>MLEO "E" requires MLEO   "E"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79A4A9-99A7-42AC-83B6-0432912DC26C}">
          <x14:formula1>
            <xm:f>MicroExercise!$A$2:$A$2</xm:f>
          </x14:formula1>
          <xm:sqref>A2:A5 B2:B7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D3811-51C3-47C2-BF9F-D0C5E309DC99}">
  <dimension ref="A1:F7"/>
  <sheetViews>
    <sheetView workbookViewId="0">
      <selection activeCell="D28" sqref="D28"/>
    </sheetView>
  </sheetViews>
  <sheetFormatPr baseColWidth="10" defaultColWidth="9.1640625" defaultRowHeight="15" x14ac:dyDescent="0.2"/>
  <cols>
    <col min="1" max="1" width="13.83203125" bestFit="1" customWidth="1"/>
    <col min="2" max="2" width="34.6640625" bestFit="1" customWidth="1"/>
    <col min="3" max="3" width="12.83203125" bestFit="1" customWidth="1"/>
    <col min="4" max="4" width="24.5" bestFit="1" customWidth="1"/>
    <col min="5" max="5" width="45.1640625" bestFit="1" customWidth="1"/>
    <col min="6" max="6" width="119.6640625" bestFit="1" customWidth="1"/>
  </cols>
  <sheetData>
    <row r="1" spans="1:6" x14ac:dyDescent="0.2">
      <c r="A1" t="s">
        <v>10</v>
      </c>
      <c r="B1" t="s">
        <v>47</v>
      </c>
      <c r="C1" t="s">
        <v>31</v>
      </c>
      <c r="D1" t="s">
        <v>32</v>
      </c>
      <c r="E1" t="s">
        <v>267</v>
      </c>
      <c r="F1" t="s">
        <v>86</v>
      </c>
    </row>
    <row r="2" spans="1:6" x14ac:dyDescent="0.2">
      <c r="A2" t="s">
        <v>275</v>
      </c>
      <c r="B2" t="s">
        <v>276</v>
      </c>
      <c r="C2" t="s">
        <v>57</v>
      </c>
      <c r="D2" t="str">
        <f>VLOOKUP(C2,LEOs!A$1:E$9,2)</f>
        <v>BASIC_INHERITANCE</v>
      </c>
      <c r="F2" t="str">
        <f xml:space="preserve"> "Exercise """&amp;B2&amp;""" tests LEO """&amp;VLOOKUP(C2,MLEOs!A$1:D$6,4)&amp;""" "</f>
        <v xml:space="preserve">Exercise "asd" tests LEO "shortName" </v>
      </c>
    </row>
    <row r="3" spans="1:6" x14ac:dyDescent="0.2">
      <c r="D3" t="e">
        <f>VLOOKUP(C3,LEOs!A$1:E$9,2)</f>
        <v>#N/A</v>
      </c>
      <c r="F3" t="e">
        <f xml:space="preserve"> "Exercise """&amp;B3&amp;""" tests LEO """&amp;VLOOKUP(C3,MLEOs!A$1:D$6,4)&amp;""" "</f>
        <v>#N/A</v>
      </c>
    </row>
    <row r="4" spans="1:6" x14ac:dyDescent="0.2">
      <c r="D4" t="e">
        <f>VLOOKUP(C4,LEOs!A$1:E$9,2)</f>
        <v>#N/A</v>
      </c>
      <c r="F4" t="e">
        <f xml:space="preserve"> "Exercise """&amp;B4&amp;""" tests LEO """&amp;VLOOKUP(C4,MLEOs!A$1:D$6,4)&amp;""" "</f>
        <v>#N/A</v>
      </c>
    </row>
    <row r="5" spans="1:6" x14ac:dyDescent="0.2">
      <c r="D5" t="e">
        <f>VLOOKUP(C5,LEOs!A$1:E$9,2)</f>
        <v>#N/A</v>
      </c>
      <c r="F5" t="e">
        <f xml:space="preserve"> "Exercise """&amp;B5&amp;""" tests LEO """&amp;VLOOKUP(C5,MLEOs!A$1:D$6,4)&amp;""" "</f>
        <v>#N/A</v>
      </c>
    </row>
    <row r="6" spans="1:6" x14ac:dyDescent="0.2">
      <c r="D6" t="e">
        <f>VLOOKUP(C6,LEOs!A$1:E$9,2)</f>
        <v>#N/A</v>
      </c>
      <c r="F6" t="e">
        <f xml:space="preserve"> "Exercise """&amp;B6&amp;""" tests LEO """&amp;VLOOKUP(C6,MLEOs!A$1:D$6,4)&amp;""" "</f>
        <v>#N/A</v>
      </c>
    </row>
    <row r="7" spans="1:6" x14ac:dyDescent="0.2">
      <c r="D7" t="e">
        <f>VLOOKUP(C7,LEOs!A$1:E$9,2)</f>
        <v>#N/A</v>
      </c>
      <c r="F7" t="e">
        <f xml:space="preserve"> "Exercise """&amp;B7&amp;""" tests LEO """&amp;VLOOKUP(C7,MLEOs!A$1:D$6,4)&amp;""" "</f>
        <v>#N/A</v>
      </c>
    </row>
  </sheetData>
  <dataValidations count="1">
    <dataValidation allowBlank="1" showInputMessage="1" showErrorMessage="1" sqref="D2:D7" xr:uid="{5C784CC1-B7D5-4F22-81B9-B603F28D0673}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505C7E-3A96-4195-9A3B-19A19400F675}">
          <x14:formula1>
            <xm:f>LEOs!$A$2:$A$12</xm:f>
          </x14:formula1>
          <xm:sqref>C2:C7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87610-64BE-43D7-B9FE-D4263ED8419B}">
  <sheetPr codeName="Sheet9"/>
  <dimension ref="A1:L105"/>
  <sheetViews>
    <sheetView zoomScale="130" zoomScaleNormal="130" workbookViewId="0">
      <selection activeCell="A28" sqref="A28:F29"/>
    </sheetView>
  </sheetViews>
  <sheetFormatPr baseColWidth="10" defaultColWidth="18.1640625" defaultRowHeight="15" x14ac:dyDescent="0.2"/>
  <cols>
    <col min="1" max="1" width="17.33203125" customWidth="1"/>
    <col min="2" max="3" width="10.6640625" customWidth="1"/>
    <col min="4" max="4" width="9.5" bestFit="1" customWidth="1"/>
    <col min="5" max="5" width="18.5" bestFit="1" customWidth="1"/>
    <col min="6" max="6" width="45.1640625" customWidth="1"/>
    <col min="7" max="7" width="86.33203125" customWidth="1"/>
    <col min="8" max="8" width="7.5" customWidth="1"/>
    <col min="9" max="9" width="27.83203125" bestFit="1" customWidth="1"/>
    <col min="10" max="10" width="101.5" bestFit="1" customWidth="1"/>
    <col min="11" max="11" width="62.5" bestFit="1" customWidth="1"/>
  </cols>
  <sheetData>
    <row r="1" spans="1:12" x14ac:dyDescent="0.2">
      <c r="A1" s="1" t="s">
        <v>10</v>
      </c>
      <c r="B1" s="1" t="s">
        <v>50</v>
      </c>
      <c r="C1" s="1" t="s">
        <v>277</v>
      </c>
      <c r="D1" s="2" t="s">
        <v>41</v>
      </c>
      <c r="E1" s="2" t="s">
        <v>44</v>
      </c>
      <c r="F1" s="66" t="s">
        <v>47</v>
      </c>
      <c r="G1" s="67" t="s">
        <v>11</v>
      </c>
      <c r="H1" s="24" t="s">
        <v>278</v>
      </c>
      <c r="I1" s="66" t="s">
        <v>45</v>
      </c>
      <c r="J1" s="3" t="s">
        <v>86</v>
      </c>
      <c r="K1" s="2" t="s">
        <v>89</v>
      </c>
      <c r="L1" s="2" t="s">
        <v>33</v>
      </c>
    </row>
    <row r="2" spans="1:12" x14ac:dyDescent="0.2">
      <c r="A2" t="s">
        <v>91</v>
      </c>
      <c r="B2">
        <v>1</v>
      </c>
      <c r="C2">
        <v>1</v>
      </c>
      <c r="D2" t="s">
        <v>52</v>
      </c>
      <c r="E2" t="s">
        <v>16</v>
      </c>
      <c r="F2" t="s">
        <v>92</v>
      </c>
      <c r="G2" t="s">
        <v>93</v>
      </c>
      <c r="H2" s="65" t="b">
        <v>1</v>
      </c>
      <c r="I2" t="s">
        <v>39</v>
      </c>
      <c r="J2" t="str">
        <f>"MLEO """&amp;F2&amp;""" is part of LEO """&amp;VLOOKUP(D2,LEOs!A$1:E$12,2)&amp;""""</f>
        <v>MLEO "PRIMITIVE_TYPE_ATTRIBUTES" is part of LEO "BASIC_CLASSES"</v>
      </c>
      <c r="K2" s="22"/>
    </row>
    <row r="3" spans="1:12" x14ac:dyDescent="0.2">
      <c r="A3" t="s">
        <v>94</v>
      </c>
      <c r="B3">
        <v>2</v>
      </c>
      <c r="C3">
        <v>1</v>
      </c>
      <c r="D3" t="s">
        <v>52</v>
      </c>
      <c r="E3" t="s">
        <v>16</v>
      </c>
      <c r="F3" t="s">
        <v>95</v>
      </c>
      <c r="G3" t="s">
        <v>96</v>
      </c>
      <c r="H3" s="65" t="b">
        <v>1</v>
      </c>
      <c r="I3" t="s">
        <v>39</v>
      </c>
      <c r="J3" t="str">
        <f>"MLEO """&amp;F3&amp;""" is part of LEO """&amp;VLOOKUP(D3,LEOs!A$1:E$12,2)&amp;""""</f>
        <v>MLEO "STRING_REPRESENTATIONS" is part of LEO "BASIC_CLASSES"</v>
      </c>
      <c r="K3" s="22"/>
    </row>
    <row r="4" spans="1:12" x14ac:dyDescent="0.2">
      <c r="A4" t="s">
        <v>97</v>
      </c>
      <c r="B4">
        <v>3</v>
      </c>
      <c r="C4">
        <v>1</v>
      </c>
      <c r="D4" t="s">
        <v>52</v>
      </c>
      <c r="E4" t="s">
        <v>16</v>
      </c>
      <c r="F4" t="s">
        <v>98</v>
      </c>
      <c r="G4" t="s">
        <v>99</v>
      </c>
      <c r="H4" s="65" t="b">
        <v>1</v>
      </c>
      <c r="I4" t="s">
        <v>39</v>
      </c>
      <c r="J4" t="str">
        <f>"MLEO """&amp;F4&amp;""" is part of LEO """&amp;VLOOKUP(D4,LEOs!A$1:E$12,2)&amp;""""</f>
        <v>MLEO "PRIMITIVE_TYPE_DIRECT_GETTER" is part of LEO "BASIC_CLASSES"</v>
      </c>
      <c r="K4" s="22"/>
    </row>
    <row r="5" spans="1:12" x14ac:dyDescent="0.2">
      <c r="A5" t="s">
        <v>101</v>
      </c>
      <c r="B5">
        <v>4</v>
      </c>
      <c r="C5">
        <v>1</v>
      </c>
      <c r="D5" t="s">
        <v>52</v>
      </c>
      <c r="E5" t="s">
        <v>16</v>
      </c>
      <c r="F5" t="s">
        <v>102</v>
      </c>
      <c r="G5" t="s">
        <v>103</v>
      </c>
      <c r="H5" s="65" t="b">
        <v>1</v>
      </c>
      <c r="I5" t="s">
        <v>39</v>
      </c>
      <c r="J5" t="str">
        <f>"MLEO """&amp;F5&amp;""" is part of LEO """&amp;VLOOKUP(D5,LEOs!A$1:E$12,2)&amp;""""</f>
        <v>MLEO "PRIMITIVE_TYPE_DIRECT_SETTER" is part of LEO "BASIC_CLASSES"</v>
      </c>
      <c r="K5" s="22"/>
    </row>
    <row r="6" spans="1:12" x14ac:dyDescent="0.2">
      <c r="A6" t="s">
        <v>104</v>
      </c>
      <c r="B6">
        <v>5</v>
      </c>
      <c r="C6">
        <v>1</v>
      </c>
      <c r="D6" t="s">
        <v>52</v>
      </c>
      <c r="E6" t="s">
        <v>16</v>
      </c>
      <c r="F6" t="s">
        <v>105</v>
      </c>
      <c r="G6" t="s">
        <v>106</v>
      </c>
      <c r="H6" s="65" t="b">
        <v>1</v>
      </c>
      <c r="I6" t="s">
        <v>39</v>
      </c>
      <c r="J6" t="str">
        <f>"MLEO """&amp;F6&amp;""" is part of LEO """&amp;VLOOKUP(D6,LEOs!A$1:E$12,2)&amp;""""</f>
        <v>MLEO "PRIMITIVE_TYPE_GETTER" is part of LEO "BASIC_CLASSES"</v>
      </c>
      <c r="K6" s="22"/>
    </row>
    <row r="7" spans="1:12" x14ac:dyDescent="0.2">
      <c r="A7" t="s">
        <v>108</v>
      </c>
      <c r="B7">
        <v>6</v>
      </c>
      <c r="C7">
        <v>1</v>
      </c>
      <c r="D7" t="s">
        <v>52</v>
      </c>
      <c r="E7" t="s">
        <v>16</v>
      </c>
      <c r="F7" t="s">
        <v>109</v>
      </c>
      <c r="G7" t="s">
        <v>110</v>
      </c>
      <c r="H7" s="65" t="b">
        <v>1</v>
      </c>
      <c r="I7" t="s">
        <v>39</v>
      </c>
      <c r="J7" t="str">
        <f>"MLEO """&amp;F7&amp;""" is part of LEO """&amp;VLOOKUP(D7,LEOs!A$1:E$12,2)&amp;""""</f>
        <v>MLEO "PRIMITIVE_TYPE_SETTER" is part of LEO "BASIC_CLASSES"</v>
      </c>
      <c r="K7" s="22"/>
    </row>
    <row r="8" spans="1:12" x14ac:dyDescent="0.2">
      <c r="A8" t="s">
        <v>111</v>
      </c>
      <c r="B8">
        <v>7</v>
      </c>
      <c r="C8">
        <v>1</v>
      </c>
      <c r="D8" t="s">
        <v>52</v>
      </c>
      <c r="E8" t="s">
        <v>16</v>
      </c>
      <c r="F8" t="s">
        <v>112</v>
      </c>
      <c r="G8" t="s">
        <v>113</v>
      </c>
      <c r="H8" s="65" t="b">
        <v>1</v>
      </c>
      <c r="I8" t="s">
        <v>39</v>
      </c>
      <c r="J8" t="str">
        <f>"MLEO """&amp;F8&amp;""" is part of LEO """&amp;VLOOKUP(D8,LEOs!A$1:E$12,2)&amp;""""</f>
        <v>MLEO "REFERENCE_TYPE_ATTRIBUTES" is part of LEO "BASIC_CLASSES"</v>
      </c>
      <c r="K8" s="22"/>
    </row>
    <row r="9" spans="1:12" x14ac:dyDescent="0.2">
      <c r="A9" t="s">
        <v>114</v>
      </c>
      <c r="B9">
        <v>8</v>
      </c>
      <c r="C9">
        <v>1</v>
      </c>
      <c r="D9" t="s">
        <v>52</v>
      </c>
      <c r="E9" t="s">
        <v>16</v>
      </c>
      <c r="F9" t="s">
        <v>115</v>
      </c>
      <c r="G9" t="s">
        <v>116</v>
      </c>
      <c r="H9" s="65" t="b">
        <v>1</v>
      </c>
      <c r="I9" t="s">
        <v>39</v>
      </c>
      <c r="J9" t="str">
        <f>"MLEO """&amp;F9&amp;""" is part of LEO """&amp;VLOOKUP(D9,LEOs!A$1:E$12,2)&amp;""""</f>
        <v>MLEO "SIMPLE_METHODS" is part of LEO "BASIC_CLASSES"</v>
      </c>
      <c r="K9" s="22"/>
    </row>
    <row r="10" spans="1:12" x14ac:dyDescent="0.2">
      <c r="A10" t="s">
        <v>117</v>
      </c>
      <c r="B10">
        <v>9</v>
      </c>
      <c r="C10">
        <v>1</v>
      </c>
      <c r="D10" t="s">
        <v>52</v>
      </c>
      <c r="E10" t="s">
        <v>16</v>
      </c>
      <c r="F10" t="s">
        <v>125</v>
      </c>
      <c r="G10" t="s">
        <v>126</v>
      </c>
      <c r="H10" s="65" t="b">
        <v>1</v>
      </c>
      <c r="I10" t="s">
        <v>39</v>
      </c>
      <c r="J10" t="str">
        <f>"MLEO """&amp;F10&amp;""" is part of LEO """&amp;VLOOKUP(D10,LEOs!A$1:E$12,2)&amp;""""</f>
        <v>MLEO "PRIVATE_METHODS" is part of LEO "BASIC_CLASSES"</v>
      </c>
      <c r="K10" s="22"/>
    </row>
    <row r="11" spans="1:12" x14ac:dyDescent="0.2">
      <c r="A11" t="s">
        <v>120</v>
      </c>
      <c r="B11">
        <v>10</v>
      </c>
      <c r="C11">
        <v>1</v>
      </c>
      <c r="D11" t="s">
        <v>52</v>
      </c>
      <c r="E11" t="s">
        <v>16</v>
      </c>
      <c r="F11" t="s">
        <v>128</v>
      </c>
      <c r="G11" t="s">
        <v>129</v>
      </c>
      <c r="H11" s="65" t="b">
        <v>1</v>
      </c>
      <c r="I11" t="s">
        <v>39</v>
      </c>
      <c r="J11" t="str">
        <f>"MLEO """&amp;F11&amp;""" is part of LEO """&amp;VLOOKUP(D11,LEOs!A$1:E$12,2)&amp;""""</f>
        <v>MLEO "ENTITY_CLASSES" is part of LEO "BASIC_CLASSES"</v>
      </c>
      <c r="K11" s="22"/>
    </row>
    <row r="12" spans="1:12" x14ac:dyDescent="0.2">
      <c r="A12" t="s">
        <v>238</v>
      </c>
      <c r="B12">
        <v>11</v>
      </c>
      <c r="C12">
        <v>1</v>
      </c>
      <c r="D12" t="s">
        <v>77</v>
      </c>
      <c r="E12" t="s">
        <v>16</v>
      </c>
      <c r="F12" t="s">
        <v>239</v>
      </c>
      <c r="G12" t="s">
        <v>240</v>
      </c>
      <c r="H12" s="65" t="b">
        <v>1</v>
      </c>
      <c r="I12" t="s">
        <v>78</v>
      </c>
      <c r="J12" t="str">
        <f>"MLEO """&amp;F12&amp;""" is part of LEO """&amp;VLOOKUP(D12,LEOs!A$1:E$12,2)&amp;""""</f>
        <v>MLEO "IDENTIFY_CLASSES" is part of LEO "CLASS_DIAGRAM"</v>
      </c>
      <c r="K12" s="22"/>
    </row>
    <row r="13" spans="1:12" x14ac:dyDescent="0.2">
      <c r="A13" t="s">
        <v>241</v>
      </c>
      <c r="B13">
        <v>12</v>
      </c>
      <c r="C13">
        <v>1</v>
      </c>
      <c r="D13" t="s">
        <v>77</v>
      </c>
      <c r="E13" t="s">
        <v>16</v>
      </c>
      <c r="F13" t="s">
        <v>242</v>
      </c>
      <c r="G13" t="s">
        <v>243</v>
      </c>
      <c r="H13" s="65" t="b">
        <v>1</v>
      </c>
      <c r="I13" t="s">
        <v>78</v>
      </c>
      <c r="J13" t="str">
        <f>"MLEO """&amp;F13&amp;""" is part of LEO """&amp;VLOOKUP(D13,LEOs!A$1:E$12,2)&amp;""""</f>
        <v>MLEO "IDENTIFY_MEMBERS" is part of LEO "CLASS_DIAGRAM"</v>
      </c>
      <c r="K13" s="22"/>
    </row>
    <row r="14" spans="1:12" x14ac:dyDescent="0.2">
      <c r="A14" t="s">
        <v>141</v>
      </c>
      <c r="B14">
        <v>13</v>
      </c>
      <c r="C14">
        <v>2</v>
      </c>
      <c r="D14" s="7" t="s">
        <v>54</v>
      </c>
      <c r="E14" t="s">
        <v>16</v>
      </c>
      <c r="F14" t="s">
        <v>131</v>
      </c>
      <c r="G14" t="s">
        <v>132</v>
      </c>
      <c r="H14" s="65" t="b">
        <v>1</v>
      </c>
      <c r="I14" t="s">
        <v>55</v>
      </c>
      <c r="J14" t="str">
        <f>"MLEO """&amp;F14&amp;""" is part of LEO """&amp;VLOOKUP(D14,LEOs!A$1:E$12,2)&amp;""""</f>
        <v>MLEO "CONTROLLER_CLASSES" is part of LEO "CLASSES"</v>
      </c>
      <c r="K14" s="22"/>
    </row>
    <row r="15" spans="1:12" x14ac:dyDescent="0.2">
      <c r="A15" t="s">
        <v>144</v>
      </c>
      <c r="B15">
        <v>14</v>
      </c>
      <c r="C15">
        <v>2</v>
      </c>
      <c r="D15" s="7" t="s">
        <v>54</v>
      </c>
      <c r="E15" t="s">
        <v>16</v>
      </c>
      <c r="F15" t="s">
        <v>134</v>
      </c>
      <c r="G15" t="s">
        <v>135</v>
      </c>
      <c r="H15" s="65" t="b">
        <v>0</v>
      </c>
      <c r="I15" t="s">
        <v>55</v>
      </c>
      <c r="J15" t="str">
        <f>"MLEO """&amp;F16&amp;""" is part of LEO """&amp;VLOOKUP(D16,LEOs!A$1:E$12,2)&amp;""""</f>
        <v>MLEO "STANDARD_CONSTRUCTOR" is part of LEO "CLASSES"</v>
      </c>
      <c r="K15" s="22"/>
    </row>
    <row r="16" spans="1:12" x14ac:dyDescent="0.2">
      <c r="A16" t="s">
        <v>147</v>
      </c>
      <c r="B16">
        <v>15</v>
      </c>
      <c r="C16">
        <v>2</v>
      </c>
      <c r="D16" s="7" t="s">
        <v>54</v>
      </c>
      <c r="E16" t="s">
        <v>16</v>
      </c>
      <c r="F16" t="s">
        <v>142</v>
      </c>
      <c r="G16" t="s">
        <v>143</v>
      </c>
      <c r="H16" s="65" t="b">
        <v>1</v>
      </c>
      <c r="I16" t="s">
        <v>55</v>
      </c>
      <c r="J16" t="str">
        <f>"MLEO """&amp;F17&amp;""" is part of LEO """&amp;VLOOKUP(D17,LEOs!A$1:E$12,2)&amp;""""</f>
        <v>MLEO "CUSTOM_CONSTRUCTOR" is part of LEO "CLASSES"</v>
      </c>
      <c r="K16" s="22"/>
    </row>
    <row r="17" spans="1:11" x14ac:dyDescent="0.2">
      <c r="A17" t="s">
        <v>150</v>
      </c>
      <c r="B17">
        <v>16</v>
      </c>
      <c r="C17">
        <v>2</v>
      </c>
      <c r="D17" s="7" t="s">
        <v>54</v>
      </c>
      <c r="E17" t="s">
        <v>16</v>
      </c>
      <c r="F17" t="s">
        <v>145</v>
      </c>
      <c r="G17" t="s">
        <v>146</v>
      </c>
      <c r="H17" s="65" t="b">
        <v>1</v>
      </c>
      <c r="I17" t="s">
        <v>55</v>
      </c>
      <c r="J17" t="str">
        <f>"MLEO """&amp;F18&amp;""" is part of LEO """&amp;VLOOKUP(D18,LEOs!A$1:E$12,2)&amp;""""</f>
        <v>MLEO "OVERLOAD_METHODS" is part of LEO "CLASSES"</v>
      </c>
      <c r="K17" s="22"/>
    </row>
    <row r="18" spans="1:11" x14ac:dyDescent="0.2">
      <c r="A18" t="s">
        <v>153</v>
      </c>
      <c r="B18">
        <v>17</v>
      </c>
      <c r="C18">
        <v>2</v>
      </c>
      <c r="D18" s="7" t="s">
        <v>54</v>
      </c>
      <c r="E18" t="s">
        <v>16</v>
      </c>
      <c r="F18" t="s">
        <v>118</v>
      </c>
      <c r="G18" t="s">
        <v>119</v>
      </c>
      <c r="H18" s="65" t="b">
        <v>0</v>
      </c>
      <c r="I18" t="s">
        <v>55</v>
      </c>
      <c r="J18" t="str">
        <f>"MLEO """&amp;F19&amp;""" is part of LEO """&amp;VLOOKUP(D19,LEOs!A$1:E$12,2)&amp;""""</f>
        <v>MLEO "CONSTRUCTOR_CALL" is part of LEO "CLASSES"</v>
      </c>
      <c r="K18" s="22"/>
    </row>
    <row r="19" spans="1:11" x14ac:dyDescent="0.2">
      <c r="A19" t="s">
        <v>156</v>
      </c>
      <c r="B19">
        <v>18</v>
      </c>
      <c r="C19">
        <v>2</v>
      </c>
      <c r="D19" s="7" t="s">
        <v>54</v>
      </c>
      <c r="E19" t="s">
        <v>16</v>
      </c>
      <c r="F19" t="s">
        <v>148</v>
      </c>
      <c r="G19" t="s">
        <v>149</v>
      </c>
      <c r="H19" s="65" t="b">
        <v>1</v>
      </c>
      <c r="I19" t="s">
        <v>55</v>
      </c>
      <c r="J19" t="str">
        <f>"MLEO """&amp;F20&amp;""" is part of LEO """&amp;VLOOKUP(D20,LEOs!A$1:E$12,2)&amp;""""</f>
        <v>MLEO "SHALLOW_COPY" is part of LEO "CLASSES"</v>
      </c>
      <c r="K19" s="22"/>
    </row>
    <row r="20" spans="1:11" x14ac:dyDescent="0.2">
      <c r="A20" t="s">
        <v>159</v>
      </c>
      <c r="B20">
        <v>19</v>
      </c>
      <c r="C20">
        <v>2</v>
      </c>
      <c r="D20" s="7" t="s">
        <v>54</v>
      </c>
      <c r="E20" t="s">
        <v>16</v>
      </c>
      <c r="F20" t="s">
        <v>151</v>
      </c>
      <c r="G20" t="s">
        <v>152</v>
      </c>
      <c r="H20" s="65" t="b">
        <v>0</v>
      </c>
      <c r="I20" t="s">
        <v>55</v>
      </c>
      <c r="J20" t="str">
        <f>"MLEO """&amp;F21&amp;""" is part of LEO """&amp;VLOOKUP(D21,LEOs!A$1:E$12,2)&amp;""""</f>
        <v>MLEO "DEEP_COPY" is part of LEO "CLASSES"</v>
      </c>
      <c r="K20" s="22"/>
    </row>
    <row r="21" spans="1:11" x14ac:dyDescent="0.2">
      <c r="A21" t="s">
        <v>162</v>
      </c>
      <c r="B21">
        <v>20</v>
      </c>
      <c r="C21">
        <v>3</v>
      </c>
      <c r="D21" s="7" t="s">
        <v>54</v>
      </c>
      <c r="E21" t="s">
        <v>16</v>
      </c>
      <c r="F21" t="s">
        <v>154</v>
      </c>
      <c r="G21" t="s">
        <v>155</v>
      </c>
      <c r="H21" s="65" t="b">
        <v>0</v>
      </c>
      <c r="I21" t="s">
        <v>55</v>
      </c>
      <c r="J21" t="str">
        <f>"MLEO """&amp;F22&amp;""" is part of LEO """&amp;VLOOKUP(D22,LEOs!A$1:E$12,2)&amp;""""</f>
        <v>MLEO "DEFENSIVE_GETTER_SETTER" is part of LEO "CLASSES"</v>
      </c>
      <c r="K21" s="22"/>
    </row>
    <row r="22" spans="1:11" x14ac:dyDescent="0.2">
      <c r="A22" t="s">
        <v>166</v>
      </c>
      <c r="B22">
        <v>21</v>
      </c>
      <c r="C22">
        <v>3</v>
      </c>
      <c r="D22" s="7" t="s">
        <v>54</v>
      </c>
      <c r="E22" t="s">
        <v>16</v>
      </c>
      <c r="F22" t="s">
        <v>157</v>
      </c>
      <c r="G22" t="s">
        <v>158</v>
      </c>
      <c r="H22" s="65" t="b">
        <v>0</v>
      </c>
      <c r="I22" t="s">
        <v>55</v>
      </c>
      <c r="J22" t="str">
        <f>"MLEO """&amp;F23&amp;""" is part of LEO """&amp;VLOOKUP(D23,LEOs!A$1:E$12,2)&amp;""""</f>
        <v>MLEO "IMPLEMENT_AGGREGATION_COMPOSITION" is part of LEO "CLASSES"</v>
      </c>
      <c r="K22" s="22"/>
    </row>
    <row r="23" spans="1:11" x14ac:dyDescent="0.2">
      <c r="A23" t="s">
        <v>169</v>
      </c>
      <c r="B23">
        <v>22</v>
      </c>
      <c r="C23">
        <v>3</v>
      </c>
      <c r="D23" s="7" t="s">
        <v>54</v>
      </c>
      <c r="E23" t="s">
        <v>16</v>
      </c>
      <c r="F23" t="s">
        <v>170</v>
      </c>
      <c r="G23" t="s">
        <v>171</v>
      </c>
      <c r="H23" s="65" t="b">
        <v>0</v>
      </c>
      <c r="I23" t="s">
        <v>55</v>
      </c>
      <c r="J23" t="str">
        <f>"MLEO """&amp;F24&amp;""" is part of LEO """&amp;VLOOKUP(D24,LEOs!A$1:E$12,2)&amp;""""</f>
        <v>MLEO "USE_CLASSES" is part of LEO "CLASSES"</v>
      </c>
      <c r="K23" s="22"/>
    </row>
    <row r="24" spans="1:11" x14ac:dyDescent="0.2">
      <c r="A24" t="s">
        <v>172</v>
      </c>
      <c r="B24">
        <v>23</v>
      </c>
      <c r="C24">
        <v>3</v>
      </c>
      <c r="D24" s="7" t="s">
        <v>54</v>
      </c>
      <c r="E24" t="s">
        <v>16</v>
      </c>
      <c r="F24" t="s">
        <v>173</v>
      </c>
      <c r="G24" t="s">
        <v>174</v>
      </c>
      <c r="H24" s="65" t="b">
        <v>1</v>
      </c>
      <c r="I24" t="s">
        <v>55</v>
      </c>
      <c r="J24" t="str">
        <f>"MLEO """&amp;F25&amp;""" is part of LEO """&amp;VLOOKUP(D25,LEOs!A$1:E$12,2)&amp;""""</f>
        <v>MLEO "METHOD_CHAINING" is part of LEO "CLASSES"</v>
      </c>
      <c r="K24" s="22"/>
    </row>
    <row r="25" spans="1:11" x14ac:dyDescent="0.2">
      <c r="A25" t="s">
        <v>279</v>
      </c>
      <c r="B25">
        <v>24</v>
      </c>
      <c r="C25">
        <v>3</v>
      </c>
      <c r="D25" s="7" t="s">
        <v>54</v>
      </c>
      <c r="E25" t="s">
        <v>16</v>
      </c>
      <c r="F25" t="s">
        <v>160</v>
      </c>
      <c r="G25" t="s">
        <v>161</v>
      </c>
      <c r="H25" s="65" t="b">
        <v>0</v>
      </c>
      <c r="I25" t="s">
        <v>55</v>
      </c>
      <c r="J25" t="str">
        <f>"MLEO """&amp;F26&amp;""" is part of LEO """&amp;VLOOKUP(D26,LEOs!A$1:E$12,2)&amp;""""</f>
        <v>MLEO "ENUMERATIONS" is part of LEO "CLASSES"</v>
      </c>
      <c r="K25" s="22"/>
    </row>
    <row r="26" spans="1:11" x14ac:dyDescent="0.2">
      <c r="A26" t="s">
        <v>280</v>
      </c>
      <c r="B26">
        <v>25</v>
      </c>
      <c r="C26">
        <v>3</v>
      </c>
      <c r="D26" s="7" t="s">
        <v>54</v>
      </c>
      <c r="E26" t="s">
        <v>16</v>
      </c>
      <c r="F26" t="s">
        <v>198</v>
      </c>
      <c r="G26" t="s">
        <v>199</v>
      </c>
      <c r="H26" s="65" t="b">
        <v>0</v>
      </c>
      <c r="I26" t="s">
        <v>55</v>
      </c>
      <c r="J26" t="str">
        <f>"MLEO """&amp;F27&amp;""" is part of LEO """&amp;VLOOKUP(D27,LEOs!A$1:E$12,2)&amp;""""</f>
        <v>MLEO "STATIC_FINAL_MEMBERS" is part of LEO "CLASSES"</v>
      </c>
      <c r="K26" s="22"/>
    </row>
    <row r="27" spans="1:11" x14ac:dyDescent="0.2">
      <c r="A27" t="s">
        <v>281</v>
      </c>
      <c r="B27">
        <v>26</v>
      </c>
      <c r="C27">
        <v>3</v>
      </c>
      <c r="D27" s="7" t="s">
        <v>54</v>
      </c>
      <c r="E27" t="s">
        <v>16</v>
      </c>
      <c r="F27" t="s">
        <v>163</v>
      </c>
      <c r="G27" t="s">
        <v>164</v>
      </c>
      <c r="H27" s="65" t="b">
        <v>0</v>
      </c>
      <c r="I27" t="s">
        <v>55</v>
      </c>
      <c r="J27" t="str">
        <f>"MLEO """&amp;F28&amp;""" is part of LEO """&amp;VLOOKUP(D28,LEOs!A$1:E$12,2)&amp;""""</f>
        <v>MLEO "IDENTIFY_ASSOCIATIONS" is part of LEO "CLASS_DIAGRAM"</v>
      </c>
      <c r="K27" s="22"/>
    </row>
    <row r="28" spans="1:11" x14ac:dyDescent="0.2">
      <c r="A28" t="s">
        <v>244</v>
      </c>
      <c r="B28">
        <v>27</v>
      </c>
      <c r="C28">
        <v>3</v>
      </c>
      <c r="D28" s="7" t="s">
        <v>77</v>
      </c>
      <c r="E28" t="s">
        <v>16</v>
      </c>
      <c r="F28" t="s">
        <v>248</v>
      </c>
      <c r="G28" t="s">
        <v>249</v>
      </c>
      <c r="H28" s="65" t="b">
        <v>1</v>
      </c>
      <c r="I28" t="s">
        <v>78</v>
      </c>
      <c r="J28" t="str">
        <f>"MLEO """&amp;F29&amp;""" is part of LEO """&amp;VLOOKUP(D29,LEOs!A$1:E$12,2)&amp;""""</f>
        <v>MLEO "IDENTIFY_AGGREGATIONS" is part of LEO "CLASS_DIAGRAM"</v>
      </c>
      <c r="K28" s="22"/>
    </row>
    <row r="29" spans="1:11" x14ac:dyDescent="0.2">
      <c r="A29" t="s">
        <v>247</v>
      </c>
      <c r="B29">
        <v>28</v>
      </c>
      <c r="C29">
        <v>3</v>
      </c>
      <c r="D29" s="7" t="s">
        <v>77</v>
      </c>
      <c r="E29" t="s">
        <v>16</v>
      </c>
      <c r="F29" t="s">
        <v>251</v>
      </c>
      <c r="G29" t="s">
        <v>252</v>
      </c>
      <c r="H29" s="65" t="b">
        <v>0</v>
      </c>
      <c r="I29" t="s">
        <v>78</v>
      </c>
      <c r="J29" t="str">
        <f>"MLEO """&amp;F30&amp;""" is part of LEO """&amp;VLOOKUP(D30,LEOs!A$1:E$12,2)&amp;""""</f>
        <v>MLEO "EXTEND_CLASSES" is part of LEO "BASIC_INHERITANCE"</v>
      </c>
      <c r="K29" s="22"/>
    </row>
    <row r="30" spans="1:11" x14ac:dyDescent="0.2">
      <c r="A30" t="s">
        <v>176</v>
      </c>
      <c r="B30">
        <v>29</v>
      </c>
      <c r="C30">
        <v>4</v>
      </c>
      <c r="D30" s="7" t="s">
        <v>57</v>
      </c>
      <c r="E30" t="s">
        <v>16</v>
      </c>
      <c r="F30" t="s">
        <v>177</v>
      </c>
      <c r="G30" t="s">
        <v>178</v>
      </c>
      <c r="H30" s="65" t="b">
        <v>1</v>
      </c>
      <c r="I30" t="s">
        <v>58</v>
      </c>
      <c r="J30" t="str">
        <f>"MLEO """&amp;F30&amp;""" is part of LEO """&amp;VLOOKUP(D30,LEOs!A$1:E$12,2)&amp;""""</f>
        <v>MLEO "EXTEND_CLASSES" is part of LEO "BASIC_INHERITANCE"</v>
      </c>
      <c r="K30" s="22"/>
    </row>
    <row r="31" spans="1:11" x14ac:dyDescent="0.2">
      <c r="A31" t="s">
        <v>179</v>
      </c>
      <c r="B31">
        <v>30</v>
      </c>
      <c r="C31">
        <v>4</v>
      </c>
      <c r="D31" s="7" t="s">
        <v>57</v>
      </c>
      <c r="E31" t="s">
        <v>16</v>
      </c>
      <c r="F31" t="s">
        <v>180</v>
      </c>
      <c r="G31" t="s">
        <v>181</v>
      </c>
      <c r="H31" s="65" t="b">
        <v>1</v>
      </c>
      <c r="I31" t="s">
        <v>58</v>
      </c>
      <c r="J31" t="str">
        <f>"MLEO """&amp;F31&amp;""" is part of LEO """&amp;VLOOKUP(D31,LEOs!A$1:E$12,2)&amp;""""</f>
        <v>MLEO "OVERRIDE" is part of LEO "BASIC_INHERITANCE"</v>
      </c>
      <c r="K31" s="22"/>
    </row>
    <row r="32" spans="1:11" x14ac:dyDescent="0.2">
      <c r="A32" t="s">
        <v>182</v>
      </c>
      <c r="B32">
        <v>31</v>
      </c>
      <c r="C32">
        <v>4</v>
      </c>
      <c r="D32" s="7" t="s">
        <v>57</v>
      </c>
      <c r="E32" t="s">
        <v>16</v>
      </c>
      <c r="F32" t="s">
        <v>183</v>
      </c>
      <c r="G32" t="s">
        <v>184</v>
      </c>
      <c r="H32" s="65" t="b">
        <v>1</v>
      </c>
      <c r="I32" t="s">
        <v>58</v>
      </c>
      <c r="J32" t="str">
        <f>"MLEO """&amp;F32&amp;""" is part of LEO """&amp;VLOOKUP(D32,LEOs!A$1:E$12,2)&amp;""""</f>
        <v>MLEO "CLASS_OBJECT_METHODS" is part of LEO "BASIC_INHERITANCE"</v>
      </c>
      <c r="K32" s="22"/>
    </row>
    <row r="33" spans="1:11" x14ac:dyDescent="0.2">
      <c r="A33" t="s">
        <v>185</v>
      </c>
      <c r="B33">
        <v>32</v>
      </c>
      <c r="C33">
        <v>4</v>
      </c>
      <c r="D33" s="7" t="s">
        <v>57</v>
      </c>
      <c r="E33" t="s">
        <v>16</v>
      </c>
      <c r="F33" t="s">
        <v>189</v>
      </c>
      <c r="G33" t="s">
        <v>190</v>
      </c>
      <c r="H33" s="65" t="b">
        <v>0</v>
      </c>
      <c r="I33" t="s">
        <v>58</v>
      </c>
      <c r="J33" t="str">
        <f>"MLEO """&amp;F34&amp;""" is part of LEO """&amp;VLOOKUP(D34,LEOs!A$1:E$12,2)&amp;""""</f>
        <v>MLEO "SUPERCONSTRUCTOR" is part of LEO "BASIC_INHERITANCE"</v>
      </c>
      <c r="K33" s="22"/>
    </row>
    <row r="34" spans="1:11" x14ac:dyDescent="0.2">
      <c r="A34" t="s">
        <v>188</v>
      </c>
      <c r="B34">
        <v>33</v>
      </c>
      <c r="C34">
        <v>4</v>
      </c>
      <c r="D34" s="7" t="s">
        <v>57</v>
      </c>
      <c r="E34" t="s">
        <v>16</v>
      </c>
      <c r="F34" t="s">
        <v>192</v>
      </c>
      <c r="G34" t="s">
        <v>193</v>
      </c>
      <c r="H34" s="65" t="b">
        <v>0</v>
      </c>
      <c r="I34" t="s">
        <v>58</v>
      </c>
      <c r="J34" t="str">
        <f>"MLEO """&amp;F34&amp;""" is part of LEO """&amp;VLOOKUP(D34,LEOs!A$1:E$12,2)&amp;""""</f>
        <v>MLEO "SUPERCONSTRUCTOR" is part of LEO "BASIC_INHERITANCE"</v>
      </c>
      <c r="K34" s="22"/>
    </row>
    <row r="35" spans="1:11" x14ac:dyDescent="0.2">
      <c r="A35" t="s">
        <v>282</v>
      </c>
      <c r="B35">
        <v>34</v>
      </c>
      <c r="C35">
        <v>4</v>
      </c>
      <c r="D35" s="7" t="s">
        <v>57</v>
      </c>
      <c r="E35" t="s">
        <v>16</v>
      </c>
      <c r="F35" t="s">
        <v>186</v>
      </c>
      <c r="G35" t="s">
        <v>420</v>
      </c>
      <c r="H35" s="65" t="b">
        <v>1</v>
      </c>
      <c r="I35" t="s">
        <v>58</v>
      </c>
      <c r="J35" t="str">
        <f>"MLEO """&amp;F35&amp;""" is part of LEO """&amp;VLOOKUP(D35,LEOs!A$1:E$12,2)&amp;""""</f>
        <v>MLEO "APPLY_BASIC_POLYMORPHISM" is part of LEO "BASIC_INHERITANCE"</v>
      </c>
      <c r="K35" s="22"/>
    </row>
    <row r="36" spans="1:11" x14ac:dyDescent="0.2">
      <c r="A36" t="s">
        <v>250</v>
      </c>
      <c r="B36">
        <v>35</v>
      </c>
      <c r="C36">
        <v>4</v>
      </c>
      <c r="D36" s="7" t="s">
        <v>77</v>
      </c>
      <c r="E36" t="s">
        <v>16</v>
      </c>
      <c r="F36" t="s">
        <v>245</v>
      </c>
      <c r="G36" t="s">
        <v>246</v>
      </c>
      <c r="H36" s="65" t="b">
        <v>1</v>
      </c>
      <c r="I36" t="s">
        <v>78</v>
      </c>
      <c r="J36" t="str">
        <f>"MLEO """&amp;F36&amp;""" is part of LEO """&amp;VLOOKUP(D36,LEOs!A$1:E$12,2)&amp;""""</f>
        <v>MLEO "IDENTIFY_GENERALIZATION" is part of LEO "CLASS_DIAGRAM"</v>
      </c>
      <c r="K36" s="22"/>
    </row>
    <row r="37" spans="1:11" x14ac:dyDescent="0.2">
      <c r="A37" s="7" t="s">
        <v>283</v>
      </c>
      <c r="B37">
        <v>36</v>
      </c>
      <c r="C37">
        <v>5</v>
      </c>
      <c r="D37" s="7" t="s">
        <v>54</v>
      </c>
      <c r="E37" t="s">
        <v>16</v>
      </c>
      <c r="F37" t="s">
        <v>284</v>
      </c>
      <c r="G37" t="s">
        <v>285</v>
      </c>
      <c r="H37" s="65" t="b">
        <v>0</v>
      </c>
      <c r="I37" t="s">
        <v>55</v>
      </c>
      <c r="J37" t="str">
        <f>"MLEO """&amp;F37&amp;""" is part of LEO """&amp;VLOOKUP(D37,LEOs!A$1:E$12,2)&amp;""""</f>
        <v>MLEO "JAVA_LOCALDATE" is part of LEO "CLASSES"</v>
      </c>
      <c r="K37" s="22"/>
    </row>
    <row r="38" spans="1:11" x14ac:dyDescent="0.2">
      <c r="A38" s="7" t="s">
        <v>286</v>
      </c>
      <c r="B38">
        <v>37</v>
      </c>
      <c r="C38">
        <v>5</v>
      </c>
      <c r="D38" s="7" t="s">
        <v>54</v>
      </c>
      <c r="E38" t="s">
        <v>16</v>
      </c>
      <c r="F38" t="s">
        <v>121</v>
      </c>
      <c r="G38" t="s">
        <v>122</v>
      </c>
      <c r="H38" s="65" t="b">
        <v>0</v>
      </c>
      <c r="I38" t="s">
        <v>55</v>
      </c>
      <c r="J38" t="str">
        <f>"MLEO """&amp;F38&amp;""" is part of LEO """&amp;VLOOKUP(D38,LEOs!A$1:E$12,2)&amp;""""</f>
        <v>MLEO "COMPARE_METHOD" is part of LEO "CLASSES"</v>
      </c>
      <c r="K38" s="22"/>
    </row>
    <row r="39" spans="1:11" x14ac:dyDescent="0.2">
      <c r="A39" s="7" t="s">
        <v>204</v>
      </c>
      <c r="B39">
        <v>38</v>
      </c>
      <c r="C39">
        <v>5</v>
      </c>
      <c r="D39" s="7" t="s">
        <v>63</v>
      </c>
      <c r="E39" s="110" t="s">
        <v>16</v>
      </c>
      <c r="F39" s="110" t="s">
        <v>205</v>
      </c>
      <c r="G39" s="110" t="s">
        <v>206</v>
      </c>
      <c r="H39" s="65" t="b">
        <v>1</v>
      </c>
      <c r="I39" s="110" t="s">
        <v>64</v>
      </c>
      <c r="J39" t="str">
        <f>"MLEO """&amp;F39&amp;""" is part of LEO """&amp;VLOOKUP(D39,LEOs!A$1:E$12,2)&amp;""""</f>
        <v>MLEO "ABSTRACT_CLASS" is part of LEO "ABSTRACT_INTERFACE"</v>
      </c>
      <c r="K39" s="22"/>
    </row>
    <row r="40" spans="1:11" x14ac:dyDescent="0.2">
      <c r="A40" s="7" t="s">
        <v>207</v>
      </c>
      <c r="B40">
        <v>39</v>
      </c>
      <c r="C40">
        <v>5</v>
      </c>
      <c r="D40" s="7" t="s">
        <v>63</v>
      </c>
      <c r="E40" s="110" t="s">
        <v>16</v>
      </c>
      <c r="F40" s="110" t="s">
        <v>287</v>
      </c>
      <c r="G40" s="110" t="s">
        <v>288</v>
      </c>
      <c r="H40" s="65" t="b">
        <v>1</v>
      </c>
      <c r="I40" s="110" t="s">
        <v>64</v>
      </c>
      <c r="J40" t="str">
        <f>"MLEO """&amp;F40&amp;""" is part of LEO """&amp;VLOOKUP(D40,LEOs!A$1:E$12,2)&amp;""""</f>
        <v>MLEO "INTERFACE" is part of LEO "ABSTRACT_INTERFACE"</v>
      </c>
      <c r="K40" s="22"/>
    </row>
    <row r="41" spans="1:11" x14ac:dyDescent="0.2">
      <c r="A41" s="7" t="s">
        <v>289</v>
      </c>
      <c r="B41">
        <v>40</v>
      </c>
      <c r="C41">
        <v>5</v>
      </c>
      <c r="D41" s="7" t="s">
        <v>63</v>
      </c>
      <c r="E41" s="110" t="s">
        <v>16</v>
      </c>
      <c r="F41" s="110" t="s">
        <v>208</v>
      </c>
      <c r="G41" s="110" t="s">
        <v>209</v>
      </c>
      <c r="H41" s="65" t="b">
        <v>1</v>
      </c>
      <c r="I41" s="110" t="s">
        <v>64</v>
      </c>
      <c r="J41" t="str">
        <f>"MLEO """&amp;F41&amp;""" is part of LEO """&amp;VLOOKUP(D41,LEOs!A$1:E$12,2)&amp;""""</f>
        <v>MLEO "COMPARABLE" is part of LEO "ABSTRACT_INTERFACE"</v>
      </c>
      <c r="K41" s="22"/>
    </row>
    <row r="42" spans="1:11" x14ac:dyDescent="0.2">
      <c r="A42" s="7" t="s">
        <v>191</v>
      </c>
      <c r="B42">
        <v>41</v>
      </c>
      <c r="C42">
        <v>5</v>
      </c>
      <c r="D42" s="7" t="s">
        <v>60</v>
      </c>
      <c r="E42" s="110" t="s">
        <v>16</v>
      </c>
      <c r="F42" s="110" t="s">
        <v>195</v>
      </c>
      <c r="G42" s="110" t="s">
        <v>196</v>
      </c>
      <c r="H42" s="65" t="b">
        <v>0</v>
      </c>
      <c r="I42" s="110" t="s">
        <v>61</v>
      </c>
      <c r="J42" t="str">
        <f>"MLEO """&amp;F42&amp;""" is part of LEO """&amp;VLOOKUP(D42,LEOs!A$1:E$12,2)&amp;""""</f>
        <v>MLEO "CONVERSION_CONSTRUCTOR" is part of LEO "INHERITANCE"</v>
      </c>
      <c r="K42" s="22"/>
    </row>
    <row r="43" spans="1:11" x14ac:dyDescent="0.2">
      <c r="A43" s="7" t="s">
        <v>194</v>
      </c>
      <c r="B43">
        <v>42</v>
      </c>
      <c r="C43">
        <v>5</v>
      </c>
      <c r="D43" s="7" t="s">
        <v>60</v>
      </c>
      <c r="E43" s="110" t="s">
        <v>16</v>
      </c>
      <c r="F43" s="110" t="s">
        <v>201</v>
      </c>
      <c r="G43" s="110" t="s">
        <v>290</v>
      </c>
      <c r="H43" s="65" t="b">
        <v>0</v>
      </c>
      <c r="I43" s="110" t="s">
        <v>61</v>
      </c>
      <c r="J43" t="str">
        <f>"MLEO """&amp;F43&amp;""" is part of LEO """&amp;VLOOKUP(D43,LEOs!A$1:E$12,2)&amp;""""</f>
        <v>MLEO "APPLY_POLYMORPHISM" is part of LEO "INHERITANCE"</v>
      </c>
      <c r="K43" s="22"/>
    </row>
    <row r="44" spans="1:11" x14ac:dyDescent="0.2">
      <c r="A44" t="s">
        <v>291</v>
      </c>
      <c r="B44">
        <v>43</v>
      </c>
      <c r="C44">
        <v>6</v>
      </c>
      <c r="D44" s="7" t="s">
        <v>66</v>
      </c>
      <c r="E44" s="110" t="s">
        <v>16</v>
      </c>
      <c r="F44" s="110" t="s">
        <v>212</v>
      </c>
      <c r="G44" s="110" t="s">
        <v>213</v>
      </c>
      <c r="H44" s="65" t="b">
        <v>1</v>
      </c>
      <c r="I44" s="110" t="s">
        <v>67</v>
      </c>
      <c r="J44" t="str">
        <f>"MLEO """&amp;F44&amp;""" is part of LEO """&amp;VLOOKUP(D44,LEOs!A$1:E$12,2)&amp;""""</f>
        <v>MLEO "GENERIC_LISTS" is part of LEO "COLLECTIONS_GENERICS"</v>
      </c>
      <c r="K44" s="22"/>
    </row>
    <row r="45" spans="1:11" x14ac:dyDescent="0.2">
      <c r="A45" t="s">
        <v>292</v>
      </c>
      <c r="B45">
        <v>44</v>
      </c>
      <c r="C45">
        <v>6</v>
      </c>
      <c r="D45" s="7" t="s">
        <v>66</v>
      </c>
      <c r="E45" s="110" t="s">
        <v>16</v>
      </c>
      <c r="F45" s="110" t="s">
        <v>215</v>
      </c>
      <c r="G45" s="110" t="s">
        <v>216</v>
      </c>
      <c r="H45" s="65" t="b">
        <v>0</v>
      </c>
      <c r="I45" s="110" t="s">
        <v>67</v>
      </c>
      <c r="J45" t="str">
        <f>"MLEO """&amp;F45&amp;""" is part of LEO """&amp;VLOOKUP(D45,LEOs!A$1:E$12,2)&amp;""""</f>
        <v>MLEO "GENERIC_MAPS" is part of LEO "COLLECTIONS_GENERICS"</v>
      </c>
      <c r="K45" s="22"/>
    </row>
    <row r="46" spans="1:11" x14ac:dyDescent="0.2">
      <c r="A46" t="s">
        <v>293</v>
      </c>
      <c r="B46">
        <v>45</v>
      </c>
      <c r="C46">
        <v>6</v>
      </c>
      <c r="D46" s="7" t="s">
        <v>66</v>
      </c>
      <c r="E46" s="110" t="s">
        <v>16</v>
      </c>
      <c r="F46" s="110" t="s">
        <v>218</v>
      </c>
      <c r="G46" s="110" t="s">
        <v>219</v>
      </c>
      <c r="H46" s="65" t="b">
        <v>0</v>
      </c>
      <c r="I46" s="110" t="s">
        <v>67</v>
      </c>
      <c r="J46" t="str">
        <f>"MLEO """&amp;F46&amp;""" is part of LEO """&amp;VLOOKUP(D46,LEOs!A$1:E$12,2)&amp;""""</f>
        <v>MLEO "ONE_TO_N" is part of LEO "COLLECTIONS_GENERICS"</v>
      </c>
      <c r="K46" s="22"/>
    </row>
    <row r="47" spans="1:11" x14ac:dyDescent="0.2">
      <c r="A47" t="s">
        <v>294</v>
      </c>
      <c r="B47">
        <v>46</v>
      </c>
      <c r="C47">
        <v>6</v>
      </c>
      <c r="D47" s="7" t="s">
        <v>66</v>
      </c>
      <c r="E47" s="110" t="s">
        <v>16</v>
      </c>
      <c r="F47" s="110" t="s">
        <v>221</v>
      </c>
      <c r="G47" s="110" t="s">
        <v>222</v>
      </c>
      <c r="H47" s="65" t="b">
        <v>0</v>
      </c>
      <c r="I47" s="110" t="s">
        <v>67</v>
      </c>
      <c r="J47" t="str">
        <f>"MLEO """&amp;F47&amp;""" is part of LEO """&amp;VLOOKUP(D47,LEOs!A$1:E$12,2)&amp;""""</f>
        <v>MLEO "N_TO_M" is part of LEO "COLLECTIONS_GENERICS"</v>
      </c>
      <c r="K47" s="22"/>
    </row>
    <row r="48" spans="1:11" ht="16" x14ac:dyDescent="0.2">
      <c r="A48" t="s">
        <v>295</v>
      </c>
      <c r="B48">
        <v>47</v>
      </c>
      <c r="C48">
        <v>6</v>
      </c>
      <c r="D48" s="7" t="s">
        <v>66</v>
      </c>
      <c r="E48" t="s">
        <v>16</v>
      </c>
      <c r="F48" s="77" t="s">
        <v>296</v>
      </c>
      <c r="G48" s="64" t="s">
        <v>297</v>
      </c>
      <c r="H48" s="65" t="b">
        <v>0</v>
      </c>
      <c r="I48" t="s">
        <v>67</v>
      </c>
      <c r="J48" t="str">
        <f>"MLEO """&amp;F48&amp;""" is part of LEO """&amp;VLOOKUP(D48,LEOs!A$1:E$12,2)&amp;""""</f>
        <v>MLEO "STREAMS_LAMBDAS_AND_METHOD_REFERENCES" is part of LEO "COLLECTIONS_GENERICS"</v>
      </c>
      <c r="K48" s="22"/>
    </row>
    <row r="49" spans="1:11" x14ac:dyDescent="0.2">
      <c r="A49" t="s">
        <v>298</v>
      </c>
      <c r="B49">
        <v>48</v>
      </c>
      <c r="C49">
        <v>7</v>
      </c>
      <c r="D49" s="7" t="s">
        <v>66</v>
      </c>
      <c r="E49" t="s">
        <v>16</v>
      </c>
      <c r="F49" t="s">
        <v>224</v>
      </c>
      <c r="G49" t="s">
        <v>299</v>
      </c>
      <c r="H49" s="65" t="b">
        <v>0</v>
      </c>
      <c r="I49" t="s">
        <v>67</v>
      </c>
      <c r="J49" t="str">
        <f>"MLEO """&amp;F49&amp;""" is part of LEO """&amp;VLOOKUP(D49,LEOs!A$1:E$12,2)&amp;""""</f>
        <v>MLEO "CUSTOM_CONTAINER" is part of LEO "COLLECTIONS_GENERICS"</v>
      </c>
      <c r="K49" s="22"/>
    </row>
    <row r="50" spans="1:11" x14ac:dyDescent="0.2">
      <c r="A50" t="s">
        <v>211</v>
      </c>
      <c r="B50">
        <v>49</v>
      </c>
      <c r="C50">
        <v>8</v>
      </c>
      <c r="D50" t="s">
        <v>69</v>
      </c>
      <c r="E50" t="s">
        <v>16</v>
      </c>
      <c r="F50" t="s">
        <v>300</v>
      </c>
      <c r="G50" t="s">
        <v>301</v>
      </c>
      <c r="H50" s="65" t="b">
        <v>0</v>
      </c>
      <c r="I50" t="s">
        <v>70</v>
      </c>
      <c r="J50" t="str">
        <f>"MLEO """&amp;F50&amp;""" is part of LEO """&amp;VLOOKUP(D50,LEOs!A$1:E$12,2)&amp;""""</f>
        <v>MLEO "EXCEPTION_TYPES" is part of LEO "EXCEPTIONS"</v>
      </c>
      <c r="K50" s="22"/>
    </row>
    <row r="51" spans="1:11" x14ac:dyDescent="0.2">
      <c r="A51" t="s">
        <v>214</v>
      </c>
      <c r="B51">
        <v>50</v>
      </c>
      <c r="C51">
        <v>8</v>
      </c>
      <c r="D51" t="s">
        <v>69</v>
      </c>
      <c r="E51" t="s">
        <v>16</v>
      </c>
      <c r="F51" t="s">
        <v>302</v>
      </c>
      <c r="G51" t="s">
        <v>303</v>
      </c>
      <c r="H51" s="65" t="b">
        <v>0</v>
      </c>
      <c r="I51" t="s">
        <v>70</v>
      </c>
      <c r="J51" t="str">
        <f>"MLEO """&amp;F51&amp;""" is part of LEO """&amp;VLOOKUP(D51,LEOs!A$1:E$12,2)&amp;""""</f>
        <v>MLEO "CUSTOM_EXCEPTION" is part of LEO "EXCEPTIONS"</v>
      </c>
      <c r="K51" s="22"/>
    </row>
    <row r="52" spans="1:11" x14ac:dyDescent="0.2">
      <c r="A52" t="s">
        <v>217</v>
      </c>
      <c r="B52">
        <v>51</v>
      </c>
      <c r="C52">
        <v>8</v>
      </c>
      <c r="D52" t="s">
        <v>69</v>
      </c>
      <c r="E52" t="s">
        <v>16</v>
      </c>
      <c r="F52" t="s">
        <v>304</v>
      </c>
      <c r="G52" t="s">
        <v>305</v>
      </c>
      <c r="H52" s="65" t="b">
        <v>1</v>
      </c>
      <c r="I52" t="s">
        <v>70</v>
      </c>
      <c r="J52" t="str">
        <f>"MLEO """&amp;F52&amp;""" is part of LEO """&amp;VLOOKUP(D52,LEOs!A$1:E$12,2)&amp;""""</f>
        <v>MLEO "THROW_EXCEPTION" is part of LEO "EXCEPTIONS"</v>
      </c>
      <c r="K52" s="22"/>
    </row>
    <row r="53" spans="1:11" x14ac:dyDescent="0.2">
      <c r="A53" t="s">
        <v>220</v>
      </c>
      <c r="B53">
        <v>52</v>
      </c>
      <c r="C53">
        <v>8</v>
      </c>
      <c r="D53" t="s">
        <v>69</v>
      </c>
      <c r="E53" t="s">
        <v>16</v>
      </c>
      <c r="F53" t="s">
        <v>306</v>
      </c>
      <c r="G53" t="s">
        <v>307</v>
      </c>
      <c r="H53" s="65" t="b">
        <v>1</v>
      </c>
      <c r="I53" t="s">
        <v>70</v>
      </c>
      <c r="J53" t="str">
        <f>"MLEO """&amp;F53&amp;""" is part of LEO """&amp;VLOOKUP(D53,LEOs!A$1:E$12,2)&amp;""""</f>
        <v>MLEO "HANDLE_EXCEPTION" is part of LEO "EXCEPTIONS"</v>
      </c>
      <c r="K53" s="22"/>
    </row>
    <row r="54" spans="1:11" x14ac:dyDescent="0.2">
      <c r="A54" t="s">
        <v>308</v>
      </c>
      <c r="B54">
        <v>53</v>
      </c>
      <c r="C54">
        <v>9</v>
      </c>
      <c r="D54" t="s">
        <v>72</v>
      </c>
      <c r="E54" t="s">
        <v>16</v>
      </c>
      <c r="F54" t="s">
        <v>227</v>
      </c>
      <c r="G54" t="s">
        <v>228</v>
      </c>
      <c r="H54" s="65" t="b">
        <v>0</v>
      </c>
      <c r="I54" t="s">
        <v>73</v>
      </c>
      <c r="J54" t="str">
        <f>"MLEO """&amp;F54&amp;""" is part of LEO """&amp;VLOOKUP(D54,LEOs!A$1:E$12,2)&amp;""""</f>
        <v>MLEO "WRITE_TEXTUAL_DATA" is part of LEO "FILE_IO"</v>
      </c>
      <c r="K54" s="22"/>
    </row>
    <row r="55" spans="1:11" x14ac:dyDescent="0.2">
      <c r="A55" t="s">
        <v>309</v>
      </c>
      <c r="B55">
        <v>54</v>
      </c>
      <c r="C55">
        <v>9</v>
      </c>
      <c r="D55" t="s">
        <v>72</v>
      </c>
      <c r="E55" t="s">
        <v>16</v>
      </c>
      <c r="F55" t="s">
        <v>230</v>
      </c>
      <c r="G55" t="s">
        <v>231</v>
      </c>
      <c r="H55" s="65" t="b">
        <v>0</v>
      </c>
      <c r="I55" t="s">
        <v>73</v>
      </c>
      <c r="J55" t="str">
        <f>"MLEO """&amp;F55&amp;""" is part of LEO """&amp;VLOOKUP(D55,LEOs!A$1:E$12,2)&amp;""""</f>
        <v>MLEO "READ_TEXTUAL_DATA" is part of LEO "FILE_IO"</v>
      </c>
      <c r="K55" s="22"/>
    </row>
    <row r="56" spans="1:11" x14ac:dyDescent="0.2">
      <c r="A56" t="s">
        <v>226</v>
      </c>
      <c r="B56">
        <v>55</v>
      </c>
      <c r="C56">
        <v>10</v>
      </c>
      <c r="D56" t="s">
        <v>75</v>
      </c>
      <c r="E56" t="s">
        <v>16</v>
      </c>
      <c r="F56" t="s">
        <v>233</v>
      </c>
      <c r="G56" t="s">
        <v>234</v>
      </c>
      <c r="H56" s="65" t="b">
        <v>1</v>
      </c>
      <c r="I56" t="s">
        <v>46</v>
      </c>
      <c r="J56" t="str">
        <f>"MLEO """&amp;F56&amp;""" is part of LEO """&amp;VLOOKUP(D56,LEOs!A$1:E$12,2)&amp;""""</f>
        <v>MLEO "UNIT_TEST_METHOD" is part of LEO "TESTING"</v>
      </c>
      <c r="K56" s="22"/>
    </row>
    <row r="57" spans="1:11" x14ac:dyDescent="0.2">
      <c r="A57" t="s">
        <v>229</v>
      </c>
      <c r="B57">
        <v>56</v>
      </c>
      <c r="C57">
        <v>10</v>
      </c>
      <c r="D57" t="s">
        <v>75</v>
      </c>
      <c r="E57" t="s">
        <v>16</v>
      </c>
      <c r="F57" t="s">
        <v>236</v>
      </c>
      <c r="G57" t="s">
        <v>237</v>
      </c>
      <c r="H57" s="65" t="b">
        <v>0</v>
      </c>
      <c r="I57" t="s">
        <v>46</v>
      </c>
      <c r="J57" t="str">
        <f>"MLEO """&amp;F57&amp;""" is part of LEO """&amp;VLOOKUP(D57,LEOs!A$1:E$12,2)&amp;""""</f>
        <v>MLEO "UNIT_TEST" is part of LEO "TESTING"</v>
      </c>
      <c r="K57" s="22"/>
    </row>
    <row r="58" spans="1:11" x14ac:dyDescent="0.2">
      <c r="A58" t="s">
        <v>253</v>
      </c>
      <c r="B58">
        <v>57</v>
      </c>
      <c r="C58">
        <v>11</v>
      </c>
      <c r="D58" t="s">
        <v>80</v>
      </c>
      <c r="E58" t="s">
        <v>16</v>
      </c>
      <c r="F58" t="s">
        <v>254</v>
      </c>
      <c r="G58" t="s">
        <v>255</v>
      </c>
      <c r="H58" s="65" t="b">
        <v>1</v>
      </c>
      <c r="I58" t="s">
        <v>81</v>
      </c>
      <c r="J58" t="str">
        <f>"MLEO """&amp;F58&amp;""" is part of LEO """&amp;VLOOKUP(D58,LEOs!A$1:E$12,2)&amp;""""</f>
        <v>MLEO "IDENTIFY_ACTORS" is part of LEO "SEQUENCE_DIAGRAM"</v>
      </c>
      <c r="K58" s="22"/>
    </row>
    <row r="59" spans="1:11" x14ac:dyDescent="0.2">
      <c r="A59" t="s">
        <v>256</v>
      </c>
      <c r="B59">
        <v>58</v>
      </c>
      <c r="C59">
        <v>11</v>
      </c>
      <c r="D59" t="s">
        <v>80</v>
      </c>
      <c r="E59" t="s">
        <v>16</v>
      </c>
      <c r="F59" t="s">
        <v>257</v>
      </c>
      <c r="G59" t="s">
        <v>258</v>
      </c>
      <c r="H59" s="65" t="b">
        <v>1</v>
      </c>
      <c r="I59" t="s">
        <v>81</v>
      </c>
      <c r="J59" t="str">
        <f>"MLEO """&amp;F59&amp;""" is part of LEO """&amp;VLOOKUP(D59,LEOs!A$1:E$12,2)&amp;""""</f>
        <v>MLEO "IDENTIFY_MESSAGES" is part of LEO "SEQUENCE_DIAGRAM"</v>
      </c>
      <c r="K59" s="22"/>
    </row>
    <row r="60" spans="1:11" x14ac:dyDescent="0.2">
      <c r="A60" t="s">
        <v>259</v>
      </c>
      <c r="B60">
        <v>59</v>
      </c>
      <c r="C60">
        <v>11</v>
      </c>
      <c r="D60" t="s">
        <v>80</v>
      </c>
      <c r="E60" t="s">
        <v>16</v>
      </c>
      <c r="F60" t="s">
        <v>260</v>
      </c>
      <c r="G60" t="s">
        <v>261</v>
      </c>
      <c r="H60" s="65" t="b">
        <v>1</v>
      </c>
      <c r="I60" t="s">
        <v>81</v>
      </c>
      <c r="J60" t="str">
        <f>"MLEO """&amp;F60&amp;""" is part of LEO """&amp;VLOOKUP(D60,LEOs!A$1:E$12,2)&amp;""""</f>
        <v>MLEO "IDENTIFY_ACTIVATIONS" is part of LEO "SEQUENCE_DIAGRAM"</v>
      </c>
      <c r="K60" s="22"/>
    </row>
    <row r="61" spans="1:11" x14ac:dyDescent="0.2">
      <c r="A61" t="s">
        <v>262</v>
      </c>
      <c r="B61">
        <v>60</v>
      </c>
      <c r="C61">
        <v>11</v>
      </c>
      <c r="D61" t="s">
        <v>80</v>
      </c>
      <c r="E61" t="s">
        <v>16</v>
      </c>
      <c r="F61" t="s">
        <v>263</v>
      </c>
      <c r="G61" t="s">
        <v>264</v>
      </c>
      <c r="H61" s="65" t="b">
        <v>0</v>
      </c>
      <c r="I61" t="s">
        <v>81</v>
      </c>
      <c r="J61" t="str">
        <f>"MLEO """&amp;F61&amp;""" is part of LEO """&amp;VLOOKUP(D61,LEOs!A$1:E$12,2)&amp;""""</f>
        <v>MLEO "IDENTIFY_FRAGMENTS" is part of LEO "SEQUENCE_DIAGRAM"</v>
      </c>
      <c r="K61" s="22"/>
    </row>
    <row r="62" spans="1:11" x14ac:dyDescent="0.2">
      <c r="A62" s="7"/>
      <c r="D62" s="7"/>
      <c r="E62" s="110"/>
      <c r="F62" s="7"/>
      <c r="G62" s="7"/>
      <c r="H62" s="7"/>
      <c r="I62" s="7" t="e">
        <f>VLOOKUP(D62,LEOs!A$1:E$12,2)</f>
        <v>#N/A</v>
      </c>
      <c r="J62" s="4" t="e">
        <f>"MLEO """&amp;F62&amp;""" is part of LEO """&amp;VLOOKUP(D62,LEOs!A$1:E$12,2)&amp;""""</f>
        <v>#N/A</v>
      </c>
      <c r="K62" s="22"/>
    </row>
    <row r="63" spans="1:11" x14ac:dyDescent="0.2">
      <c r="A63" s="7"/>
      <c r="D63" s="7"/>
      <c r="E63" s="110"/>
      <c r="F63" s="7"/>
      <c r="G63" s="7"/>
      <c r="H63" s="7"/>
      <c r="I63" s="7" t="e">
        <f>VLOOKUP(D63,LEOs!A$1:E$12,2)</f>
        <v>#N/A</v>
      </c>
      <c r="J63" s="4" t="e">
        <f>"MLEO """&amp;F63&amp;""" is part of LEO """&amp;VLOOKUP(D63,LEOs!A$1:E$12,2)&amp;""""</f>
        <v>#N/A</v>
      </c>
      <c r="K63" s="22"/>
    </row>
    <row r="64" spans="1:11" x14ac:dyDescent="0.2">
      <c r="A64" s="7"/>
      <c r="I64" t="e">
        <f>VLOOKUP(D64,LEOs!A$1:E$12,2)</f>
        <v>#N/A</v>
      </c>
      <c r="J64" s="4" t="e">
        <f>"MLEO """&amp;F64&amp;""" is part of LEO """&amp;VLOOKUP(D64,LEOs!A$1:E$12,2)&amp;""""</f>
        <v>#N/A</v>
      </c>
      <c r="K64" s="22"/>
    </row>
    <row r="65" spans="1:11" x14ac:dyDescent="0.2">
      <c r="A65" s="7"/>
      <c r="I65" t="e">
        <f>VLOOKUP(D65,LEOs!A$1:E$12,2)</f>
        <v>#N/A</v>
      </c>
      <c r="J65" s="4" t="e">
        <f>"MLEO """&amp;F65&amp;""" is part of LEO """&amp;VLOOKUP(D65,LEOs!A$1:E$12,2)&amp;""""</f>
        <v>#N/A</v>
      </c>
      <c r="K65" s="22"/>
    </row>
    <row r="66" spans="1:11" x14ac:dyDescent="0.2">
      <c r="A66" s="7"/>
      <c r="G66" s="7"/>
      <c r="H66" s="7"/>
      <c r="I66" t="e">
        <f>VLOOKUP(D66,LEOs!A$1:E$12,2)</f>
        <v>#N/A</v>
      </c>
      <c r="J66" s="4" t="e">
        <f>"MLEO """&amp;F66&amp;""" is part of LEO """&amp;VLOOKUP(D66,LEOs!A$1:E$12,2)&amp;""""</f>
        <v>#N/A</v>
      </c>
      <c r="K66" s="22"/>
    </row>
    <row r="67" spans="1:11" x14ac:dyDescent="0.2">
      <c r="A67" s="7"/>
      <c r="D67" s="7"/>
      <c r="E67" s="110"/>
      <c r="F67" s="7"/>
      <c r="G67" s="7"/>
      <c r="H67" s="7"/>
      <c r="I67" s="7" t="e">
        <f>VLOOKUP(D67,LEOs!A$1:E$12,2)</f>
        <v>#N/A</v>
      </c>
      <c r="J67" s="4" t="e">
        <f>"MLEO """&amp;F67&amp;""" is part of LEO """&amp;VLOOKUP(D67,LEOs!A$1:E$12,2)&amp;""""</f>
        <v>#N/A</v>
      </c>
      <c r="K67" s="22"/>
    </row>
    <row r="68" spans="1:11" x14ac:dyDescent="0.2">
      <c r="A68" s="7"/>
      <c r="D68" s="7"/>
      <c r="E68" s="110"/>
      <c r="F68" s="7"/>
      <c r="G68" s="7"/>
      <c r="H68" s="7"/>
      <c r="I68" s="7" t="e">
        <f>VLOOKUP(D68,LEOs!A$1:E$12,2)</f>
        <v>#N/A</v>
      </c>
      <c r="J68" s="4" t="e">
        <f>"MLEO """&amp;F68&amp;""" is part of LEO """&amp;VLOOKUP(D68,LEOs!A$1:E$12,2)&amp;""""</f>
        <v>#N/A</v>
      </c>
      <c r="K68" s="22"/>
    </row>
    <row r="69" spans="1:11" x14ac:dyDescent="0.2">
      <c r="A69" s="7"/>
      <c r="D69" s="7"/>
      <c r="E69" s="110"/>
      <c r="F69" s="7"/>
      <c r="G69" s="7"/>
      <c r="H69" s="7"/>
      <c r="I69" s="7" t="e">
        <f>VLOOKUP(D69,LEOs!A$1:E$12,2)</f>
        <v>#N/A</v>
      </c>
      <c r="J69" s="4" t="e">
        <f>"MLEO """&amp;F69&amp;""" is part of LEO """&amp;VLOOKUP(D69,LEOs!A$1:E$12,2)&amp;""""</f>
        <v>#N/A</v>
      </c>
      <c r="K69" s="22"/>
    </row>
    <row r="70" spans="1:11" x14ac:dyDescent="0.2">
      <c r="I70" t="e">
        <f>VLOOKUP(D70,LEOs!A$1:E$12,2)</f>
        <v>#N/A</v>
      </c>
      <c r="J70" s="4" t="e">
        <f>"MLEO """&amp;F70&amp;""" is part of LEO """&amp;VLOOKUP(D70,LEOs!A$1:E$12,2)&amp;""""</f>
        <v>#N/A</v>
      </c>
      <c r="K70" s="22"/>
    </row>
    <row r="71" spans="1:11" x14ac:dyDescent="0.2">
      <c r="I71" t="e">
        <f>VLOOKUP(D71,LEOs!A$1:E$12,2)</f>
        <v>#N/A</v>
      </c>
      <c r="J71" s="4" t="e">
        <f>"MLEO """&amp;F71&amp;""" is part of LEO """&amp;VLOOKUP(D71,LEOs!A$1:E$12,2)&amp;""""</f>
        <v>#N/A</v>
      </c>
      <c r="K71" s="22"/>
    </row>
    <row r="72" spans="1:11" x14ac:dyDescent="0.2">
      <c r="I72" t="e">
        <f>VLOOKUP(D72,LEOs!A$1:E$12,2)</f>
        <v>#N/A</v>
      </c>
      <c r="J72" s="4" t="e">
        <f>"MLEO """&amp;F72&amp;""" is part of LEO """&amp;VLOOKUP(D72,LEOs!A$1:E$12,2)&amp;""""</f>
        <v>#N/A</v>
      </c>
      <c r="K72" s="22"/>
    </row>
    <row r="73" spans="1:11" x14ac:dyDescent="0.2">
      <c r="G73" s="7"/>
      <c r="H73" s="7"/>
      <c r="I73" t="e">
        <f>VLOOKUP(D73,LEOs!A$1:E$12,2)</f>
        <v>#N/A</v>
      </c>
      <c r="J73" s="4" t="e">
        <f>"MLEO """&amp;F73&amp;""" is part of LEO """&amp;VLOOKUP(D73,LEOs!A$1:E$12,2)&amp;""""</f>
        <v>#N/A</v>
      </c>
      <c r="K73" s="22"/>
    </row>
    <row r="74" spans="1:11" x14ac:dyDescent="0.2">
      <c r="I74" t="e">
        <f>VLOOKUP(D74,LEOs!A$1:E$12,2)</f>
        <v>#N/A</v>
      </c>
      <c r="J74" s="4" t="e">
        <f>"MLEO """&amp;F74&amp;""" is part of LEO """&amp;VLOOKUP(D74,LEOs!A$1:E$12,2)&amp;""""</f>
        <v>#N/A</v>
      </c>
      <c r="K74" s="22"/>
    </row>
    <row r="75" spans="1:11" x14ac:dyDescent="0.2">
      <c r="I75" t="e">
        <f>VLOOKUP(D75,LEOs!A$1:E$12,2)</f>
        <v>#N/A</v>
      </c>
      <c r="J75" s="4" t="e">
        <f>"MLEO """&amp;F75&amp;""" is part of LEO """&amp;VLOOKUP(D75,LEOs!A$1:E$12,2)&amp;""""</f>
        <v>#N/A</v>
      </c>
      <c r="K75" s="22"/>
    </row>
    <row r="76" spans="1:11" x14ac:dyDescent="0.2">
      <c r="G76" s="25"/>
      <c r="I76" t="e">
        <f>VLOOKUP(D76,LEOs!A$1:E$12,2)</f>
        <v>#N/A</v>
      </c>
      <c r="J76" s="4" t="e">
        <f>"MLEO """&amp;F76&amp;""" is part of LEO """&amp;VLOOKUP(D76,LEOs!A$1:E$12,2)&amp;""""</f>
        <v>#N/A</v>
      </c>
      <c r="K76" s="22"/>
    </row>
    <row r="77" spans="1:11" x14ac:dyDescent="0.2">
      <c r="G77" s="7"/>
      <c r="H77" s="7"/>
      <c r="I77" t="e">
        <f>VLOOKUP(D77,LEOs!A$1:E$12,2)</f>
        <v>#N/A</v>
      </c>
      <c r="J77" s="4" t="e">
        <f>"MLEO """&amp;F77&amp;""" is part of LEO """&amp;VLOOKUP(D77,LEOs!A$1:E$12,2)&amp;""""</f>
        <v>#N/A</v>
      </c>
      <c r="K77" s="22"/>
    </row>
    <row r="78" spans="1:11" x14ac:dyDescent="0.2">
      <c r="I78" t="e">
        <f>VLOOKUP(D78,LEOs!A$1:E$12,2)</f>
        <v>#N/A</v>
      </c>
      <c r="J78" s="4" t="e">
        <f>"MLEO """&amp;F78&amp;""" is part of LEO """&amp;VLOOKUP(D78,LEOs!A$1:E$12,2)&amp;""""</f>
        <v>#N/A</v>
      </c>
      <c r="K78" s="22"/>
    </row>
    <row r="79" spans="1:11" x14ac:dyDescent="0.2">
      <c r="I79" t="e">
        <f>VLOOKUP(D79,LEOs!A$1:E$12,2)</f>
        <v>#N/A</v>
      </c>
      <c r="J79" s="4" t="e">
        <f>"MLEO """&amp;F79&amp;""" is part of LEO """&amp;VLOOKUP(D79,LEOs!A$1:E$12,2)&amp;""""</f>
        <v>#N/A</v>
      </c>
      <c r="K79" s="22"/>
    </row>
    <row r="80" spans="1:11" x14ac:dyDescent="0.2">
      <c r="I80" t="e">
        <f>VLOOKUP(D80,LEOs!A$1:E$12,2)</f>
        <v>#N/A</v>
      </c>
      <c r="J80" s="4" t="e">
        <f>"MLEO """&amp;F80&amp;""" is part of LEO """&amp;VLOOKUP(D80,LEOs!A$1:E$12,2)&amp;""""</f>
        <v>#N/A</v>
      </c>
      <c r="K80" s="22"/>
    </row>
    <row r="81" spans="7:11" x14ac:dyDescent="0.2">
      <c r="I81" t="e">
        <f>VLOOKUP(D81,LEOs!A$1:E$12,2)</f>
        <v>#N/A</v>
      </c>
      <c r="J81" s="4" t="e">
        <f>"MLEO """&amp;F81&amp;""" is part of LEO """&amp;VLOOKUP(D81,LEOs!A$1:E$12,2)&amp;""""</f>
        <v>#N/A</v>
      </c>
      <c r="K81" s="22"/>
    </row>
    <row r="82" spans="7:11" x14ac:dyDescent="0.2">
      <c r="I82" t="e">
        <f>VLOOKUP(D82,LEOs!A$1:E$12,2)</f>
        <v>#N/A</v>
      </c>
      <c r="J82" s="4" t="e">
        <f>"MLEO """&amp;F82&amp;""" is part of LEO """&amp;VLOOKUP(D82,LEOs!A$1:E$12,2)&amp;""""</f>
        <v>#N/A</v>
      </c>
      <c r="K82" s="22"/>
    </row>
    <row r="83" spans="7:11" x14ac:dyDescent="0.2">
      <c r="G83" s="18"/>
      <c r="H83" s="7"/>
      <c r="I83" t="e">
        <f>VLOOKUP(D83,LEOs!A$1:E$12,2)</f>
        <v>#N/A</v>
      </c>
      <c r="J83" s="4" t="e">
        <f>"MLEO """&amp;F83&amp;""" is part of LEO """&amp;VLOOKUP(D83,LEOs!A$1:E$12,2)&amp;""""</f>
        <v>#N/A</v>
      </c>
      <c r="K83" s="22"/>
    </row>
    <row r="84" spans="7:11" x14ac:dyDescent="0.2">
      <c r="G84" s="7"/>
      <c r="H84" s="7"/>
      <c r="I84" t="e">
        <f>VLOOKUP(D84,LEOs!A$1:E$12,2)</f>
        <v>#N/A</v>
      </c>
      <c r="J84" s="4" t="e">
        <f>"MLEO """&amp;F84&amp;""" is part of LEO """&amp;VLOOKUP(D84,LEOs!A$1:E$12,2)&amp;""""</f>
        <v>#N/A</v>
      </c>
      <c r="K84" s="22"/>
    </row>
    <row r="85" spans="7:11" x14ac:dyDescent="0.2">
      <c r="I85" t="e">
        <f>VLOOKUP(D85,LEOs!A$1:E$12,2)</f>
        <v>#N/A</v>
      </c>
      <c r="J85" s="4" t="e">
        <f>"MLEO """&amp;F85&amp;""" is part of LEO """&amp;VLOOKUP(D85,LEOs!A$1:E$12,2)&amp;""""</f>
        <v>#N/A</v>
      </c>
      <c r="K85" s="22"/>
    </row>
    <row r="86" spans="7:11" x14ac:dyDescent="0.2">
      <c r="I86" t="e">
        <f>VLOOKUP(D86,LEOs!A$1:E$12,2)</f>
        <v>#N/A</v>
      </c>
      <c r="J86" s="4" t="e">
        <f>"MLEO """&amp;F86&amp;""" is part of LEO """&amp;VLOOKUP(D86,LEOs!A$1:E$12,2)&amp;""""</f>
        <v>#N/A</v>
      </c>
      <c r="K86" s="22"/>
    </row>
    <row r="87" spans="7:11" x14ac:dyDescent="0.2">
      <c r="G87" s="7"/>
      <c r="H87" s="7"/>
      <c r="I87" t="e">
        <f>VLOOKUP(D87,LEOs!A$1:E$12,2)</f>
        <v>#N/A</v>
      </c>
      <c r="J87" s="4" t="e">
        <f>"MLEO """&amp;F87&amp;""" is part of LEO """&amp;VLOOKUP(D87,LEOs!A$1:E$12,2)&amp;""""</f>
        <v>#N/A</v>
      </c>
      <c r="K87" s="22"/>
    </row>
    <row r="88" spans="7:11" x14ac:dyDescent="0.2">
      <c r="I88" t="e">
        <f>VLOOKUP(D88,LEOs!A$1:E$12,2)</f>
        <v>#N/A</v>
      </c>
      <c r="J88" s="4" t="e">
        <f>"MLEO """&amp;F88&amp;""" is part of LEO """&amp;VLOOKUP(D88,LEOs!A$1:E$12,2)&amp;""""</f>
        <v>#N/A</v>
      </c>
      <c r="K88" s="22"/>
    </row>
    <row r="89" spans="7:11" x14ac:dyDescent="0.2">
      <c r="I89" t="e">
        <f>VLOOKUP(D89,LEOs!A$1:E$12,2)</f>
        <v>#N/A</v>
      </c>
      <c r="J89" s="4" t="e">
        <f>"MLEO """&amp;F89&amp;""" is part of LEO """&amp;VLOOKUP(D89,LEOs!A$1:E$12,2)&amp;""""</f>
        <v>#N/A</v>
      </c>
      <c r="K89" s="22"/>
    </row>
    <row r="90" spans="7:11" x14ac:dyDescent="0.2">
      <c r="I90" t="e">
        <f>VLOOKUP(D90,LEOs!A$1:E$12,2)</f>
        <v>#N/A</v>
      </c>
      <c r="J90" s="4" t="e">
        <f>"MLEO """&amp;F90&amp;""" is part of LEO """&amp;VLOOKUP(D90,LEOs!A$1:E$12,2)&amp;""""</f>
        <v>#N/A</v>
      </c>
      <c r="K90" s="22"/>
    </row>
    <row r="91" spans="7:11" x14ac:dyDescent="0.2">
      <c r="I91" t="e">
        <f>VLOOKUP(D91,LEOs!A$1:E$12,2)</f>
        <v>#N/A</v>
      </c>
      <c r="J91" s="4" t="e">
        <f>"MLEO """&amp;F91&amp;""" is part of LEO """&amp;VLOOKUP(D91,LEOs!A$1:E$12,2)&amp;""""</f>
        <v>#N/A</v>
      </c>
      <c r="K91" s="22"/>
    </row>
    <row r="92" spans="7:11" x14ac:dyDescent="0.2">
      <c r="I92" t="e">
        <f>VLOOKUP(D92,LEOs!A$1:E$12,2)</f>
        <v>#N/A</v>
      </c>
      <c r="J92" s="4" t="e">
        <f>"MLEO """&amp;F92&amp;""" is part of LEO """&amp;VLOOKUP(D92,LEOs!A$1:E$12,2)&amp;""""</f>
        <v>#N/A</v>
      </c>
      <c r="K92" s="22"/>
    </row>
    <row r="93" spans="7:11" x14ac:dyDescent="0.2">
      <c r="I93" t="e">
        <f>VLOOKUP(D93,LEOs!A$1:E$12,2)</f>
        <v>#N/A</v>
      </c>
      <c r="J93" s="4" t="e">
        <f>"MLEO """&amp;F93&amp;""" is part of LEO """&amp;VLOOKUP(D93,LEOs!A$1:E$12,2)&amp;""""</f>
        <v>#N/A</v>
      </c>
      <c r="K93" s="22"/>
    </row>
    <row r="94" spans="7:11" x14ac:dyDescent="0.2">
      <c r="I94" t="e">
        <f>VLOOKUP(D94,LEOs!A$1:E$12,2)</f>
        <v>#N/A</v>
      </c>
      <c r="J94" s="4" t="e">
        <f>"MLEO """&amp;F94&amp;""" is part of LEO """&amp;VLOOKUP(D94,LEOs!A$1:E$12,2)&amp;""""</f>
        <v>#N/A</v>
      </c>
      <c r="K94" s="22"/>
    </row>
    <row r="95" spans="7:11" x14ac:dyDescent="0.2">
      <c r="I95" t="e">
        <f>VLOOKUP(D95,LEOs!A$1:E$12,2)</f>
        <v>#N/A</v>
      </c>
      <c r="J95" s="4" t="e">
        <f>"MLEO """&amp;F95&amp;""" is part of LEO """&amp;VLOOKUP(D95,LEOs!A$1:E$12,2)&amp;""""</f>
        <v>#N/A</v>
      </c>
      <c r="K95" s="22"/>
    </row>
    <row r="96" spans="7:11" x14ac:dyDescent="0.2">
      <c r="I96" t="e">
        <f>VLOOKUP(D96,LEOs!A$1:E$12,2)</f>
        <v>#N/A</v>
      </c>
      <c r="J96" s="4" t="e">
        <f>"MLEO """&amp;F96&amp;""" is part of LEO """&amp;VLOOKUP(D96,LEOs!A$1:E$12,2)&amp;""""</f>
        <v>#N/A</v>
      </c>
      <c r="K96" s="22"/>
    </row>
    <row r="97" spans="1:11" x14ac:dyDescent="0.2">
      <c r="I97" t="e">
        <f>VLOOKUP(D97,LEOs!A$1:E$12,2)</f>
        <v>#N/A</v>
      </c>
      <c r="J97" s="4" t="e">
        <f>"MLEO """&amp;F97&amp;""" is part of LEO """&amp;VLOOKUP(D97,LEOs!A$1:E$12,2)&amp;""""</f>
        <v>#N/A</v>
      </c>
      <c r="K97" s="22"/>
    </row>
    <row r="98" spans="1:11" x14ac:dyDescent="0.2">
      <c r="I98" t="e">
        <f>VLOOKUP(D98,LEOs!A$1:E$12,2)</f>
        <v>#N/A</v>
      </c>
      <c r="J98" s="4" t="e">
        <f>"MLEO """&amp;F98&amp;""" is part of LEO """&amp;VLOOKUP(D98,LEOs!A$1:E$12,2)&amp;""""</f>
        <v>#N/A</v>
      </c>
      <c r="K98" s="22"/>
    </row>
    <row r="99" spans="1:11" x14ac:dyDescent="0.2">
      <c r="G99" s="7"/>
      <c r="H99" s="7"/>
      <c r="I99" t="e">
        <f>VLOOKUP(D99,LEOs!A$1:E$12,2)</f>
        <v>#N/A</v>
      </c>
      <c r="J99" s="4" t="e">
        <f>"MLEO """&amp;F99&amp;""" is part of LEO """&amp;VLOOKUP(D99,LEOs!A$1:E$12,2)&amp;""""</f>
        <v>#N/A</v>
      </c>
      <c r="K99" s="22"/>
    </row>
    <row r="100" spans="1:11" x14ac:dyDescent="0.2">
      <c r="A100" s="7"/>
      <c r="D100" s="7"/>
      <c r="E100" s="110"/>
      <c r="F100" s="7"/>
      <c r="G100" s="7"/>
      <c r="H100" s="7"/>
      <c r="I100" s="7" t="e">
        <f>VLOOKUP(D100,LEOs!A$1:E$12,2)</f>
        <v>#N/A</v>
      </c>
      <c r="J100" s="4" t="e">
        <f>"MLEO """&amp;F100&amp;""" is part of LEO """&amp;VLOOKUP(D100,LEOs!A$1:E$12,2)&amp;""""</f>
        <v>#N/A</v>
      </c>
      <c r="K100" s="22"/>
    </row>
    <row r="101" spans="1:11" x14ac:dyDescent="0.2">
      <c r="A101" s="7"/>
      <c r="D101" s="7"/>
      <c r="E101" s="110"/>
      <c r="F101" s="7"/>
      <c r="G101" s="7"/>
      <c r="H101" s="7"/>
      <c r="I101" s="7" t="e">
        <f>VLOOKUP(D101,LEOs!A$1:E$12,2)</f>
        <v>#N/A</v>
      </c>
      <c r="J101" s="4" t="e">
        <f>"MLEO """&amp;F101&amp;""" is part of LEO """&amp;VLOOKUP(D101,LEOs!A$1:E$12,2)&amp;""""</f>
        <v>#N/A</v>
      </c>
      <c r="K101" s="22"/>
    </row>
    <row r="102" spans="1:11" x14ac:dyDescent="0.2">
      <c r="A102" s="7"/>
      <c r="D102" s="7"/>
      <c r="E102" s="110"/>
      <c r="F102" s="7"/>
      <c r="G102" s="7"/>
      <c r="H102" s="7"/>
      <c r="I102" s="7" t="e">
        <f>VLOOKUP(D102,LEOs!A$1:E$12,2)</f>
        <v>#N/A</v>
      </c>
      <c r="J102" s="4" t="e">
        <f>"MLEO """&amp;F102&amp;""" is part of LEO """&amp;VLOOKUP(D102,LEOs!A$1:E$12,2)&amp;""""</f>
        <v>#N/A</v>
      </c>
      <c r="K102" s="22"/>
    </row>
    <row r="103" spans="1:11" x14ac:dyDescent="0.2">
      <c r="A103" s="7"/>
      <c r="D103" s="7"/>
      <c r="E103" s="110"/>
      <c r="F103" s="7"/>
      <c r="G103" s="7"/>
      <c r="H103" s="7"/>
      <c r="I103" s="7" t="e">
        <f>VLOOKUP(D103,LEOs!A$1:E$12,2)</f>
        <v>#N/A</v>
      </c>
      <c r="J103" s="4" t="e">
        <f>"MLEO """&amp;F103&amp;""" is part of LEO """&amp;VLOOKUP(D103,LEOs!A$1:E$12,2)&amp;""""</f>
        <v>#N/A</v>
      </c>
      <c r="K103" s="22"/>
    </row>
    <row r="104" spans="1:11" x14ac:dyDescent="0.2">
      <c r="D104" s="7"/>
      <c r="I104" t="e">
        <f>VLOOKUP(D104,LEOs!A$1:E$12,2)</f>
        <v>#N/A</v>
      </c>
      <c r="J104" s="4" t="e">
        <f>"MLEO """&amp;F104&amp;""" is part of LEO """&amp;VLOOKUP(D104,LEOs!A$1:E$12,2)&amp;""""</f>
        <v>#N/A</v>
      </c>
      <c r="K104" s="22"/>
    </row>
    <row r="105" spans="1:11" x14ac:dyDescent="0.2">
      <c r="G105" s="17"/>
      <c r="H105" s="17"/>
      <c r="I105" t="e">
        <f>VLOOKUP(D105,LEOs!A$1:E$12,2)</f>
        <v>#N/A</v>
      </c>
      <c r="J105" s="4" t="e">
        <f>"MLEO """&amp;F105&amp;""" is part of LEO """&amp;VLOOKUP(D105,LEOs!A$1:E$12,2)&amp;""""</f>
        <v>#N/A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8D9695-537D-40E3-9ABD-99C4CC971E8A}">
          <x14:formula1>
            <xm:f>LEOs!$A$2:$A$12</xm:f>
          </x14:formula1>
          <xm:sqref>D2:D105</xm:sqref>
        </x14:dataValidation>
        <x14:dataValidation type="list" allowBlank="1" showInputMessage="1" showErrorMessage="1" xr:uid="{B32BA79A-719D-47B4-B1C2-398C36B2AF3E}">
          <x14:formula1>
            <xm:f>KnowledgeLevels!$A$2:$A$6</xm:f>
          </x14:formula1>
          <xm:sqref>E2:E105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496BD-1226-4E25-9A0F-74AB24DC96E7}">
  <dimension ref="A1:G122"/>
  <sheetViews>
    <sheetView topLeftCell="A80" workbookViewId="0">
      <selection activeCell="A102" sqref="A102"/>
    </sheetView>
  </sheetViews>
  <sheetFormatPr baseColWidth="10" defaultColWidth="9.1640625" defaultRowHeight="15" x14ac:dyDescent="0.2"/>
  <cols>
    <col min="1" max="1" width="39.6640625" bestFit="1" customWidth="1"/>
    <col min="2" max="2" width="12.5" bestFit="1" customWidth="1"/>
    <col min="3" max="4" width="36.5" bestFit="1" customWidth="1"/>
    <col min="5" max="6" width="26.83203125" customWidth="1"/>
    <col min="7" max="7" width="26.1640625" bestFit="1" customWidth="1"/>
  </cols>
  <sheetData>
    <row r="1" spans="1:7" x14ac:dyDescent="0.2">
      <c r="A1" s="56" t="s">
        <v>310</v>
      </c>
      <c r="B1" s="56" t="s">
        <v>10</v>
      </c>
      <c r="C1" s="116" t="s">
        <v>311</v>
      </c>
      <c r="D1" s="117"/>
      <c r="E1" s="117"/>
      <c r="F1" s="117"/>
      <c r="G1" s="117"/>
    </row>
    <row r="2" spans="1:7" x14ac:dyDescent="0.2">
      <c r="A2" s="12" t="s">
        <v>92</v>
      </c>
      <c r="B2" s="11" t="s">
        <v>91</v>
      </c>
      <c r="C2" s="11" t="str">
        <f>IFERROR(VLOOKUP(C3,$A$2:$B$122,2,FALSE),"")</f>
        <v>MLEO_00_10</v>
      </c>
      <c r="D2" s="11" t="str">
        <f t="shared" ref="D2" si="0">IFERROR(VLOOKUP(D3,$A$2:$B$122,2,FALSE),"")</f>
        <v>-</v>
      </c>
      <c r="E2" s="11" t="str">
        <f t="shared" ref="E2:F2" si="1">IFERROR(VLOOKUP(E3,$A$2:$B$122,2,FALSE),"")</f>
        <v>-</v>
      </c>
      <c r="F2" s="11" t="str">
        <f t="shared" si="1"/>
        <v>-</v>
      </c>
      <c r="G2" s="11" t="str">
        <f t="shared" ref="G2" si="2">IFERROR(VLOOKUP(G3,$A$2:$B$122,2,FALSE),"")</f>
        <v>-</v>
      </c>
    </row>
    <row r="3" spans="1:7" x14ac:dyDescent="0.2">
      <c r="A3" s="12"/>
      <c r="B3" s="11"/>
      <c r="C3" s="11" t="s">
        <v>128</v>
      </c>
      <c r="D3" s="11" t="s">
        <v>312</v>
      </c>
      <c r="E3" s="11" t="s">
        <v>312</v>
      </c>
      <c r="F3" s="11" t="s">
        <v>312</v>
      </c>
      <c r="G3" s="11" t="s">
        <v>312</v>
      </c>
    </row>
    <row r="4" spans="1:7" x14ac:dyDescent="0.2">
      <c r="A4" s="15" t="s">
        <v>95</v>
      </c>
      <c r="B4" s="14" t="s">
        <v>94</v>
      </c>
      <c r="C4" t="str">
        <f>IFERROR(VLOOKUP(C5,$A$2:$B$122,2,FALSE),"")</f>
        <v>-</v>
      </c>
      <c r="D4" t="str">
        <f t="shared" ref="D4" si="3">IFERROR(VLOOKUP(D5,$A$2:$B$122,2,FALSE),"")</f>
        <v>-</v>
      </c>
      <c r="E4" t="str">
        <f t="shared" ref="E4:F4" si="4">IFERROR(VLOOKUP(E5,$A$2:$B$122,2,FALSE),"")</f>
        <v>-</v>
      </c>
      <c r="F4" t="str">
        <f t="shared" si="4"/>
        <v>-</v>
      </c>
      <c r="G4" t="str">
        <f t="shared" ref="G4" si="5">IFERROR(VLOOKUP(G5,$A$2:$B$122,2,FALSE),"")</f>
        <v>-</v>
      </c>
    </row>
    <row r="5" spans="1:7" ht="16" x14ac:dyDescent="0.2">
      <c r="A5" s="15"/>
      <c r="B5" s="14"/>
      <c r="C5" s="58" t="s">
        <v>312</v>
      </c>
      <c r="D5" s="58" t="s">
        <v>312</v>
      </c>
      <c r="E5" s="58" t="s">
        <v>312</v>
      </c>
      <c r="F5" s="58" t="s">
        <v>312</v>
      </c>
      <c r="G5" s="58" t="s">
        <v>312</v>
      </c>
    </row>
    <row r="6" spans="1:7" x14ac:dyDescent="0.2">
      <c r="A6" s="12" t="s">
        <v>98</v>
      </c>
      <c r="B6" s="11" t="s">
        <v>97</v>
      </c>
      <c r="C6" s="11" t="str">
        <f>IFERROR(VLOOKUP(C7,$A$2:$B$122,2,FALSE),"")</f>
        <v>MLEO_00_05</v>
      </c>
      <c r="D6" s="11" t="str">
        <f t="shared" ref="D6" si="6">IFERROR(VLOOKUP(D7,$A$2:$B$122,2,FALSE),"")</f>
        <v>-</v>
      </c>
      <c r="E6" s="11" t="str">
        <f t="shared" ref="E6:F6" si="7">IFERROR(VLOOKUP(E7,$A$2:$B$122,2,FALSE),"")</f>
        <v>-</v>
      </c>
      <c r="F6" s="11" t="str">
        <f t="shared" si="7"/>
        <v>-</v>
      </c>
      <c r="G6" s="11" t="str">
        <f t="shared" ref="G6" si="8">IFERROR(VLOOKUP(G7,$A$2:$B$122,2,FALSE),"")</f>
        <v>-</v>
      </c>
    </row>
    <row r="7" spans="1:7" ht="15.75" customHeight="1" x14ac:dyDescent="0.2">
      <c r="A7" s="12"/>
      <c r="B7" s="11"/>
      <c r="C7" s="11" t="s">
        <v>105</v>
      </c>
      <c r="D7" s="11" t="s">
        <v>312</v>
      </c>
      <c r="E7" s="11" t="s">
        <v>312</v>
      </c>
      <c r="F7" s="11" t="s">
        <v>312</v>
      </c>
      <c r="G7" s="11" t="s">
        <v>312</v>
      </c>
    </row>
    <row r="8" spans="1:7" x14ac:dyDescent="0.2">
      <c r="A8" s="15" t="s">
        <v>102</v>
      </c>
      <c r="B8" s="14" t="s">
        <v>101</v>
      </c>
      <c r="C8" t="str">
        <f>IFERROR(VLOOKUP(C9,$A$2:$B$122,2,FALSE),"")</f>
        <v>MLEO_00_06</v>
      </c>
      <c r="D8" t="str">
        <f t="shared" ref="D8" si="9">IFERROR(VLOOKUP(D9,$A$2:$B$122,2,FALSE),"")</f>
        <v>-</v>
      </c>
      <c r="E8" t="str">
        <f t="shared" ref="E8:F8" si="10">IFERROR(VLOOKUP(E9,$A$2:$B$122,2,FALSE),"")</f>
        <v>-</v>
      </c>
      <c r="F8" t="str">
        <f t="shared" si="10"/>
        <v>-</v>
      </c>
      <c r="G8" t="str">
        <f t="shared" ref="G8" si="11">IFERROR(VLOOKUP(G9,$A$2:$B$122,2,FALSE),"")</f>
        <v>-</v>
      </c>
    </row>
    <row r="9" spans="1:7" ht="16" x14ac:dyDescent="0.2">
      <c r="A9" s="15"/>
      <c r="B9" s="14"/>
      <c r="C9" s="58" t="s">
        <v>109</v>
      </c>
      <c r="D9" s="58" t="s">
        <v>312</v>
      </c>
      <c r="E9" s="58" t="s">
        <v>312</v>
      </c>
      <c r="F9" s="58" t="s">
        <v>312</v>
      </c>
      <c r="G9" s="58" t="s">
        <v>312</v>
      </c>
    </row>
    <row r="10" spans="1:7" x14ac:dyDescent="0.2">
      <c r="A10" s="12" t="s">
        <v>105</v>
      </c>
      <c r="B10" s="11" t="s">
        <v>104</v>
      </c>
      <c r="C10" s="11" t="str">
        <f>IFERROR(VLOOKUP(C11,$A$2:$B$122,2,FALSE),"")</f>
        <v>MLEO_00_08</v>
      </c>
      <c r="D10" s="11" t="str">
        <f t="shared" ref="D10" si="12">IFERROR(VLOOKUP(D11,$A$2:$B$122,2,FALSE),"")</f>
        <v>MLEO_00_10</v>
      </c>
      <c r="E10" s="11" t="str">
        <f t="shared" ref="E10:F10" si="13">IFERROR(VLOOKUP(E11,$A$2:$B$122,2,FALSE),"")</f>
        <v>MLEO_01_09</v>
      </c>
      <c r="F10" s="11" t="str">
        <f t="shared" si="13"/>
        <v>-</v>
      </c>
      <c r="G10" s="11" t="str">
        <f t="shared" ref="G10" si="14">IFERROR(VLOOKUP(G11,$A$2:$B$122,2,FALSE),"")</f>
        <v>-</v>
      </c>
    </row>
    <row r="11" spans="1:7" x14ac:dyDescent="0.2">
      <c r="A11" s="12"/>
      <c r="B11" s="11"/>
      <c r="C11" s="11" t="s">
        <v>115</v>
      </c>
      <c r="D11" s="11" t="s">
        <v>128</v>
      </c>
      <c r="E11" s="11" t="s">
        <v>157</v>
      </c>
      <c r="F11" s="11" t="s">
        <v>312</v>
      </c>
      <c r="G11" s="11" t="s">
        <v>312</v>
      </c>
    </row>
    <row r="12" spans="1:7" x14ac:dyDescent="0.2">
      <c r="A12" s="15" t="s">
        <v>109</v>
      </c>
      <c r="B12" s="14" t="s">
        <v>108</v>
      </c>
      <c r="C12" t="str">
        <f>IFERROR(VLOOKUP(C13,$A$2:$B$122,2,FALSE),"")</f>
        <v>MLEO_00_08</v>
      </c>
      <c r="D12" t="str">
        <f t="shared" ref="D12" si="15">IFERROR(VLOOKUP(D13,$A$2:$B$122,2,FALSE),"")</f>
        <v>MLEO_00_10</v>
      </c>
      <c r="E12" t="str">
        <f t="shared" ref="E12:F12" si="16">IFERROR(VLOOKUP(E13,$A$2:$B$122,2,FALSE),"")</f>
        <v>MLEO_01_09</v>
      </c>
      <c r="F12" t="str">
        <f t="shared" si="16"/>
        <v>-</v>
      </c>
      <c r="G12" t="str">
        <f t="shared" ref="G12" si="17">IFERROR(VLOOKUP(G13,$A$2:$B$122,2,FALSE),"")</f>
        <v>-</v>
      </c>
    </row>
    <row r="13" spans="1:7" ht="16" x14ac:dyDescent="0.2">
      <c r="A13" s="15"/>
      <c r="B13" s="14"/>
      <c r="C13" s="58" t="s">
        <v>115</v>
      </c>
      <c r="D13" s="58" t="s">
        <v>128</v>
      </c>
      <c r="E13" s="58" t="s">
        <v>157</v>
      </c>
      <c r="F13" s="58" t="s">
        <v>312</v>
      </c>
      <c r="G13" s="58" t="s">
        <v>312</v>
      </c>
    </row>
    <row r="14" spans="1:7" x14ac:dyDescent="0.2">
      <c r="A14" s="12" t="s">
        <v>112</v>
      </c>
      <c r="B14" s="11" t="s">
        <v>111</v>
      </c>
      <c r="C14" s="11" t="str">
        <f t="shared" ref="C14" si="18">IFERROR(VLOOKUP(C15,$A$2:$B$122,2,FALSE),"")</f>
        <v>MLEO_01_10</v>
      </c>
      <c r="D14" s="11" t="str">
        <f t="shared" ref="D14:E14" si="19">IFERROR(VLOOKUP(D15,$A$2:$B$122,2,FALSE),"")</f>
        <v>MLEO_05_03</v>
      </c>
      <c r="E14" s="11" t="str">
        <f t="shared" si="19"/>
        <v>MLEO_05_04</v>
      </c>
      <c r="F14" s="11" t="str">
        <f t="shared" ref="F14:G14" si="20">IFERROR(VLOOKUP(F15,$A$2:$B$122,2,FALSE),"")</f>
        <v>MLEO_01_02</v>
      </c>
      <c r="G14" s="11" t="str">
        <f t="shared" si="20"/>
        <v>-</v>
      </c>
    </row>
    <row r="15" spans="1:7" ht="16" x14ac:dyDescent="0.2">
      <c r="A15" s="12"/>
      <c r="B15" s="11"/>
      <c r="C15" s="102" t="s">
        <v>170</v>
      </c>
      <c r="D15" s="11" t="s">
        <v>218</v>
      </c>
      <c r="E15" s="11" t="s">
        <v>221</v>
      </c>
      <c r="F15" s="11" t="s">
        <v>134</v>
      </c>
      <c r="G15" s="11" t="s">
        <v>312</v>
      </c>
    </row>
    <row r="16" spans="1:7" x14ac:dyDescent="0.2">
      <c r="A16" s="15" t="s">
        <v>115</v>
      </c>
      <c r="B16" s="14" t="s">
        <v>114</v>
      </c>
      <c r="C16" t="str">
        <f>IFERROR(VLOOKUP(C17,$A$2:$B$122,2,FALSE),"")</f>
        <v>MLEO_02_02</v>
      </c>
      <c r="D16" t="str">
        <f t="shared" ref="D16" si="21">IFERROR(VLOOKUP(D17,$A$2:$B$122,2,FALSE),"")</f>
        <v>MLEO_01_12</v>
      </c>
      <c r="E16" t="str">
        <f t="shared" ref="E16:F16" si="22">IFERROR(VLOOKUP(E17,$A$2:$B$122,2,FALSE),"")</f>
        <v>MLEO_01_05</v>
      </c>
      <c r="F16" t="str">
        <f t="shared" si="22"/>
        <v>MLEO_00_09</v>
      </c>
      <c r="G16" t="str">
        <f t="shared" ref="G16" si="23">IFERROR(VLOOKUP(G17,$A$2:$B$122,2,FALSE),"")</f>
        <v>MLEO_08_01</v>
      </c>
    </row>
    <row r="17" spans="1:7" ht="16" x14ac:dyDescent="0.2">
      <c r="A17" s="15"/>
      <c r="B17" s="14"/>
      <c r="C17" s="58" t="s">
        <v>180</v>
      </c>
      <c r="D17" s="58" t="s">
        <v>160</v>
      </c>
      <c r="E17" s="58" t="s">
        <v>118</v>
      </c>
      <c r="F17" s="58" t="s">
        <v>125</v>
      </c>
      <c r="G17" s="58" t="s">
        <v>233</v>
      </c>
    </row>
    <row r="18" spans="1:7" x14ac:dyDescent="0.2">
      <c r="A18" s="12" t="s">
        <v>125</v>
      </c>
      <c r="B18" s="11" t="s">
        <v>117</v>
      </c>
      <c r="C18" s="11" t="str">
        <f>IFERROR(VLOOKUP(C19,$A$2:$B$122,2,FALSE),"")</f>
        <v>MLEO_01_01</v>
      </c>
      <c r="D18" s="11" t="str">
        <f t="shared" ref="D18" si="24">IFERROR(VLOOKUP(D19,$A$2:$B$122,2,FALSE),"")</f>
        <v>-</v>
      </c>
      <c r="E18" s="11" t="str">
        <f t="shared" ref="E18:F18" si="25">IFERROR(VLOOKUP(E19,$A$2:$B$122,2,FALSE),"")</f>
        <v>-</v>
      </c>
      <c r="F18" s="11" t="str">
        <f t="shared" si="25"/>
        <v>-</v>
      </c>
      <c r="G18" s="11" t="str">
        <f t="shared" ref="G18" si="26">IFERROR(VLOOKUP(G19,$A$2:$B$122,2,FALSE),"")</f>
        <v>-</v>
      </c>
    </row>
    <row r="19" spans="1:7" x14ac:dyDescent="0.2">
      <c r="A19" s="12"/>
      <c r="B19" s="11"/>
      <c r="C19" s="11" t="s">
        <v>131</v>
      </c>
      <c r="D19" s="11" t="s">
        <v>312</v>
      </c>
      <c r="E19" s="11" t="s">
        <v>312</v>
      </c>
      <c r="F19" s="11" t="s">
        <v>312</v>
      </c>
      <c r="G19" s="11" t="s">
        <v>312</v>
      </c>
    </row>
    <row r="20" spans="1:7" x14ac:dyDescent="0.2">
      <c r="A20" s="15" t="s">
        <v>128</v>
      </c>
      <c r="B20" s="14" t="s">
        <v>120</v>
      </c>
      <c r="C20" t="str">
        <f>IFERROR(VLOOKUP(C21,$A$2:$B$122,2,FALSE),"")</f>
        <v>MLEO_01_01</v>
      </c>
      <c r="D20" t="str">
        <f t="shared" ref="D20" si="27">IFERROR(VLOOKUP(D21,$A$2:$B$122,2,FALSE),"")</f>
        <v>MLEO_05_06</v>
      </c>
      <c r="E20" t="str">
        <f t="shared" ref="E20:F20" si="28">IFERROR(VLOOKUP(E21,$A$2:$B$122,2,FALSE),"")</f>
        <v>-</v>
      </c>
      <c r="F20" t="str">
        <f t="shared" si="28"/>
        <v>-</v>
      </c>
      <c r="G20" t="str">
        <f t="shared" ref="G20" si="29">IFERROR(VLOOKUP(G21,$A$2:$B$122,2,FALSE),"")</f>
        <v>-</v>
      </c>
    </row>
    <row r="21" spans="1:7" ht="16" x14ac:dyDescent="0.2">
      <c r="A21" s="15"/>
      <c r="B21" s="14"/>
      <c r="C21" s="58" t="s">
        <v>131</v>
      </c>
      <c r="D21" s="58" t="s">
        <v>224</v>
      </c>
      <c r="E21" s="58" t="s">
        <v>312</v>
      </c>
      <c r="F21" s="58" t="s">
        <v>312</v>
      </c>
      <c r="G21" s="58" t="s">
        <v>312</v>
      </c>
    </row>
    <row r="22" spans="1:7" x14ac:dyDescent="0.2">
      <c r="A22" s="12" t="s">
        <v>239</v>
      </c>
      <c r="B22" s="11" t="s">
        <v>238</v>
      </c>
      <c r="C22" s="11" t="str">
        <f>IFERROR(VLOOKUP(C23,$A$2:$B$122,2,FALSE),"")</f>
        <v>MLEO_10_03</v>
      </c>
      <c r="D22" s="11" t="str">
        <f t="shared" ref="D22" si="30">IFERROR(VLOOKUP(D23,$A$2:$B$122,2,FALSE),"")</f>
        <v>MLEO_10_05</v>
      </c>
      <c r="E22" s="11" t="str">
        <f t="shared" ref="E22:F22" si="31">IFERROR(VLOOKUP(E23,$A$2:$B$122,2,FALSE),"")</f>
        <v>-</v>
      </c>
      <c r="F22" s="11" t="str">
        <f t="shared" si="31"/>
        <v>-</v>
      </c>
      <c r="G22" s="11" t="str">
        <f t="shared" ref="G22" si="32">IFERROR(VLOOKUP(G23,$A$2:$B$122,2,FALSE),"")</f>
        <v>-</v>
      </c>
    </row>
    <row r="23" spans="1:7" x14ac:dyDescent="0.2">
      <c r="A23" s="12"/>
      <c r="B23" s="11"/>
      <c r="C23" s="11" t="s">
        <v>248</v>
      </c>
      <c r="D23" s="11" t="s">
        <v>245</v>
      </c>
      <c r="E23" s="11" t="s">
        <v>312</v>
      </c>
      <c r="F23" s="11" t="s">
        <v>312</v>
      </c>
      <c r="G23" s="11" t="s">
        <v>312</v>
      </c>
    </row>
    <row r="24" spans="1:7" x14ac:dyDescent="0.2">
      <c r="A24" s="15" t="s">
        <v>242</v>
      </c>
      <c r="B24" s="14" t="s">
        <v>241</v>
      </c>
      <c r="C24" t="str">
        <f>IFERROR(VLOOKUP(C25,$A$2:$B$122,2,FALSE),"")</f>
        <v>-</v>
      </c>
      <c r="D24" t="str">
        <f t="shared" ref="D24" si="33">IFERROR(VLOOKUP(D25,$A$2:$B$122,2,FALSE),"")</f>
        <v>-</v>
      </c>
      <c r="E24" t="str">
        <f t="shared" ref="E24:F24" si="34">IFERROR(VLOOKUP(E25,$A$2:$B$122,2,FALSE),"")</f>
        <v>-</v>
      </c>
      <c r="F24" t="str">
        <f t="shared" si="34"/>
        <v>-</v>
      </c>
      <c r="G24" t="str">
        <f t="shared" ref="G24" si="35">IFERROR(VLOOKUP(G25,$A$2:$B$122,2,FALSE),"")</f>
        <v>-</v>
      </c>
    </row>
    <row r="25" spans="1:7" ht="16" x14ac:dyDescent="0.2">
      <c r="A25" s="15"/>
      <c r="B25" s="14"/>
      <c r="C25" s="58" t="s">
        <v>312</v>
      </c>
      <c r="D25" s="58" t="s">
        <v>312</v>
      </c>
      <c r="E25" s="58" t="s">
        <v>312</v>
      </c>
      <c r="F25" s="58" t="s">
        <v>312</v>
      </c>
      <c r="G25" s="58" t="s">
        <v>312</v>
      </c>
    </row>
    <row r="26" spans="1:7" x14ac:dyDescent="0.2">
      <c r="A26" s="12" t="s">
        <v>131</v>
      </c>
      <c r="B26" s="11" t="s">
        <v>141</v>
      </c>
      <c r="C26" s="11" t="str">
        <f>IFERROR(VLOOKUP(C27,$A$2:$B$122,2,FALSE),"")</f>
        <v>-</v>
      </c>
      <c r="D26" s="11" t="str">
        <f t="shared" ref="D26" si="36">IFERROR(VLOOKUP(D27,$A$2:$B$122,2,FALSE),"")</f>
        <v>-</v>
      </c>
      <c r="E26" s="11" t="str">
        <f t="shared" ref="E26:F26" si="37">IFERROR(VLOOKUP(E27,$A$2:$B$122,2,FALSE),"")</f>
        <v>-</v>
      </c>
      <c r="F26" s="11" t="str">
        <f t="shared" si="37"/>
        <v>-</v>
      </c>
      <c r="G26" s="11" t="str">
        <f t="shared" ref="G26" si="38">IFERROR(VLOOKUP(G27,$A$2:$B$122,2,FALSE),"")</f>
        <v>-</v>
      </c>
    </row>
    <row r="27" spans="1:7" x14ac:dyDescent="0.2">
      <c r="A27" s="12"/>
      <c r="B27" s="11"/>
      <c r="C27" s="11" t="s">
        <v>312</v>
      </c>
      <c r="D27" s="11" t="s">
        <v>312</v>
      </c>
      <c r="E27" s="11" t="s">
        <v>312</v>
      </c>
      <c r="F27" s="11" t="s">
        <v>312</v>
      </c>
      <c r="G27" s="11" t="s">
        <v>312</v>
      </c>
    </row>
    <row r="28" spans="1:7" x14ac:dyDescent="0.2">
      <c r="A28" s="15" t="s">
        <v>134</v>
      </c>
      <c r="B28" s="14" t="s">
        <v>144</v>
      </c>
      <c r="C28" t="str">
        <f>IFERROR(VLOOKUP(C29,$A$2:$B$122,2,FALSE),"")</f>
        <v>-</v>
      </c>
      <c r="D28" t="str">
        <f t="shared" ref="D28" si="39">IFERROR(VLOOKUP(D29,$A$2:$B$122,2,FALSE),"")</f>
        <v>-</v>
      </c>
      <c r="E28" t="str">
        <f t="shared" ref="E28:F28" si="40">IFERROR(VLOOKUP(E29,$A$2:$B$122,2,FALSE),"")</f>
        <v>-</v>
      </c>
      <c r="F28" t="str">
        <f t="shared" si="40"/>
        <v>-</v>
      </c>
      <c r="G28" t="str">
        <f t="shared" ref="G28" si="41">IFERROR(VLOOKUP(G29,$A$2:$B$122,2,FALSE),"")</f>
        <v>-</v>
      </c>
    </row>
    <row r="29" spans="1:7" ht="16" x14ac:dyDescent="0.2">
      <c r="A29" s="15"/>
      <c r="B29" s="14"/>
      <c r="C29" s="58" t="s">
        <v>312</v>
      </c>
      <c r="D29" s="58" t="s">
        <v>312</v>
      </c>
      <c r="E29" s="58" t="s">
        <v>312</v>
      </c>
      <c r="F29" s="58" t="s">
        <v>312</v>
      </c>
      <c r="G29" s="58" t="s">
        <v>312</v>
      </c>
    </row>
    <row r="30" spans="1:7" x14ac:dyDescent="0.2">
      <c r="A30" s="12" t="s">
        <v>142</v>
      </c>
      <c r="B30" s="11" t="s">
        <v>147</v>
      </c>
      <c r="C30" s="11" t="str">
        <f>IFERROR(VLOOKUP(C31,$A$2:$B$122,2,FALSE),"")</f>
        <v>MLEO_01_04</v>
      </c>
      <c r="D30" s="11" t="str">
        <f t="shared" ref="D30" si="42">IFERROR(VLOOKUP(D31,$A$2:$B$122,2,FALSE),"")</f>
        <v>-</v>
      </c>
      <c r="E30" s="11" t="str">
        <f t="shared" ref="E30:F30" si="43">IFERROR(VLOOKUP(E31,$A$2:$B$122,2,FALSE),"")</f>
        <v>-</v>
      </c>
      <c r="F30" s="11" t="str">
        <f t="shared" si="43"/>
        <v>-</v>
      </c>
      <c r="G30" s="11" t="str">
        <f t="shared" ref="G30" si="44">IFERROR(VLOOKUP(G31,$A$2:$B$122,2,FALSE),"")</f>
        <v>-</v>
      </c>
    </row>
    <row r="31" spans="1:7" x14ac:dyDescent="0.2">
      <c r="A31" s="12"/>
      <c r="B31" s="11"/>
      <c r="C31" s="11" t="s">
        <v>145</v>
      </c>
      <c r="D31" s="11" t="s">
        <v>312</v>
      </c>
      <c r="E31" s="11" t="s">
        <v>312</v>
      </c>
      <c r="F31" s="11" t="s">
        <v>312</v>
      </c>
      <c r="G31" s="11" t="s">
        <v>312</v>
      </c>
    </row>
    <row r="32" spans="1:7" x14ac:dyDescent="0.2">
      <c r="A32" s="15" t="s">
        <v>145</v>
      </c>
      <c r="B32" s="14" t="s">
        <v>150</v>
      </c>
      <c r="C32" t="str">
        <f>IFERROR(VLOOKUP(C33,$A$2:$B$122,2,FALSE),"")</f>
        <v>MLEO_01_06</v>
      </c>
      <c r="D32" t="str">
        <f t="shared" ref="D32" si="45">IFERROR(VLOOKUP(D33,$A$2:$B$122,2,FALSE),"")</f>
        <v>MLEO_01_07</v>
      </c>
      <c r="E32" t="str">
        <f t="shared" ref="E32:F32" si="46">IFERROR(VLOOKUP(E33,$A$2:$B$122,2,FALSE),"")</f>
        <v>-</v>
      </c>
      <c r="F32" t="str">
        <f t="shared" si="46"/>
        <v>-</v>
      </c>
      <c r="G32" t="str">
        <f t="shared" ref="G32" si="47">IFERROR(VLOOKUP(G33,$A$2:$B$122,2,FALSE),"")</f>
        <v>-</v>
      </c>
    </row>
    <row r="33" spans="1:7" ht="16" x14ac:dyDescent="0.2">
      <c r="A33" s="15"/>
      <c r="B33" s="14"/>
      <c r="C33" s="58" t="s">
        <v>148</v>
      </c>
      <c r="D33" s="58" t="s">
        <v>151</v>
      </c>
      <c r="E33" s="58" t="s">
        <v>312</v>
      </c>
      <c r="F33" s="58" t="s">
        <v>312</v>
      </c>
      <c r="G33" s="58" t="s">
        <v>312</v>
      </c>
    </row>
    <row r="34" spans="1:7" x14ac:dyDescent="0.2">
      <c r="A34" s="12" t="s">
        <v>118</v>
      </c>
      <c r="B34" s="11" t="s">
        <v>153</v>
      </c>
      <c r="C34" s="11" t="str">
        <f>IFERROR(VLOOKUP(C35,$A$2:$B$122,2,FALSE),"")</f>
        <v>-</v>
      </c>
      <c r="D34" s="11" t="str">
        <f t="shared" ref="D34" si="48">IFERROR(VLOOKUP(D35,$A$2:$B$122,2,FALSE),"")</f>
        <v>-</v>
      </c>
      <c r="E34" s="11" t="str">
        <f t="shared" ref="E34:F34" si="49">IFERROR(VLOOKUP(E35,$A$2:$B$122,2,FALSE),"")</f>
        <v>-</v>
      </c>
      <c r="F34" s="11" t="str">
        <f t="shared" si="49"/>
        <v>-</v>
      </c>
      <c r="G34" s="11" t="str">
        <f t="shared" ref="G34" si="50">IFERROR(VLOOKUP(G35,$A$2:$B$122,2,FALSE),"")</f>
        <v>-</v>
      </c>
    </row>
    <row r="35" spans="1:7" x14ac:dyDescent="0.2">
      <c r="A35" s="12"/>
      <c r="B35" s="11"/>
      <c r="C35" s="11" t="s">
        <v>312</v>
      </c>
      <c r="D35" s="11" t="s">
        <v>312</v>
      </c>
      <c r="E35" s="11" t="s">
        <v>312</v>
      </c>
      <c r="F35" s="11" t="s">
        <v>312</v>
      </c>
      <c r="G35" s="11" t="s">
        <v>312</v>
      </c>
    </row>
    <row r="36" spans="1:7" x14ac:dyDescent="0.2">
      <c r="A36" s="15" t="s">
        <v>148</v>
      </c>
      <c r="B36" s="14" t="s">
        <v>156</v>
      </c>
      <c r="C36" t="str">
        <f>IFERROR(VLOOKUP(C37,$A$2:$B$122,2,FALSE),"")</f>
        <v>MLEO_01_08</v>
      </c>
      <c r="D36" t="str">
        <f t="shared" ref="D36" si="51">IFERROR(VLOOKUP(D37,$A$2:$B$122,2,FALSE),"")</f>
        <v>MLEO_02_05</v>
      </c>
      <c r="E36" t="str">
        <f t="shared" ref="E36:G36" si="52">IFERROR(VLOOKUP(E37,$A$2:$B$122,2,FALSE),"")</f>
        <v>MLEO_03_01</v>
      </c>
      <c r="F36" t="str">
        <f t="shared" si="52"/>
        <v>MLEO_06_02</v>
      </c>
      <c r="G36" t="str">
        <f t="shared" si="52"/>
        <v>-</v>
      </c>
    </row>
    <row r="37" spans="1:7" ht="14.25" customHeight="1" x14ac:dyDescent="0.2">
      <c r="A37" s="15"/>
      <c r="B37" s="14"/>
      <c r="C37" s="58" t="s">
        <v>154</v>
      </c>
      <c r="D37" s="58" t="s">
        <v>192</v>
      </c>
      <c r="E37" s="58" t="s">
        <v>195</v>
      </c>
      <c r="F37" s="58" t="s">
        <v>302</v>
      </c>
      <c r="G37" s="58" t="s">
        <v>312</v>
      </c>
    </row>
    <row r="38" spans="1:7" x14ac:dyDescent="0.2">
      <c r="A38" s="12" t="s">
        <v>151</v>
      </c>
      <c r="B38" s="11" t="s">
        <v>159</v>
      </c>
      <c r="C38" s="11" t="str">
        <f>IFERROR(VLOOKUP(C39,$A$2:$B$122,2,FALSE),"")</f>
        <v>MLEO_01_08</v>
      </c>
      <c r="D38" s="11" t="str">
        <f t="shared" ref="D38" si="53">IFERROR(VLOOKUP(D39,$A$2:$B$122,2,FALSE),"")</f>
        <v>-</v>
      </c>
      <c r="E38" s="11" t="str">
        <f t="shared" ref="E38:F38" si="54">IFERROR(VLOOKUP(E39,$A$2:$B$122,2,FALSE),"")</f>
        <v>-</v>
      </c>
      <c r="F38" s="11" t="str">
        <f t="shared" si="54"/>
        <v>-</v>
      </c>
      <c r="G38" s="11" t="str">
        <f t="shared" ref="G38" si="55">IFERROR(VLOOKUP(G39,$A$2:$B$122,2,FALSE),"")</f>
        <v>-</v>
      </c>
    </row>
    <row r="39" spans="1:7" x14ac:dyDescent="0.2">
      <c r="A39" s="12"/>
      <c r="B39" s="11"/>
      <c r="C39" s="11" t="s">
        <v>154</v>
      </c>
      <c r="D39" s="11" t="s">
        <v>312</v>
      </c>
      <c r="E39" s="11" t="s">
        <v>312</v>
      </c>
      <c r="F39" s="11" t="s">
        <v>312</v>
      </c>
      <c r="G39" s="11" t="s">
        <v>312</v>
      </c>
    </row>
    <row r="40" spans="1:7" x14ac:dyDescent="0.2">
      <c r="A40" s="15" t="s">
        <v>154</v>
      </c>
      <c r="B40" s="14" t="s">
        <v>162</v>
      </c>
      <c r="C40" t="str">
        <f>IFERROR(VLOOKUP(C41,$A$2:$B$122,2,FALSE),"")</f>
        <v>MLEO_01_09</v>
      </c>
      <c r="D40" t="str">
        <f t="shared" ref="D40" si="56">IFERROR(VLOOKUP(D41,$A$2:$B$122,2,FALSE),"")</f>
        <v>-</v>
      </c>
      <c r="E40" t="str">
        <f t="shared" ref="E40:F40" si="57">IFERROR(VLOOKUP(E41,$A$2:$B$122,2,FALSE),"")</f>
        <v>-</v>
      </c>
      <c r="F40" t="str">
        <f t="shared" si="57"/>
        <v>-</v>
      </c>
      <c r="G40" t="str">
        <f t="shared" ref="G40" si="58">IFERROR(VLOOKUP(G41,$A$2:$B$122,2,FALSE),"")</f>
        <v>-</v>
      </c>
    </row>
    <row r="41" spans="1:7" ht="16" x14ac:dyDescent="0.2">
      <c r="A41" s="15"/>
      <c r="B41" s="14"/>
      <c r="C41" s="58" t="s">
        <v>157</v>
      </c>
      <c r="D41" s="58" t="s">
        <v>312</v>
      </c>
      <c r="E41" s="58" t="s">
        <v>312</v>
      </c>
      <c r="F41" s="58" t="s">
        <v>312</v>
      </c>
      <c r="G41" s="58" t="s">
        <v>312</v>
      </c>
    </row>
    <row r="42" spans="1:7" x14ac:dyDescent="0.2">
      <c r="A42" s="12" t="s">
        <v>157</v>
      </c>
      <c r="B42" s="11" t="s">
        <v>166</v>
      </c>
      <c r="C42" s="11" t="str">
        <f>IFERROR(VLOOKUP(C43,$A$2:$B$122,2,FALSE),"")</f>
        <v>-</v>
      </c>
      <c r="D42" s="11" t="str">
        <f t="shared" ref="D42" si="59">IFERROR(VLOOKUP(D43,$A$2:$B$122,2,FALSE),"")</f>
        <v>-</v>
      </c>
      <c r="E42" s="11" t="str">
        <f t="shared" ref="E42:F42" si="60">IFERROR(VLOOKUP(E43,$A$2:$B$122,2,FALSE),"")</f>
        <v>-</v>
      </c>
      <c r="F42" s="11" t="str">
        <f t="shared" si="60"/>
        <v>-</v>
      </c>
      <c r="G42" s="11" t="str">
        <f t="shared" ref="G42" si="61">IFERROR(VLOOKUP(G43,$A$2:$B$122,2,FALSE),"")</f>
        <v>-</v>
      </c>
    </row>
    <row r="43" spans="1:7" x14ac:dyDescent="0.2">
      <c r="A43" s="12"/>
      <c r="B43" s="11"/>
      <c r="C43" s="11" t="s">
        <v>312</v>
      </c>
      <c r="D43" s="11" t="s">
        <v>312</v>
      </c>
      <c r="E43" s="11" t="s">
        <v>312</v>
      </c>
      <c r="F43" s="11" t="s">
        <v>312</v>
      </c>
      <c r="G43" s="11" t="s">
        <v>312</v>
      </c>
    </row>
    <row r="44" spans="1:7" x14ac:dyDescent="0.2">
      <c r="A44" s="15" t="s">
        <v>170</v>
      </c>
      <c r="B44" s="14" t="s">
        <v>169</v>
      </c>
      <c r="C44" t="str">
        <f>IFERROR(VLOOKUP(C45,$A$2:$B$122,2,FALSE),"")</f>
        <v>-</v>
      </c>
      <c r="D44" t="str">
        <f t="shared" ref="D44" si="62">IFERROR(VLOOKUP(D45,$A$2:$B$122,2,FALSE),"")</f>
        <v>-</v>
      </c>
      <c r="E44" t="str">
        <f t="shared" ref="E44:F44" si="63">IFERROR(VLOOKUP(E45,$A$2:$B$122,2,FALSE),"")</f>
        <v>-</v>
      </c>
      <c r="F44" t="str">
        <f t="shared" si="63"/>
        <v>-</v>
      </c>
      <c r="G44" t="str">
        <f t="shared" ref="G44" si="64">IFERROR(VLOOKUP(G45,$A$2:$B$122,2,FALSE),"")</f>
        <v>-</v>
      </c>
    </row>
    <row r="45" spans="1:7" ht="16" x14ac:dyDescent="0.2">
      <c r="A45" s="15"/>
      <c r="B45" s="14"/>
      <c r="C45" s="58" t="s">
        <v>312</v>
      </c>
      <c r="D45" s="58" t="s">
        <v>312</v>
      </c>
      <c r="E45" s="58" t="s">
        <v>312</v>
      </c>
      <c r="F45" s="58" t="s">
        <v>312</v>
      </c>
      <c r="G45" s="58" t="s">
        <v>312</v>
      </c>
    </row>
    <row r="46" spans="1:7" x14ac:dyDescent="0.2">
      <c r="A46" s="12" t="s">
        <v>173</v>
      </c>
      <c r="B46" s="11" t="s">
        <v>172</v>
      </c>
      <c r="C46" s="11" t="str">
        <f>IFERROR(VLOOKUP(C47,$A$2:$B$122,2,FALSE),"")</f>
        <v>-</v>
      </c>
      <c r="D46" s="11" t="str">
        <f t="shared" ref="D46" si="65">IFERROR(VLOOKUP(D47,$A$2:$B$122,2,FALSE),"")</f>
        <v>-</v>
      </c>
      <c r="E46" s="11" t="str">
        <f t="shared" ref="E46:F46" si="66">IFERROR(VLOOKUP(E47,$A$2:$B$122,2,FALSE),"")</f>
        <v>-</v>
      </c>
      <c r="F46" s="11" t="str">
        <f t="shared" si="66"/>
        <v>-</v>
      </c>
      <c r="G46" s="11" t="str">
        <f t="shared" ref="G46" si="67">IFERROR(VLOOKUP(G47,$A$2:$B$122,2,FALSE),"")</f>
        <v>-</v>
      </c>
    </row>
    <row r="47" spans="1:7" x14ac:dyDescent="0.2">
      <c r="A47" s="12"/>
      <c r="B47" s="11"/>
      <c r="C47" s="11" t="s">
        <v>312</v>
      </c>
      <c r="D47" s="11" t="s">
        <v>312</v>
      </c>
      <c r="E47" s="11" t="s">
        <v>312</v>
      </c>
      <c r="F47" s="11" t="s">
        <v>312</v>
      </c>
      <c r="G47" s="11" t="s">
        <v>312</v>
      </c>
    </row>
    <row r="48" spans="1:7" x14ac:dyDescent="0.2">
      <c r="A48" s="15" t="s">
        <v>160</v>
      </c>
      <c r="B48" s="14" t="s">
        <v>279</v>
      </c>
      <c r="C48" t="str">
        <f>IFERROR(VLOOKUP(C49,$A$2:$B$122,2,FALSE),"")</f>
        <v>-</v>
      </c>
      <c r="D48" t="str">
        <f t="shared" ref="D48" si="68">IFERROR(VLOOKUP(D49,$A$2:$B$122,2,FALSE),"")</f>
        <v>-</v>
      </c>
      <c r="E48" t="str">
        <f t="shared" ref="E48:F48" si="69">IFERROR(VLOOKUP(E49,$A$2:$B$122,2,FALSE),"")</f>
        <v>-</v>
      </c>
      <c r="F48" t="str">
        <f t="shared" si="69"/>
        <v>-</v>
      </c>
      <c r="G48" t="str">
        <f t="shared" ref="G48" si="70">IFERROR(VLOOKUP(G49,$A$2:$B$122,2,FALSE),"")</f>
        <v>-</v>
      </c>
    </row>
    <row r="49" spans="1:7" ht="16" x14ac:dyDescent="0.2">
      <c r="A49" s="15"/>
      <c r="B49" s="14"/>
      <c r="C49" s="58" t="s">
        <v>312</v>
      </c>
      <c r="D49" s="58" t="s">
        <v>312</v>
      </c>
      <c r="E49" s="58" t="s">
        <v>312</v>
      </c>
      <c r="F49" s="58" t="s">
        <v>312</v>
      </c>
      <c r="G49" s="58" t="s">
        <v>312</v>
      </c>
    </row>
    <row r="50" spans="1:7" x14ac:dyDescent="0.2">
      <c r="A50" s="12" t="s">
        <v>198</v>
      </c>
      <c r="B50" s="11" t="s">
        <v>280</v>
      </c>
      <c r="C50" s="11" t="str">
        <f>IFERROR(VLOOKUP(C51,$A$2:$B$122,2,FALSE),"")</f>
        <v>-</v>
      </c>
      <c r="D50" s="11" t="str">
        <f t="shared" ref="D50" si="71">IFERROR(VLOOKUP(D51,$A$2:$B$122,2,FALSE),"")</f>
        <v>-</v>
      </c>
      <c r="E50" s="11" t="str">
        <f t="shared" ref="E50:F50" si="72">IFERROR(VLOOKUP(E51,$A$2:$B$122,2,FALSE),"")</f>
        <v>-</v>
      </c>
      <c r="F50" s="11" t="str">
        <f t="shared" si="72"/>
        <v>-</v>
      </c>
      <c r="G50" s="11" t="str">
        <f t="shared" ref="G50" si="73">IFERROR(VLOOKUP(G51,$A$2:$B$122,2,FALSE),"")</f>
        <v>-</v>
      </c>
    </row>
    <row r="51" spans="1:7" x14ac:dyDescent="0.2">
      <c r="A51" s="12"/>
      <c r="B51" s="11"/>
      <c r="C51" s="11" t="s">
        <v>312</v>
      </c>
      <c r="D51" s="11" t="s">
        <v>312</v>
      </c>
      <c r="E51" s="11" t="s">
        <v>312</v>
      </c>
      <c r="F51" s="11" t="s">
        <v>312</v>
      </c>
      <c r="G51" s="11" t="s">
        <v>312</v>
      </c>
    </row>
    <row r="52" spans="1:7" x14ac:dyDescent="0.2">
      <c r="A52" s="15" t="s">
        <v>163</v>
      </c>
      <c r="B52" s="14" t="s">
        <v>281</v>
      </c>
      <c r="C52" t="str">
        <f>IFERROR(VLOOKUP(C53,$A$2:$B$122,2,FALSE),"")</f>
        <v>-</v>
      </c>
      <c r="D52" t="str">
        <f t="shared" ref="D52" si="74">IFERROR(VLOOKUP(D53,$A$2:$B$122,2,FALSE),"")</f>
        <v>-</v>
      </c>
      <c r="E52" t="str">
        <f t="shared" ref="E52:F52" si="75">IFERROR(VLOOKUP(E53,$A$2:$B$122,2,FALSE),"")</f>
        <v>-</v>
      </c>
      <c r="F52" t="str">
        <f t="shared" si="75"/>
        <v>-</v>
      </c>
      <c r="G52" t="str">
        <f t="shared" ref="G52" si="76">IFERROR(VLOOKUP(G53,$A$2:$B$122,2,FALSE),"")</f>
        <v>-</v>
      </c>
    </row>
    <row r="53" spans="1:7" ht="16" x14ac:dyDescent="0.2">
      <c r="A53" s="15"/>
      <c r="B53" s="14"/>
      <c r="C53" s="58" t="s">
        <v>312</v>
      </c>
      <c r="D53" s="58" t="s">
        <v>312</v>
      </c>
      <c r="E53" s="58" t="s">
        <v>312</v>
      </c>
      <c r="F53" s="58" t="s">
        <v>312</v>
      </c>
      <c r="G53" s="58" t="s">
        <v>312</v>
      </c>
    </row>
    <row r="54" spans="1:7" x14ac:dyDescent="0.2">
      <c r="A54" s="12" t="s">
        <v>248</v>
      </c>
      <c r="B54" s="11" t="s">
        <v>244</v>
      </c>
      <c r="C54" s="11" t="str">
        <f>IFERROR(VLOOKUP(C55,$A$2:$B$122,2,FALSE),"")</f>
        <v>MLEO_10_04</v>
      </c>
      <c r="D54" s="11" t="str">
        <f t="shared" ref="D54" si="77">IFERROR(VLOOKUP(D55,$A$2:$B$122,2,FALSE),"")</f>
        <v>-</v>
      </c>
      <c r="E54" s="11" t="str">
        <f t="shared" ref="E54:F54" si="78">IFERROR(VLOOKUP(E55,$A$2:$B$122,2,FALSE),"")</f>
        <v>-</v>
      </c>
      <c r="F54" s="11" t="str">
        <f t="shared" si="78"/>
        <v>-</v>
      </c>
      <c r="G54" s="11" t="str">
        <f t="shared" ref="G54" si="79">IFERROR(VLOOKUP(G55,$A$2:$B$122,2,FALSE),"")</f>
        <v>-</v>
      </c>
    </row>
    <row r="55" spans="1:7" x14ac:dyDescent="0.2">
      <c r="A55" s="12"/>
      <c r="B55" s="11"/>
      <c r="C55" s="11" t="s">
        <v>251</v>
      </c>
      <c r="D55" s="11" t="s">
        <v>312</v>
      </c>
      <c r="E55" s="11" t="s">
        <v>312</v>
      </c>
      <c r="F55" s="11" t="s">
        <v>312</v>
      </c>
      <c r="G55" s="11" t="s">
        <v>312</v>
      </c>
    </row>
    <row r="56" spans="1:7" x14ac:dyDescent="0.2">
      <c r="A56" s="15" t="s">
        <v>251</v>
      </c>
      <c r="B56" s="14" t="s">
        <v>247</v>
      </c>
      <c r="C56" t="str">
        <f>IFERROR(VLOOKUP(C57,$A$2:$B$122,2,FALSE),"")</f>
        <v>-</v>
      </c>
      <c r="D56" t="str">
        <f t="shared" ref="D56" si="80">IFERROR(VLOOKUP(D57,$A$2:$B$122,2,FALSE),"")</f>
        <v>-</v>
      </c>
      <c r="E56" t="str">
        <f t="shared" ref="E56:F56" si="81">IFERROR(VLOOKUP(E57,$A$2:$B$122,2,FALSE),"")</f>
        <v>-</v>
      </c>
      <c r="F56" t="str">
        <f t="shared" si="81"/>
        <v>-</v>
      </c>
      <c r="G56" t="str">
        <f t="shared" ref="G56" si="82">IFERROR(VLOOKUP(G57,$A$2:$B$122,2,FALSE),"")</f>
        <v>-</v>
      </c>
    </row>
    <row r="57" spans="1:7" ht="16" x14ac:dyDescent="0.2">
      <c r="A57" s="15"/>
      <c r="B57" s="14"/>
      <c r="C57" s="58" t="s">
        <v>312</v>
      </c>
      <c r="D57" s="58" t="s">
        <v>312</v>
      </c>
      <c r="E57" s="58" t="s">
        <v>312</v>
      </c>
      <c r="F57" s="58" t="s">
        <v>312</v>
      </c>
      <c r="G57" s="58" t="s">
        <v>312</v>
      </c>
    </row>
    <row r="58" spans="1:7" x14ac:dyDescent="0.2">
      <c r="A58" s="12" t="s">
        <v>177</v>
      </c>
      <c r="B58" s="11" t="s">
        <v>176</v>
      </c>
      <c r="C58" s="11" t="str">
        <f>IFERROR(VLOOKUP(C59,$A$2:$B$122,2,FALSE),"")</f>
        <v>MLEO_06_02</v>
      </c>
      <c r="D58" s="11" t="str">
        <f t="shared" ref="D58" si="83">IFERROR(VLOOKUP(D59,$A$2:$B$122,2,FALSE),"")</f>
        <v>MLEO_02_06</v>
      </c>
      <c r="E58" s="11" t="str">
        <f t="shared" ref="E58:F58" si="84">IFERROR(VLOOKUP(E59,$A$2:$B$122,2,FALSE),"")</f>
        <v>MLEO_02_04</v>
      </c>
      <c r="F58" s="11" t="str">
        <f t="shared" si="84"/>
        <v>-</v>
      </c>
      <c r="G58" s="11" t="str">
        <f t="shared" ref="G58" si="85">IFERROR(VLOOKUP(G59,$A$2:$B$122,2,FALSE),"")</f>
        <v>-</v>
      </c>
    </row>
    <row r="59" spans="1:7" x14ac:dyDescent="0.2">
      <c r="A59" s="12"/>
      <c r="B59" s="11"/>
      <c r="C59" s="11" t="s">
        <v>302</v>
      </c>
      <c r="D59" s="11" t="s">
        <v>186</v>
      </c>
      <c r="E59" s="11" t="s">
        <v>189</v>
      </c>
      <c r="F59" s="11" t="s">
        <v>312</v>
      </c>
      <c r="G59" s="11" t="s">
        <v>312</v>
      </c>
    </row>
    <row r="60" spans="1:7" x14ac:dyDescent="0.2">
      <c r="A60" s="15" t="s">
        <v>180</v>
      </c>
      <c r="B60" s="14" t="s">
        <v>179</v>
      </c>
      <c r="C60" t="str">
        <f>IFERROR(VLOOKUP(C61,$A$2:$B$122,2,FALSE),"")</f>
        <v>MLEO_04_03</v>
      </c>
      <c r="D60" t="str">
        <f t="shared" ref="D60" si="86">IFERROR(VLOOKUP(D61,$A$2:$B$122,2,FALSE),"")</f>
        <v>MLEO_01_16</v>
      </c>
      <c r="E60" t="str">
        <f t="shared" ref="E60:F60" si="87">IFERROR(VLOOKUP(E61,$A$2:$B$122,2,FALSE),"")</f>
        <v>-</v>
      </c>
      <c r="F60" t="str">
        <f t="shared" si="87"/>
        <v>-</v>
      </c>
      <c r="G60" t="str">
        <f t="shared" ref="G60" si="88">IFERROR(VLOOKUP(G61,$A$2:$B$122,2,FALSE),"")</f>
        <v>-</v>
      </c>
    </row>
    <row r="61" spans="1:7" ht="16" x14ac:dyDescent="0.2">
      <c r="A61" s="15"/>
      <c r="B61" s="14"/>
      <c r="C61" s="58" t="s">
        <v>208</v>
      </c>
      <c r="D61" s="58" t="s">
        <v>121</v>
      </c>
      <c r="E61" s="58" t="s">
        <v>312</v>
      </c>
      <c r="F61" s="58" t="s">
        <v>312</v>
      </c>
      <c r="G61" s="58" t="s">
        <v>312</v>
      </c>
    </row>
    <row r="62" spans="1:7" x14ac:dyDescent="0.2">
      <c r="A62" s="12" t="s">
        <v>183</v>
      </c>
      <c r="B62" s="11" t="s">
        <v>182</v>
      </c>
      <c r="C62" s="11" t="str">
        <f>IFERROR(VLOOKUP(C63,$A$2:$B$122,2,FALSE),"")</f>
        <v>-</v>
      </c>
      <c r="D62" s="11" t="str">
        <f t="shared" ref="D62" si="89">IFERROR(VLOOKUP(D63,$A$2:$B$122,2,FALSE),"")</f>
        <v>-</v>
      </c>
      <c r="E62" s="11" t="str">
        <f t="shared" ref="E62:F62" si="90">IFERROR(VLOOKUP(E63,$A$2:$B$122,2,FALSE),"")</f>
        <v>-</v>
      </c>
      <c r="F62" s="11" t="str">
        <f t="shared" si="90"/>
        <v>-</v>
      </c>
      <c r="G62" s="11" t="str">
        <f t="shared" ref="G62" si="91">IFERROR(VLOOKUP(G63,$A$2:$B$122,2,FALSE),"")</f>
        <v>-</v>
      </c>
    </row>
    <row r="63" spans="1:7" x14ac:dyDescent="0.2">
      <c r="A63" s="12"/>
      <c r="B63" s="11"/>
      <c r="C63" s="11" t="s">
        <v>312</v>
      </c>
      <c r="D63" s="11" t="s">
        <v>312</v>
      </c>
      <c r="E63" s="11" t="s">
        <v>312</v>
      </c>
      <c r="F63" s="11" t="s">
        <v>312</v>
      </c>
      <c r="G63" s="11" t="s">
        <v>312</v>
      </c>
    </row>
    <row r="64" spans="1:7" x14ac:dyDescent="0.2">
      <c r="A64" s="15" t="s">
        <v>189</v>
      </c>
      <c r="B64" s="14" t="s">
        <v>185</v>
      </c>
      <c r="C64" t="str">
        <f>IFERROR(VLOOKUP(C65,$A$2:$B$122,2,FALSE),"")</f>
        <v>-</v>
      </c>
      <c r="D64" t="str">
        <f t="shared" ref="D64" si="92">IFERROR(VLOOKUP(D65,$A$2:$B$122,2,FALSE),"")</f>
        <v>-</v>
      </c>
      <c r="E64" t="str">
        <f t="shared" ref="E64:F64" si="93">IFERROR(VLOOKUP(E65,$A$2:$B$122,2,FALSE),"")</f>
        <v>-</v>
      </c>
      <c r="F64" t="str">
        <f t="shared" si="93"/>
        <v>-</v>
      </c>
      <c r="G64" t="str">
        <f t="shared" ref="G64" si="94">IFERROR(VLOOKUP(G65,$A$2:$B$122,2,FALSE),"")</f>
        <v>-</v>
      </c>
    </row>
    <row r="65" spans="1:7" ht="16" x14ac:dyDescent="0.2">
      <c r="A65" s="15"/>
      <c r="B65" s="14"/>
      <c r="C65" s="58" t="s">
        <v>312</v>
      </c>
      <c r="D65" s="58" t="s">
        <v>312</v>
      </c>
      <c r="E65" s="58" t="s">
        <v>312</v>
      </c>
      <c r="F65" s="58" t="s">
        <v>312</v>
      </c>
      <c r="G65" s="58" t="s">
        <v>312</v>
      </c>
    </row>
    <row r="66" spans="1:7" x14ac:dyDescent="0.2">
      <c r="A66" s="12" t="s">
        <v>192</v>
      </c>
      <c r="B66" s="11" t="s">
        <v>188</v>
      </c>
      <c r="C66" s="11" t="str">
        <f>IFERROR(VLOOKUP(C67,$A$2:$B$122,2,FALSE),"")</f>
        <v>-</v>
      </c>
      <c r="D66" s="11" t="str">
        <f t="shared" ref="D66" si="95">IFERROR(VLOOKUP(D67,$A$2:$B$122,2,FALSE),"")</f>
        <v>-</v>
      </c>
      <c r="E66" s="11" t="str">
        <f t="shared" ref="E66:F66" si="96">IFERROR(VLOOKUP(E67,$A$2:$B$122,2,FALSE),"")</f>
        <v>-</v>
      </c>
      <c r="F66" s="11" t="str">
        <f t="shared" si="96"/>
        <v>-</v>
      </c>
      <c r="G66" s="11" t="str">
        <f t="shared" ref="G66" si="97">IFERROR(VLOOKUP(G67,$A$2:$B$122,2,FALSE),"")</f>
        <v>-</v>
      </c>
    </row>
    <row r="67" spans="1:7" x14ac:dyDescent="0.2">
      <c r="A67" s="12"/>
      <c r="B67" s="11"/>
      <c r="C67" s="11" t="s">
        <v>312</v>
      </c>
      <c r="D67" s="11" t="s">
        <v>312</v>
      </c>
      <c r="E67" s="11" t="s">
        <v>312</v>
      </c>
      <c r="F67" s="11" t="s">
        <v>312</v>
      </c>
      <c r="G67" s="11" t="s">
        <v>312</v>
      </c>
    </row>
    <row r="68" spans="1:7" x14ac:dyDescent="0.2">
      <c r="A68" s="15" t="s">
        <v>186</v>
      </c>
      <c r="B68" s="14" t="s">
        <v>282</v>
      </c>
      <c r="C68" t="str">
        <f>IFERROR(VLOOKUP(C69,$A$2:$B$122,2,FALSE),"")</f>
        <v>MLEO_03_02</v>
      </c>
      <c r="D68" t="str">
        <f t="shared" ref="D68" si="98">IFERROR(VLOOKUP(D69,$A$2:$B$122,2,FALSE),"")</f>
        <v>-</v>
      </c>
      <c r="E68" t="str">
        <f t="shared" ref="E68:F68" si="99">IFERROR(VLOOKUP(E69,$A$2:$B$122,2,FALSE),"")</f>
        <v>-</v>
      </c>
      <c r="F68" t="str">
        <f t="shared" si="99"/>
        <v>-</v>
      </c>
      <c r="G68" t="str">
        <f t="shared" ref="G68" si="100">IFERROR(VLOOKUP(G69,$A$2:$B$122,2,FALSE),"")</f>
        <v>-</v>
      </c>
    </row>
    <row r="69" spans="1:7" ht="16" x14ac:dyDescent="0.2">
      <c r="A69" s="15"/>
      <c r="B69" s="14"/>
      <c r="C69" s="58" t="s">
        <v>201</v>
      </c>
      <c r="D69" s="58" t="s">
        <v>312</v>
      </c>
      <c r="E69" s="58" t="s">
        <v>312</v>
      </c>
      <c r="F69" s="58" t="s">
        <v>312</v>
      </c>
      <c r="G69" s="58" t="s">
        <v>312</v>
      </c>
    </row>
    <row r="70" spans="1:7" x14ac:dyDescent="0.2">
      <c r="A70" s="12" t="s">
        <v>245</v>
      </c>
      <c r="B70" s="11" t="s">
        <v>250</v>
      </c>
      <c r="C70" s="11" t="str">
        <f>IFERROR(VLOOKUP(C71,$A$2:$B$122,2,FALSE),"")</f>
        <v>-</v>
      </c>
      <c r="D70" s="11" t="str">
        <f t="shared" ref="D70" si="101">IFERROR(VLOOKUP(D71,$A$2:$B$122,2,FALSE),"")</f>
        <v>-</v>
      </c>
      <c r="E70" s="11" t="str">
        <f t="shared" ref="E70:F70" si="102">IFERROR(VLOOKUP(E71,$A$2:$B$122,2,FALSE),"")</f>
        <v>-</v>
      </c>
      <c r="F70" s="11" t="str">
        <f t="shared" si="102"/>
        <v>-</v>
      </c>
      <c r="G70" s="11" t="str">
        <f t="shared" ref="G70" si="103">IFERROR(VLOOKUP(G71,$A$2:$B$122,2,FALSE),"")</f>
        <v>-</v>
      </c>
    </row>
    <row r="71" spans="1:7" x14ac:dyDescent="0.2">
      <c r="A71" s="12"/>
      <c r="B71" s="11"/>
      <c r="C71" s="11" t="s">
        <v>312</v>
      </c>
      <c r="D71" s="11" t="s">
        <v>312</v>
      </c>
      <c r="E71" s="11" t="s">
        <v>312</v>
      </c>
      <c r="F71" s="11" t="s">
        <v>312</v>
      </c>
      <c r="G71" s="11" t="s">
        <v>312</v>
      </c>
    </row>
    <row r="72" spans="1:7" x14ac:dyDescent="0.2">
      <c r="A72" s="15" t="s">
        <v>284</v>
      </c>
      <c r="B72" s="75" t="s">
        <v>283</v>
      </c>
      <c r="C72" t="str">
        <f>IFERROR(VLOOKUP(C73,$A$2:$B$122,2,FALSE),"")</f>
        <v>-</v>
      </c>
      <c r="D72" t="str">
        <f t="shared" ref="D72" si="104">IFERROR(VLOOKUP(D73,$A$2:$B$122,2,FALSE),"")</f>
        <v>-</v>
      </c>
      <c r="E72" t="str">
        <f t="shared" ref="E72:F72" si="105">IFERROR(VLOOKUP(E73,$A$2:$B$122,2,FALSE),"")</f>
        <v>-</v>
      </c>
      <c r="F72" t="str">
        <f t="shared" si="105"/>
        <v>-</v>
      </c>
      <c r="G72" t="str">
        <f t="shared" ref="G72" si="106">IFERROR(VLOOKUP(G73,$A$2:$B$122,2,FALSE),"")</f>
        <v>-</v>
      </c>
    </row>
    <row r="73" spans="1:7" ht="16" x14ac:dyDescent="0.2">
      <c r="A73" s="15"/>
      <c r="B73" s="75"/>
      <c r="C73" s="58" t="s">
        <v>312</v>
      </c>
      <c r="D73" s="58" t="s">
        <v>312</v>
      </c>
      <c r="E73" s="58" t="s">
        <v>312</v>
      </c>
      <c r="F73" s="58" t="s">
        <v>312</v>
      </c>
      <c r="G73" s="58" t="s">
        <v>312</v>
      </c>
    </row>
    <row r="74" spans="1:7" x14ac:dyDescent="0.2">
      <c r="A74" s="12" t="s">
        <v>121</v>
      </c>
      <c r="B74" s="76" t="s">
        <v>286</v>
      </c>
      <c r="C74" s="11" t="str">
        <f>IFERROR(VLOOKUP(C75,$A$2:$B$122,2,FALSE),"")</f>
        <v>-</v>
      </c>
      <c r="D74" s="11" t="str">
        <f t="shared" ref="D74" si="107">IFERROR(VLOOKUP(D75,$A$2:$B$122,2,FALSE),"")</f>
        <v>-</v>
      </c>
      <c r="E74" s="11" t="str">
        <f t="shared" ref="E74:F74" si="108">IFERROR(VLOOKUP(E75,$A$2:$B$122,2,FALSE),"")</f>
        <v>-</v>
      </c>
      <c r="F74" s="11" t="str">
        <f t="shared" si="108"/>
        <v>-</v>
      </c>
      <c r="G74" s="11" t="str">
        <f t="shared" ref="G74" si="109">IFERROR(VLOOKUP(G75,$A$2:$B$122,2,FALSE),"")</f>
        <v>-</v>
      </c>
    </row>
    <row r="75" spans="1:7" x14ac:dyDescent="0.2">
      <c r="A75" s="12"/>
      <c r="B75" s="76"/>
      <c r="C75" s="11" t="s">
        <v>312</v>
      </c>
      <c r="D75" s="11" t="s">
        <v>312</v>
      </c>
      <c r="E75" s="11" t="s">
        <v>312</v>
      </c>
      <c r="F75" s="11" t="s">
        <v>312</v>
      </c>
      <c r="G75" s="11" t="s">
        <v>312</v>
      </c>
    </row>
    <row r="76" spans="1:7" x14ac:dyDescent="0.2">
      <c r="A76" s="15" t="s">
        <v>205</v>
      </c>
      <c r="B76" s="75" t="s">
        <v>204</v>
      </c>
      <c r="C76" t="str">
        <f>IFERROR(VLOOKUP(C77,$A$2:$B$122,2,FALSE),"")</f>
        <v>-</v>
      </c>
      <c r="D76" t="str">
        <f t="shared" ref="D76" si="110">IFERROR(VLOOKUP(D77,$A$2:$B$122,2,FALSE),"")</f>
        <v>-</v>
      </c>
      <c r="E76" t="str">
        <f t="shared" ref="E76:F76" si="111">IFERROR(VLOOKUP(E77,$A$2:$B$122,2,FALSE),"")</f>
        <v>-</v>
      </c>
      <c r="F76" t="str">
        <f t="shared" si="111"/>
        <v>-</v>
      </c>
      <c r="G76" t="str">
        <f t="shared" ref="G76" si="112">IFERROR(VLOOKUP(G77,$A$2:$B$122,2,FALSE),"")</f>
        <v>-</v>
      </c>
    </row>
    <row r="77" spans="1:7" ht="16" x14ac:dyDescent="0.2">
      <c r="A77" s="15"/>
      <c r="B77" s="75"/>
      <c r="C77" s="58" t="s">
        <v>312</v>
      </c>
      <c r="D77" s="58" t="s">
        <v>312</v>
      </c>
      <c r="E77" s="58" t="s">
        <v>312</v>
      </c>
      <c r="F77" s="58" t="s">
        <v>312</v>
      </c>
      <c r="G77" s="58" t="s">
        <v>312</v>
      </c>
    </row>
    <row r="78" spans="1:7" x14ac:dyDescent="0.2">
      <c r="A78" s="12" t="s">
        <v>287</v>
      </c>
      <c r="B78" s="76" t="s">
        <v>207</v>
      </c>
      <c r="C78" s="11" t="str">
        <f>IFERROR(VLOOKUP(C79,$A$2:$B$122,2,FALSE),"")</f>
        <v>-</v>
      </c>
      <c r="D78" s="11" t="str">
        <f t="shared" ref="D78" si="113">IFERROR(VLOOKUP(D79,$A$2:$B$122,2,FALSE),"")</f>
        <v>-</v>
      </c>
      <c r="E78" s="11" t="str">
        <f t="shared" ref="E78:F78" si="114">IFERROR(VLOOKUP(E79,$A$2:$B$122,2,FALSE),"")</f>
        <v>-</v>
      </c>
      <c r="F78" s="11" t="str">
        <f t="shared" si="114"/>
        <v>-</v>
      </c>
      <c r="G78" s="11" t="str">
        <f t="shared" ref="G78" si="115">IFERROR(VLOOKUP(G79,$A$2:$B$122,2,FALSE),"")</f>
        <v>-</v>
      </c>
    </row>
    <row r="79" spans="1:7" x14ac:dyDescent="0.2">
      <c r="A79" s="12"/>
      <c r="B79" s="76"/>
      <c r="C79" s="11" t="s">
        <v>312</v>
      </c>
      <c r="D79" s="11" t="s">
        <v>312</v>
      </c>
      <c r="E79" s="11" t="s">
        <v>312</v>
      </c>
      <c r="F79" s="11" t="s">
        <v>312</v>
      </c>
      <c r="G79" s="11" t="s">
        <v>312</v>
      </c>
    </row>
    <row r="80" spans="1:7" x14ac:dyDescent="0.2">
      <c r="A80" s="15" t="s">
        <v>208</v>
      </c>
      <c r="B80" s="75" t="s">
        <v>289</v>
      </c>
      <c r="C80" t="str">
        <f>IFERROR(VLOOKUP(C81,$A$2:$B$122,2,FALSE),"")</f>
        <v>-</v>
      </c>
      <c r="D80" t="str">
        <f t="shared" ref="D80" si="116">IFERROR(VLOOKUP(D81,$A$2:$B$122,2,FALSE),"")</f>
        <v>-</v>
      </c>
      <c r="E80" t="str">
        <f t="shared" ref="E80:F80" si="117">IFERROR(VLOOKUP(E81,$A$2:$B$122,2,FALSE),"")</f>
        <v>-</v>
      </c>
      <c r="F80" t="str">
        <f t="shared" si="117"/>
        <v>-</v>
      </c>
      <c r="G80" t="str">
        <f t="shared" ref="G80" si="118">IFERROR(VLOOKUP(G81,$A$2:$B$122,2,FALSE),"")</f>
        <v>-</v>
      </c>
    </row>
    <row r="81" spans="1:7" ht="16" x14ac:dyDescent="0.2">
      <c r="A81" s="15"/>
      <c r="B81" s="75"/>
      <c r="C81" s="58" t="s">
        <v>312</v>
      </c>
      <c r="D81" s="58" t="s">
        <v>312</v>
      </c>
      <c r="E81" s="58" t="s">
        <v>312</v>
      </c>
      <c r="F81" s="58" t="s">
        <v>312</v>
      </c>
      <c r="G81" s="58" t="s">
        <v>312</v>
      </c>
    </row>
    <row r="82" spans="1:7" x14ac:dyDescent="0.2">
      <c r="A82" s="12" t="s">
        <v>195</v>
      </c>
      <c r="B82" s="76" t="s">
        <v>191</v>
      </c>
      <c r="C82" s="11" t="str">
        <f>IFERROR(VLOOKUP(C83,$A$2:$B$122,2,FALSE),"")</f>
        <v>-</v>
      </c>
      <c r="D82" s="11" t="str">
        <f t="shared" ref="D82" si="119">IFERROR(VLOOKUP(D83,$A$2:$B$122,2,FALSE),"")</f>
        <v>-</v>
      </c>
      <c r="E82" s="11" t="str">
        <f t="shared" ref="E82:F82" si="120">IFERROR(VLOOKUP(E83,$A$2:$B$122,2,FALSE),"")</f>
        <v>-</v>
      </c>
      <c r="F82" s="11" t="str">
        <f t="shared" si="120"/>
        <v>-</v>
      </c>
      <c r="G82" s="11" t="str">
        <f t="shared" ref="G82" si="121">IFERROR(VLOOKUP(G83,$A$2:$B$122,2,FALSE),"")</f>
        <v>-</v>
      </c>
    </row>
    <row r="83" spans="1:7" x14ac:dyDescent="0.2">
      <c r="A83" s="12"/>
      <c r="B83" s="76"/>
      <c r="C83" s="11" t="s">
        <v>312</v>
      </c>
      <c r="D83" s="11" t="s">
        <v>312</v>
      </c>
      <c r="E83" s="11" t="s">
        <v>312</v>
      </c>
      <c r="F83" s="11" t="s">
        <v>312</v>
      </c>
      <c r="G83" s="11" t="s">
        <v>312</v>
      </c>
    </row>
    <row r="84" spans="1:7" x14ac:dyDescent="0.2">
      <c r="A84" s="15" t="s">
        <v>201</v>
      </c>
      <c r="B84" s="75" t="s">
        <v>194</v>
      </c>
      <c r="C84" t="str">
        <f>IFERROR(VLOOKUP(C85,$A$2:$B$122,2,FALSE),"")</f>
        <v>-</v>
      </c>
      <c r="D84" t="str">
        <f t="shared" ref="D84" si="122">IFERROR(VLOOKUP(D85,$A$2:$B$122,2,FALSE),"")</f>
        <v>-</v>
      </c>
      <c r="E84" t="str">
        <f t="shared" ref="E84:F84" si="123">IFERROR(VLOOKUP(E85,$A$2:$B$122,2,FALSE),"")</f>
        <v>-</v>
      </c>
      <c r="F84" t="str">
        <f t="shared" si="123"/>
        <v>-</v>
      </c>
      <c r="G84" t="str">
        <f t="shared" ref="G84" si="124">IFERROR(VLOOKUP(G85,$A$2:$B$122,2,FALSE),"")</f>
        <v>-</v>
      </c>
    </row>
    <row r="85" spans="1:7" ht="16" x14ac:dyDescent="0.2">
      <c r="A85" s="15"/>
      <c r="B85" s="75"/>
      <c r="C85" s="58" t="s">
        <v>312</v>
      </c>
      <c r="D85" s="58" t="s">
        <v>312</v>
      </c>
      <c r="E85" s="58" t="s">
        <v>312</v>
      </c>
      <c r="F85" s="58" t="s">
        <v>312</v>
      </c>
      <c r="G85" s="58" t="s">
        <v>312</v>
      </c>
    </row>
    <row r="86" spans="1:7" x14ac:dyDescent="0.2">
      <c r="A86" s="12" t="s">
        <v>212</v>
      </c>
      <c r="B86" s="11" t="s">
        <v>291</v>
      </c>
      <c r="C86" s="11" t="str">
        <f>IFERROR(VLOOKUP(C87,$A$2:$B$122,2,FALSE),"")</f>
        <v>MLEO_05_03</v>
      </c>
      <c r="D86" s="11" t="str">
        <f t="shared" ref="D86" si="125">IFERROR(VLOOKUP(D87,$A$2:$B$122,2,FALSE),"")</f>
        <v>MLEO_05_04</v>
      </c>
      <c r="E86" s="11" t="str">
        <f t="shared" ref="E86:F86" si="126">IFERROR(VLOOKUP(E87,$A$2:$B$122,2,FALSE),"")</f>
        <v>-</v>
      </c>
      <c r="F86" s="11" t="str">
        <f t="shared" si="126"/>
        <v>-</v>
      </c>
      <c r="G86" s="11" t="str">
        <f t="shared" ref="G86" si="127">IFERROR(VLOOKUP(G87,$A$2:$B$122,2,FALSE),"")</f>
        <v>-</v>
      </c>
    </row>
    <row r="87" spans="1:7" x14ac:dyDescent="0.2">
      <c r="A87" s="12"/>
      <c r="B87" s="11"/>
      <c r="C87" s="11" t="s">
        <v>218</v>
      </c>
      <c r="D87" s="11" t="s">
        <v>221</v>
      </c>
      <c r="E87" s="11" t="s">
        <v>312</v>
      </c>
      <c r="F87" s="11" t="s">
        <v>312</v>
      </c>
      <c r="G87" s="11" t="s">
        <v>312</v>
      </c>
    </row>
    <row r="88" spans="1:7" x14ac:dyDescent="0.2">
      <c r="A88" s="15" t="s">
        <v>215</v>
      </c>
      <c r="B88" s="14" t="s">
        <v>292</v>
      </c>
      <c r="C88" t="str">
        <f>IFERROR(VLOOKUP(C89,$A$2:$B$122,2,FALSE),"")</f>
        <v>-</v>
      </c>
      <c r="D88" t="str">
        <f t="shared" ref="D88" si="128">IFERROR(VLOOKUP(D89,$A$2:$B$122,2,FALSE),"")</f>
        <v>-</v>
      </c>
      <c r="E88" t="str">
        <f t="shared" ref="E88:F88" si="129">IFERROR(VLOOKUP(E89,$A$2:$B$122,2,FALSE),"")</f>
        <v>-</v>
      </c>
      <c r="F88" t="str">
        <f t="shared" si="129"/>
        <v>-</v>
      </c>
      <c r="G88" t="str">
        <f t="shared" ref="G88" si="130">IFERROR(VLOOKUP(G89,$A$2:$B$122,2,FALSE),"")</f>
        <v>-</v>
      </c>
    </row>
    <row r="89" spans="1:7" ht="16" x14ac:dyDescent="0.2">
      <c r="A89" s="15"/>
      <c r="B89" s="14"/>
      <c r="C89" s="58" t="s">
        <v>312</v>
      </c>
      <c r="D89" s="58" t="s">
        <v>312</v>
      </c>
      <c r="E89" s="58" t="s">
        <v>312</v>
      </c>
      <c r="F89" s="58" t="s">
        <v>312</v>
      </c>
      <c r="G89" s="58" t="s">
        <v>312</v>
      </c>
    </row>
    <row r="90" spans="1:7" x14ac:dyDescent="0.2">
      <c r="A90" s="12" t="s">
        <v>218</v>
      </c>
      <c r="B90" s="11" t="s">
        <v>293</v>
      </c>
      <c r="C90" s="11" t="str">
        <f>IFERROR(VLOOKUP(C91,$A$2:$B$122,2,FALSE),"")</f>
        <v>-</v>
      </c>
      <c r="D90" s="11" t="str">
        <f t="shared" ref="D90" si="131">IFERROR(VLOOKUP(D91,$A$2:$B$122,2,FALSE),"")</f>
        <v>-</v>
      </c>
      <c r="E90" s="11" t="str">
        <f t="shared" ref="E90:F90" si="132">IFERROR(VLOOKUP(E91,$A$2:$B$122,2,FALSE),"")</f>
        <v>-</v>
      </c>
      <c r="F90" s="11" t="str">
        <f t="shared" si="132"/>
        <v>-</v>
      </c>
      <c r="G90" s="11" t="str">
        <f t="shared" ref="G90" si="133">IFERROR(VLOOKUP(G91,$A$2:$B$122,2,FALSE),"")</f>
        <v>-</v>
      </c>
    </row>
    <row r="91" spans="1:7" x14ac:dyDescent="0.2">
      <c r="A91" s="12"/>
      <c r="B91" s="11"/>
      <c r="C91" s="11" t="s">
        <v>312</v>
      </c>
      <c r="D91" s="11" t="s">
        <v>312</v>
      </c>
      <c r="E91" s="11" t="s">
        <v>312</v>
      </c>
      <c r="F91" s="11" t="s">
        <v>312</v>
      </c>
      <c r="G91" s="11" t="s">
        <v>312</v>
      </c>
    </row>
    <row r="92" spans="1:7" x14ac:dyDescent="0.2">
      <c r="A92" s="15" t="s">
        <v>221</v>
      </c>
      <c r="B92" s="14" t="s">
        <v>294</v>
      </c>
      <c r="C92" t="str">
        <f>IFERROR(VLOOKUP(C93,$A$2:$B$122,2,FALSE),"")</f>
        <v>-</v>
      </c>
      <c r="D92" t="str">
        <f t="shared" ref="D92" si="134">IFERROR(VLOOKUP(D93,$A$2:$B$122,2,FALSE),"")</f>
        <v>-</v>
      </c>
      <c r="E92" t="str">
        <f t="shared" ref="E92:F92" si="135">IFERROR(VLOOKUP(E93,$A$2:$B$122,2,FALSE),"")</f>
        <v>-</v>
      </c>
      <c r="F92" t="str">
        <f t="shared" si="135"/>
        <v>-</v>
      </c>
      <c r="G92" t="str">
        <f t="shared" ref="G92" si="136">IFERROR(VLOOKUP(G93,$A$2:$B$122,2,FALSE),"")</f>
        <v>-</v>
      </c>
    </row>
    <row r="93" spans="1:7" ht="16" x14ac:dyDescent="0.2">
      <c r="A93" s="15"/>
      <c r="B93" s="14"/>
      <c r="C93" s="58" t="s">
        <v>312</v>
      </c>
      <c r="D93" s="58" t="s">
        <v>312</v>
      </c>
      <c r="E93" s="58" t="s">
        <v>312</v>
      </c>
      <c r="F93" s="58" t="s">
        <v>312</v>
      </c>
      <c r="G93" s="58" t="s">
        <v>312</v>
      </c>
    </row>
    <row r="94" spans="1:7" x14ac:dyDescent="0.2">
      <c r="A94" s="12" t="s">
        <v>313</v>
      </c>
      <c r="B94" s="11" t="s">
        <v>295</v>
      </c>
      <c r="C94" s="11" t="str">
        <f>IFERROR(VLOOKUP(C95,$A$2:$B$122,2,FALSE),"")</f>
        <v>-</v>
      </c>
      <c r="D94" s="11" t="str">
        <f t="shared" ref="D94" si="137">IFERROR(VLOOKUP(D95,$A$2:$B$122,2,FALSE),"")</f>
        <v>-</v>
      </c>
      <c r="E94" s="11" t="str">
        <f t="shared" ref="E94:F94" si="138">IFERROR(VLOOKUP(E95,$A$2:$B$122,2,FALSE),"")</f>
        <v>-</v>
      </c>
      <c r="F94" s="11" t="str">
        <f t="shared" si="138"/>
        <v>-</v>
      </c>
      <c r="G94" s="11" t="str">
        <f t="shared" ref="G94" si="139">IFERROR(VLOOKUP(G95,$A$2:$B$122,2,FALSE),"")</f>
        <v>-</v>
      </c>
    </row>
    <row r="95" spans="1:7" x14ac:dyDescent="0.2">
      <c r="A95" s="12"/>
      <c r="B95" s="11"/>
      <c r="C95" s="11" t="s">
        <v>312</v>
      </c>
      <c r="D95" s="11" t="s">
        <v>312</v>
      </c>
      <c r="E95" s="11" t="s">
        <v>312</v>
      </c>
      <c r="F95" s="11" t="s">
        <v>312</v>
      </c>
      <c r="G95" s="11" t="s">
        <v>312</v>
      </c>
    </row>
    <row r="96" spans="1:7" x14ac:dyDescent="0.2">
      <c r="A96" s="15" t="s">
        <v>224</v>
      </c>
      <c r="B96" s="14" t="s">
        <v>298</v>
      </c>
      <c r="C96" t="str">
        <f>IFERROR(VLOOKUP(C97,$A$2:$B$122,2,FALSE),"")</f>
        <v>-</v>
      </c>
      <c r="D96" t="str">
        <f t="shared" ref="D96" si="140">IFERROR(VLOOKUP(D97,$A$2:$B$122,2,FALSE),"")</f>
        <v>-</v>
      </c>
      <c r="E96" t="str">
        <f t="shared" ref="E96:F96" si="141">IFERROR(VLOOKUP(E97,$A$2:$B$122,2,FALSE),"")</f>
        <v>-</v>
      </c>
      <c r="F96" t="str">
        <f t="shared" si="141"/>
        <v>-</v>
      </c>
      <c r="G96" t="str">
        <f t="shared" ref="G96" si="142">IFERROR(VLOOKUP(G97,$A$2:$B$122,2,FALSE),"")</f>
        <v>-</v>
      </c>
    </row>
    <row r="97" spans="1:7" ht="16" x14ac:dyDescent="0.2">
      <c r="A97" s="15"/>
      <c r="B97" s="14"/>
      <c r="C97" s="58" t="s">
        <v>312</v>
      </c>
      <c r="D97" s="58" t="s">
        <v>312</v>
      </c>
      <c r="E97" s="58" t="s">
        <v>312</v>
      </c>
      <c r="F97" s="58" t="s">
        <v>312</v>
      </c>
      <c r="G97" s="58" t="s">
        <v>312</v>
      </c>
    </row>
    <row r="98" spans="1:7" x14ac:dyDescent="0.2">
      <c r="A98" s="12" t="s">
        <v>300</v>
      </c>
      <c r="B98" s="11" t="s">
        <v>211</v>
      </c>
      <c r="C98" s="11" t="str">
        <f>IFERROR(VLOOKUP(C99,$A$2:$B$122,2,FALSE),"")</f>
        <v>-</v>
      </c>
      <c r="D98" s="11" t="str">
        <f t="shared" ref="D98" si="143">IFERROR(VLOOKUP(D99,$A$2:$B$122,2,FALSE),"")</f>
        <v>-</v>
      </c>
      <c r="E98" s="11" t="str">
        <f t="shared" ref="E98:F98" si="144">IFERROR(VLOOKUP(E99,$A$2:$B$122,2,FALSE),"")</f>
        <v>-</v>
      </c>
      <c r="F98" s="11" t="str">
        <f t="shared" si="144"/>
        <v>-</v>
      </c>
      <c r="G98" s="11" t="str">
        <f t="shared" ref="G98" si="145">IFERROR(VLOOKUP(G99,$A$2:$B$122,2,FALSE),"")</f>
        <v>-</v>
      </c>
    </row>
    <row r="99" spans="1:7" x14ac:dyDescent="0.2">
      <c r="A99" s="12"/>
      <c r="B99" s="11"/>
      <c r="C99" s="11" t="s">
        <v>312</v>
      </c>
      <c r="D99" s="11" t="s">
        <v>312</v>
      </c>
      <c r="E99" s="11" t="s">
        <v>312</v>
      </c>
      <c r="F99" s="11" t="s">
        <v>312</v>
      </c>
      <c r="G99" s="11" t="s">
        <v>312</v>
      </c>
    </row>
    <row r="100" spans="1:7" x14ac:dyDescent="0.2">
      <c r="A100" s="15" t="s">
        <v>302</v>
      </c>
      <c r="B100" s="14" t="s">
        <v>214</v>
      </c>
      <c r="C100" t="str">
        <f t="shared" ref="C100:D100" si="146">IFERROR(VLOOKUP(C101,$A$2:$B$122,2,FALSE),"")</f>
        <v>-</v>
      </c>
      <c r="D100" t="str">
        <f t="shared" si="146"/>
        <v>-</v>
      </c>
      <c r="E100" t="str">
        <f t="shared" ref="E100:F100" si="147">IFERROR(VLOOKUP(E101,$A$2:$B$122,2,FALSE),"")</f>
        <v>-</v>
      </c>
      <c r="F100" t="str">
        <f t="shared" si="147"/>
        <v>-</v>
      </c>
      <c r="G100" t="str">
        <f t="shared" ref="G100" si="148">IFERROR(VLOOKUP(G101,$A$2:$B$122,2,FALSE),"")</f>
        <v>-</v>
      </c>
    </row>
    <row r="101" spans="1:7" ht="16" x14ac:dyDescent="0.2">
      <c r="A101" s="15"/>
      <c r="B101" s="14"/>
      <c r="C101" s="58" t="s">
        <v>312</v>
      </c>
      <c r="D101" s="58" t="s">
        <v>312</v>
      </c>
      <c r="E101" s="58" t="s">
        <v>312</v>
      </c>
      <c r="F101" s="58" t="s">
        <v>312</v>
      </c>
      <c r="G101" s="58" t="s">
        <v>312</v>
      </c>
    </row>
    <row r="102" spans="1:7" x14ac:dyDescent="0.2">
      <c r="A102" s="12" t="s">
        <v>304</v>
      </c>
      <c r="B102" s="11" t="s">
        <v>217</v>
      </c>
      <c r="C102" s="11" t="str">
        <f>IFERROR(VLOOKUP(C103,$A$2:$B$122,2,FALSE),"")</f>
        <v>MLEO_06_01</v>
      </c>
      <c r="D102" s="11" t="str">
        <f t="shared" ref="D102" si="149">IFERROR(VLOOKUP(D103,$A$2:$B$122,2,FALSE),"")</f>
        <v>-</v>
      </c>
      <c r="E102" s="11" t="str">
        <f t="shared" ref="E102:F102" si="150">IFERROR(VLOOKUP(E103,$A$2:$B$122,2,FALSE),"")</f>
        <v>-</v>
      </c>
      <c r="F102" s="11" t="str">
        <f t="shared" si="150"/>
        <v>-</v>
      </c>
      <c r="G102" s="11" t="str">
        <f t="shared" ref="G102" si="151">IFERROR(VLOOKUP(G103,$A$2:$B$122,2,FALSE),"")</f>
        <v>-</v>
      </c>
    </row>
    <row r="103" spans="1:7" x14ac:dyDescent="0.2">
      <c r="A103" s="12"/>
      <c r="B103" s="11"/>
      <c r="C103" s="11" t="s">
        <v>300</v>
      </c>
      <c r="D103" s="11" t="s">
        <v>312</v>
      </c>
      <c r="E103" s="11" t="s">
        <v>312</v>
      </c>
      <c r="F103" s="11" t="s">
        <v>312</v>
      </c>
      <c r="G103" s="11" t="s">
        <v>312</v>
      </c>
    </row>
    <row r="104" spans="1:7" x14ac:dyDescent="0.2">
      <c r="A104" s="15" t="s">
        <v>306</v>
      </c>
      <c r="B104" s="14" t="s">
        <v>220</v>
      </c>
      <c r="C104" t="str">
        <f>IFERROR(VLOOKUP(C105,$A$2:$B$122,2,FALSE),"")</f>
        <v>MLEO_07_01</v>
      </c>
      <c r="D104" t="str">
        <f t="shared" ref="D104" si="152">IFERROR(VLOOKUP(D105,$A$2:$B$122,2,FALSE),"")</f>
        <v>MLEO_07_02</v>
      </c>
      <c r="E104" t="str">
        <f t="shared" ref="E104:F104" si="153">IFERROR(VLOOKUP(E105,$A$2:$B$122,2,FALSE),"")</f>
        <v>-</v>
      </c>
      <c r="F104" t="str">
        <f t="shared" si="153"/>
        <v>-</v>
      </c>
      <c r="G104" t="str">
        <f t="shared" ref="G104" si="154">IFERROR(VLOOKUP(G105,$A$2:$B$122,2,FALSE),"")</f>
        <v>-</v>
      </c>
    </row>
    <row r="105" spans="1:7" ht="16" x14ac:dyDescent="0.2">
      <c r="A105" s="15"/>
      <c r="B105" s="14"/>
      <c r="C105" s="58" t="s">
        <v>227</v>
      </c>
      <c r="D105" s="58" t="s">
        <v>230</v>
      </c>
      <c r="E105" s="58" t="s">
        <v>312</v>
      </c>
      <c r="F105" s="58" t="s">
        <v>312</v>
      </c>
      <c r="G105" s="58" t="s">
        <v>312</v>
      </c>
    </row>
    <row r="106" spans="1:7" x14ac:dyDescent="0.2">
      <c r="A106" s="12" t="s">
        <v>227</v>
      </c>
      <c r="B106" s="11" t="s">
        <v>308</v>
      </c>
      <c r="C106" s="11" t="str">
        <f>IFERROR(VLOOKUP(C107,$A$2:$B$122,2,FALSE),"")</f>
        <v>-</v>
      </c>
      <c r="D106" s="11" t="str">
        <f t="shared" ref="D106" si="155">IFERROR(VLOOKUP(D107,$A$2:$B$122,2,FALSE),"")</f>
        <v>-</v>
      </c>
      <c r="E106" s="11" t="str">
        <f t="shared" ref="E106:F106" si="156">IFERROR(VLOOKUP(E107,$A$2:$B$122,2,FALSE),"")</f>
        <v>-</v>
      </c>
      <c r="F106" s="11" t="str">
        <f t="shared" si="156"/>
        <v>-</v>
      </c>
      <c r="G106" s="11" t="str">
        <f t="shared" ref="G106" si="157">IFERROR(VLOOKUP(G107,$A$2:$B$122,2,FALSE),"")</f>
        <v>-</v>
      </c>
    </row>
    <row r="107" spans="1:7" x14ac:dyDescent="0.2">
      <c r="A107" s="12"/>
      <c r="B107" s="11"/>
      <c r="C107" s="11" t="s">
        <v>312</v>
      </c>
      <c r="D107" s="11" t="s">
        <v>312</v>
      </c>
      <c r="E107" s="11" t="s">
        <v>312</v>
      </c>
      <c r="F107" s="11" t="s">
        <v>312</v>
      </c>
      <c r="G107" s="11" t="s">
        <v>312</v>
      </c>
    </row>
    <row r="108" spans="1:7" x14ac:dyDescent="0.2">
      <c r="A108" s="15" t="s">
        <v>230</v>
      </c>
      <c r="B108" s="14" t="s">
        <v>309</v>
      </c>
      <c r="C108" t="str">
        <f>IFERROR(VLOOKUP(C109,$A$2:$B$122,2,FALSE),"")</f>
        <v>-</v>
      </c>
      <c r="D108" t="str">
        <f t="shared" ref="D108" si="158">IFERROR(VLOOKUP(D109,$A$2:$B$122,2,FALSE),"")</f>
        <v>-</v>
      </c>
      <c r="E108" t="str">
        <f t="shared" ref="E108:F108" si="159">IFERROR(VLOOKUP(E109,$A$2:$B$122,2,FALSE),"")</f>
        <v>-</v>
      </c>
      <c r="F108" t="str">
        <f t="shared" si="159"/>
        <v>-</v>
      </c>
      <c r="G108" t="str">
        <f t="shared" ref="G108" si="160">IFERROR(VLOOKUP(G109,$A$2:$B$122,2,FALSE),"")</f>
        <v>-</v>
      </c>
    </row>
    <row r="109" spans="1:7" ht="16" x14ac:dyDescent="0.2">
      <c r="A109" s="15"/>
      <c r="B109" s="14"/>
      <c r="C109" s="58" t="s">
        <v>312</v>
      </c>
      <c r="D109" s="58" t="s">
        <v>312</v>
      </c>
      <c r="E109" s="58" t="s">
        <v>312</v>
      </c>
      <c r="F109" s="58" t="s">
        <v>312</v>
      </c>
      <c r="G109" s="58" t="s">
        <v>312</v>
      </c>
    </row>
    <row r="110" spans="1:7" x14ac:dyDescent="0.2">
      <c r="A110" s="12" t="s">
        <v>233</v>
      </c>
      <c r="B110" s="11" t="s">
        <v>226</v>
      </c>
      <c r="C110" s="11" t="str">
        <f>IFERROR(VLOOKUP(C111,$A$2:$B$122,2,FALSE),"")</f>
        <v>MLEO_08_02</v>
      </c>
      <c r="D110" s="11" t="str">
        <f t="shared" ref="D110" si="161">IFERROR(VLOOKUP(D111,$A$2:$B$122,2,FALSE),"")</f>
        <v>-</v>
      </c>
      <c r="E110" s="11" t="str">
        <f t="shared" ref="E110:F110" si="162">IFERROR(VLOOKUP(E111,$A$2:$B$122,2,FALSE),"")</f>
        <v>-</v>
      </c>
      <c r="F110" s="11" t="str">
        <f t="shared" si="162"/>
        <v>-</v>
      </c>
      <c r="G110" s="11" t="str">
        <f t="shared" ref="G110" si="163">IFERROR(VLOOKUP(G111,$A$2:$B$122,2,FALSE),"")</f>
        <v>-</v>
      </c>
    </row>
    <row r="111" spans="1:7" x14ac:dyDescent="0.2">
      <c r="A111" s="12"/>
      <c r="B111" s="11"/>
      <c r="C111" s="11" t="s">
        <v>236</v>
      </c>
      <c r="D111" s="11" t="s">
        <v>312</v>
      </c>
      <c r="E111" s="11" t="s">
        <v>312</v>
      </c>
      <c r="F111" s="11" t="s">
        <v>312</v>
      </c>
      <c r="G111" s="11" t="s">
        <v>312</v>
      </c>
    </row>
    <row r="112" spans="1:7" x14ac:dyDescent="0.2">
      <c r="A112" s="15" t="s">
        <v>236</v>
      </c>
      <c r="B112" s="14" t="s">
        <v>229</v>
      </c>
      <c r="C112" t="str">
        <f>IFERROR(VLOOKUP(C113,$A$2:$B$122,2,FALSE),"")</f>
        <v>-</v>
      </c>
      <c r="D112" t="str">
        <f t="shared" ref="D112" si="164">IFERROR(VLOOKUP(D113,$A$2:$B$122,2,FALSE),"")</f>
        <v>-</v>
      </c>
      <c r="E112" t="str">
        <f t="shared" ref="E112:F112" si="165">IFERROR(VLOOKUP(E113,$A$2:$B$122,2,FALSE),"")</f>
        <v>-</v>
      </c>
      <c r="F112" t="str">
        <f t="shared" si="165"/>
        <v>-</v>
      </c>
      <c r="G112" t="str">
        <f t="shared" ref="G112" si="166">IFERROR(VLOOKUP(G113,$A$2:$B$122,2,FALSE),"")</f>
        <v>-</v>
      </c>
    </row>
    <row r="113" spans="1:7" ht="16" x14ac:dyDescent="0.2">
      <c r="A113" s="15"/>
      <c r="B113" s="14"/>
      <c r="C113" s="58" t="s">
        <v>312</v>
      </c>
      <c r="D113" s="58" t="s">
        <v>312</v>
      </c>
      <c r="E113" s="58" t="s">
        <v>312</v>
      </c>
      <c r="F113" s="58" t="s">
        <v>312</v>
      </c>
      <c r="G113" s="58" t="s">
        <v>312</v>
      </c>
    </row>
    <row r="114" spans="1:7" x14ac:dyDescent="0.2">
      <c r="A114" s="12" t="s">
        <v>254</v>
      </c>
      <c r="B114" s="11" t="s">
        <v>253</v>
      </c>
      <c r="C114" s="11" t="str">
        <f>IFERROR(VLOOKUP(C115,$A$2:$B$122,2,FALSE),"")</f>
        <v>-</v>
      </c>
      <c r="D114" s="11" t="str">
        <f t="shared" ref="D114" si="167">IFERROR(VLOOKUP(D115,$A$2:$B$122,2,FALSE),"")</f>
        <v>-</v>
      </c>
      <c r="E114" s="11" t="str">
        <f t="shared" ref="E114:F114" si="168">IFERROR(VLOOKUP(E115,$A$2:$B$122,2,FALSE),"")</f>
        <v>-</v>
      </c>
      <c r="F114" s="11" t="str">
        <f t="shared" si="168"/>
        <v>-</v>
      </c>
      <c r="G114" s="11" t="str">
        <f t="shared" ref="G114" si="169">IFERROR(VLOOKUP(G115,$A$2:$B$122,2,FALSE),"")</f>
        <v>-</v>
      </c>
    </row>
    <row r="115" spans="1:7" x14ac:dyDescent="0.2">
      <c r="A115" s="12"/>
      <c r="B115" s="11"/>
      <c r="C115" s="11" t="s">
        <v>312</v>
      </c>
      <c r="D115" s="11" t="s">
        <v>312</v>
      </c>
      <c r="E115" s="11" t="s">
        <v>312</v>
      </c>
      <c r="F115" s="11" t="s">
        <v>312</v>
      </c>
      <c r="G115" s="11" t="s">
        <v>312</v>
      </c>
    </row>
    <row r="116" spans="1:7" x14ac:dyDescent="0.2">
      <c r="A116" s="15" t="s">
        <v>257</v>
      </c>
      <c r="B116" s="14" t="s">
        <v>256</v>
      </c>
      <c r="C116" t="str">
        <f>IFERROR(VLOOKUP(C117,$A$2:$B$122,2,FALSE),"")</f>
        <v>-</v>
      </c>
      <c r="D116" t="str">
        <f t="shared" ref="D116" si="170">IFERROR(VLOOKUP(D117,$A$2:$B$122,2,FALSE),"")</f>
        <v>-</v>
      </c>
      <c r="E116" t="str">
        <f t="shared" ref="E116:F116" si="171">IFERROR(VLOOKUP(E117,$A$2:$B$122,2,FALSE),"")</f>
        <v>-</v>
      </c>
      <c r="F116" t="str">
        <f t="shared" si="171"/>
        <v>-</v>
      </c>
      <c r="G116" t="str">
        <f t="shared" ref="G116" si="172">IFERROR(VLOOKUP(G117,$A$2:$B$122,2,FALSE),"")</f>
        <v>-</v>
      </c>
    </row>
    <row r="117" spans="1:7" ht="16" x14ac:dyDescent="0.2">
      <c r="A117" s="15"/>
      <c r="B117" s="14"/>
      <c r="C117" s="58" t="s">
        <v>312</v>
      </c>
      <c r="D117" s="58" t="s">
        <v>312</v>
      </c>
      <c r="E117" s="58" t="s">
        <v>312</v>
      </c>
      <c r="F117" s="58" t="s">
        <v>312</v>
      </c>
      <c r="G117" s="58" t="s">
        <v>312</v>
      </c>
    </row>
    <row r="118" spans="1:7" x14ac:dyDescent="0.2">
      <c r="A118" s="12" t="s">
        <v>260</v>
      </c>
      <c r="B118" s="11" t="s">
        <v>259</v>
      </c>
      <c r="C118" s="11" t="str">
        <f>IFERROR(VLOOKUP(C119,$A$2:$B$122,2,FALSE),"")</f>
        <v>-</v>
      </c>
      <c r="D118" s="11" t="str">
        <f t="shared" ref="D118" si="173">IFERROR(VLOOKUP(D119,$A$2:$B$122,2,FALSE),"")</f>
        <v>-</v>
      </c>
      <c r="E118" s="11" t="str">
        <f t="shared" ref="E118:F118" si="174">IFERROR(VLOOKUP(E119,$A$2:$B$122,2,FALSE),"")</f>
        <v>-</v>
      </c>
      <c r="F118" s="11" t="str">
        <f t="shared" si="174"/>
        <v>-</v>
      </c>
      <c r="G118" s="11" t="str">
        <f t="shared" ref="G118" si="175">IFERROR(VLOOKUP(G119,$A$2:$B$122,2,FALSE),"")</f>
        <v>-</v>
      </c>
    </row>
    <row r="119" spans="1:7" x14ac:dyDescent="0.2">
      <c r="A119" s="12"/>
      <c r="B119" s="11"/>
      <c r="C119" s="11" t="s">
        <v>312</v>
      </c>
      <c r="D119" s="11" t="s">
        <v>312</v>
      </c>
      <c r="E119" s="11" t="s">
        <v>312</v>
      </c>
      <c r="F119" s="11" t="s">
        <v>312</v>
      </c>
      <c r="G119" s="11" t="s">
        <v>312</v>
      </c>
    </row>
    <row r="120" spans="1:7" x14ac:dyDescent="0.2">
      <c r="A120" s="15" t="s">
        <v>263</v>
      </c>
      <c r="B120" s="14" t="s">
        <v>262</v>
      </c>
      <c r="C120" t="str">
        <f>IFERROR(VLOOKUP(C121,$A$2:$B$122,2,FALSE),"")</f>
        <v>-</v>
      </c>
      <c r="D120" t="str">
        <f t="shared" ref="D120" si="176">IFERROR(VLOOKUP(D121,$A$2:$B$122,2,FALSE),"")</f>
        <v>-</v>
      </c>
      <c r="E120" t="str">
        <f t="shared" ref="E120:F120" si="177">IFERROR(VLOOKUP(E121,$A$2:$B$122,2,FALSE),"")</f>
        <v>-</v>
      </c>
      <c r="F120" t="str">
        <f t="shared" si="177"/>
        <v>-</v>
      </c>
      <c r="G120" t="str">
        <f t="shared" ref="G120" si="178">IFERROR(VLOOKUP(G121,$A$2:$B$122,2,FALSE),"")</f>
        <v>-</v>
      </c>
    </row>
    <row r="121" spans="1:7" ht="16" x14ac:dyDescent="0.2">
      <c r="C121" s="58" t="s">
        <v>312</v>
      </c>
      <c r="D121" s="58" t="s">
        <v>312</v>
      </c>
      <c r="E121" s="58" t="s">
        <v>312</v>
      </c>
      <c r="F121" s="58" t="s">
        <v>312</v>
      </c>
      <c r="G121" s="58" t="s">
        <v>312</v>
      </c>
    </row>
    <row r="122" spans="1:7" x14ac:dyDescent="0.2">
      <c r="A122" s="12" t="s">
        <v>312</v>
      </c>
      <c r="B122" s="11" t="s">
        <v>312</v>
      </c>
      <c r="C122" s="11"/>
      <c r="D122" s="11"/>
      <c r="E122" s="11"/>
      <c r="F122" s="11"/>
      <c r="G122" s="11"/>
    </row>
  </sheetData>
  <mergeCells count="1">
    <mergeCell ref="C1:G1"/>
  </mergeCells>
  <dataValidations count="4">
    <dataValidation type="list" allowBlank="1" showInputMessage="1" showErrorMessage="1" sqref="H2:H16 H18:H121" xr:uid="{75F754B1-0C85-446C-A876-54B6402C58F3}">
      <formula1>$B$2:$B$120</formula1>
    </dataValidation>
    <dataValidation allowBlank="1" showInputMessage="1" showErrorMessage="1" sqref="H17:I17 C123:G124 C4:G4 C110:G110 C112:G112 C116:G116 C114:G114 C118:G118 C108:G108 C98:G98 C96:G96 C86:G86 C88:G88 C92:G92 C90:G90 C84:G84 C74:G74 C76:G76 C72:G72 C80:G80 C78:G78 C62:G62 C82:G82 C94:G94 C64:G64 C68:G68 C66:G66 C70:G70 C60:G60 C50:G50 C52:G52 C56:G56 C48:G48 C54:G54 C38:G38 C40:G40 C44:G44 C58:G58 C42:G42 C100:G100 C26:G26 C46:G46 C28:G28 C32:G32 C30:G30 C24:G24 C120:G120 C20:G20 C18:G18 C22:G22 C34:G34 C12:G12 C14:G14 C104:G104 C2:G2 C16:G16 C8:G8 C6:G6 C10:G10 C102:G102 C106:G106 C36:G36" xr:uid="{4A1508B8-B1C7-4427-A1E7-438C0B48CE7A}"/>
    <dataValidation type="list" allowBlank="1" showInputMessage="1" showErrorMessage="1" sqref="C122:G122" xr:uid="{716CB5C5-6330-4D17-9256-669E6F789B31}">
      <formula1>$B$2:$B$122</formula1>
    </dataValidation>
    <dataValidation type="list" allowBlank="1" showInputMessage="1" showErrorMessage="1" sqref="C5:G5 C7:G7 C13:G13 C11:G11 C9:G9 C17:G17 C19:G19 C21:G21 C23:G23 C25:G25 C27:G27 C29:G29 C31:G31 C33:G33 C35:G35 C101:G101 C39:G39 C41:G41 C43:G43 C45:G45 C47:G47 C49:G49 C51:G51 C53:G53 C55:G55 C57:G57 C59:G59 C61:G61 C63:G63 C65:G65 C67:G67 C69:G69 C71:G71 C73:G73 C75:G75 C77:G77 C79:G79 C81:G81 C83:G83 C85:G85 C87:G87 C89:G89 C91:G91 C93:G93 C95:G95 C97:G97 C99:G99 C15:G15 C103:G103 C105:G105 C107:G107 C109:G109 C111:G111 C113:G113 C115:G115 C117:G117 C119:G119 C121:G121 C3:G3 C37:G37" xr:uid="{015F2AB1-012F-4D80-A8C7-FCCBAFA2CE23}">
      <formula1>$A$2:$A$122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391AC-8853-405F-918F-2F0B2FC3B543}">
  <dimension ref="A1:AU1012"/>
  <sheetViews>
    <sheetView tabSelected="1" workbookViewId="0">
      <pane ySplit="12" topLeftCell="A25" activePane="bottomLeft" state="frozen"/>
      <selection pane="bottomLeft" activeCell="D27" sqref="D27"/>
    </sheetView>
  </sheetViews>
  <sheetFormatPr baseColWidth="10" defaultColWidth="9.1640625" defaultRowHeight="15" x14ac:dyDescent="0.2"/>
  <cols>
    <col min="1" max="1" width="3" customWidth="1"/>
    <col min="2" max="2" width="12.33203125" bestFit="1" customWidth="1"/>
    <col min="3" max="3" width="9.33203125" customWidth="1"/>
    <col min="4" max="4" width="101.6640625" customWidth="1"/>
    <col min="5" max="5" width="9.1640625" customWidth="1"/>
    <col min="6" max="6" width="10.6640625" customWidth="1"/>
    <col min="7" max="7" width="9.6640625" customWidth="1"/>
    <col min="8" max="8" width="11.5" customWidth="1"/>
    <col min="9" max="9" width="10" customWidth="1"/>
    <col min="10" max="10" width="10.6640625" bestFit="1" customWidth="1"/>
    <col min="11" max="11" width="10.6640625" customWidth="1"/>
    <col min="13" max="13" width="10.6640625" customWidth="1"/>
    <col min="15" max="15" width="10.6640625" customWidth="1"/>
    <col min="17" max="17" width="10.1640625" customWidth="1"/>
    <col min="19" max="19" width="9.83203125" customWidth="1"/>
    <col min="21" max="21" width="10.5" customWidth="1"/>
    <col min="23" max="23" width="10.6640625" customWidth="1"/>
    <col min="25" max="25" width="10.6640625" customWidth="1"/>
    <col min="27" max="27" width="10.6640625" customWidth="1"/>
    <col min="29" max="29" width="10.5" customWidth="1"/>
    <col min="31" max="31" width="10.5" customWidth="1"/>
    <col min="33" max="33" width="10.83203125" customWidth="1"/>
    <col min="35" max="35" width="9.83203125" customWidth="1"/>
    <col min="37" max="37" width="10.1640625" customWidth="1"/>
    <col min="39" max="39" width="10.6640625" customWidth="1"/>
    <col min="41" max="41" width="10.5" customWidth="1"/>
    <col min="42" max="42" width="9.83203125" style="55" bestFit="1" customWidth="1"/>
    <col min="43" max="45" width="9.83203125" customWidth="1"/>
    <col min="46" max="46" width="6.1640625" customWidth="1"/>
    <col min="47" max="47" width="74.33203125" customWidth="1"/>
  </cols>
  <sheetData>
    <row r="1" spans="1:47" x14ac:dyDescent="0.2">
      <c r="A1" s="26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89"/>
      <c r="AP1" s="52"/>
      <c r="AQ1" s="52"/>
      <c r="AR1" s="52"/>
      <c r="AS1" s="52"/>
    </row>
    <row r="2" spans="1:47" ht="15" customHeight="1" x14ac:dyDescent="0.2">
      <c r="A2" s="29"/>
      <c r="B2" s="30" t="s">
        <v>314</v>
      </c>
      <c r="C2" s="31"/>
      <c r="D2" s="30" t="s">
        <v>315</v>
      </c>
      <c r="E2" s="31"/>
      <c r="F2" s="108" t="s">
        <v>316</v>
      </c>
      <c r="G2" s="109" t="s">
        <v>10</v>
      </c>
      <c r="H2" s="108" t="s">
        <v>316</v>
      </c>
      <c r="I2" s="109" t="s">
        <v>10</v>
      </c>
      <c r="J2" s="108" t="s">
        <v>316</v>
      </c>
      <c r="K2" s="109" t="s">
        <v>10</v>
      </c>
      <c r="L2" s="108" t="s">
        <v>316</v>
      </c>
      <c r="M2" s="109" t="s">
        <v>10</v>
      </c>
      <c r="N2" s="108" t="s">
        <v>316</v>
      </c>
      <c r="O2" s="109" t="s">
        <v>10</v>
      </c>
      <c r="P2" s="108" t="s">
        <v>316</v>
      </c>
      <c r="Q2" s="109" t="s">
        <v>10</v>
      </c>
      <c r="R2" s="108" t="s">
        <v>316</v>
      </c>
      <c r="S2" s="109" t="s">
        <v>10</v>
      </c>
      <c r="T2" s="108" t="s">
        <v>316</v>
      </c>
      <c r="U2" s="109" t="s">
        <v>10</v>
      </c>
      <c r="V2" s="108" t="s">
        <v>316</v>
      </c>
      <c r="W2" s="109" t="s">
        <v>10</v>
      </c>
      <c r="X2" s="108" t="s">
        <v>316</v>
      </c>
      <c r="Y2" s="109" t="s">
        <v>10</v>
      </c>
      <c r="Z2" s="108" t="s">
        <v>316</v>
      </c>
      <c r="AA2" s="109" t="s">
        <v>10</v>
      </c>
      <c r="AB2" s="108" t="s">
        <v>316</v>
      </c>
      <c r="AC2" s="109" t="s">
        <v>10</v>
      </c>
      <c r="AD2" s="108" t="s">
        <v>316</v>
      </c>
      <c r="AE2" s="109" t="s">
        <v>10</v>
      </c>
      <c r="AF2" s="108" t="s">
        <v>316</v>
      </c>
      <c r="AG2" s="109" t="s">
        <v>10</v>
      </c>
      <c r="AH2" s="108" t="s">
        <v>316</v>
      </c>
      <c r="AI2" s="109" t="s">
        <v>10</v>
      </c>
      <c r="AJ2" s="108" t="s">
        <v>316</v>
      </c>
      <c r="AK2" s="109" t="s">
        <v>10</v>
      </c>
      <c r="AL2" s="108" t="s">
        <v>316</v>
      </c>
      <c r="AM2" s="109" t="s">
        <v>10</v>
      </c>
      <c r="AN2" s="108" t="s">
        <v>316</v>
      </c>
      <c r="AO2" s="109" t="s">
        <v>10</v>
      </c>
      <c r="AP2" s="108" t="s">
        <v>316</v>
      </c>
      <c r="AQ2" s="109" t="s">
        <v>10</v>
      </c>
      <c r="AR2" s="108" t="s">
        <v>316</v>
      </c>
      <c r="AS2" s="109" t="s">
        <v>10</v>
      </c>
    </row>
    <row r="3" spans="1:47" x14ac:dyDescent="0.2">
      <c r="A3" s="29"/>
      <c r="B3" s="30" t="s">
        <v>317</v>
      </c>
      <c r="C3" s="30" t="s">
        <v>318</v>
      </c>
      <c r="D3" s="30">
        <v>60</v>
      </c>
      <c r="E3" s="30" t="s">
        <v>319</v>
      </c>
      <c r="F3" s="31"/>
      <c r="G3" s="32"/>
      <c r="H3" s="97"/>
      <c r="I3" s="32"/>
      <c r="J3" s="97"/>
      <c r="K3" s="32"/>
      <c r="L3" s="97"/>
      <c r="M3" s="32"/>
      <c r="N3" s="97"/>
      <c r="O3" s="32"/>
      <c r="P3" s="97"/>
      <c r="Q3" s="32"/>
      <c r="R3" s="97"/>
      <c r="S3" s="32"/>
      <c r="T3" s="97"/>
      <c r="U3" s="32"/>
      <c r="V3" s="97"/>
      <c r="W3" s="32"/>
      <c r="X3" s="97"/>
      <c r="Y3" s="32"/>
      <c r="Z3" s="97"/>
      <c r="AA3" s="32"/>
      <c r="AB3" s="97"/>
      <c r="AC3" s="32"/>
      <c r="AD3" s="97"/>
      <c r="AE3" s="32"/>
      <c r="AF3" s="97"/>
      <c r="AG3" s="32"/>
      <c r="AH3" s="97"/>
      <c r="AI3" s="32"/>
      <c r="AJ3" s="97"/>
      <c r="AK3" s="32"/>
      <c r="AL3" s="97"/>
      <c r="AM3" s="32"/>
      <c r="AN3" s="97"/>
      <c r="AO3" s="32"/>
      <c r="AP3" s="97"/>
      <c r="AQ3" s="32"/>
      <c r="AR3" s="97"/>
      <c r="AS3" s="32"/>
    </row>
    <row r="4" spans="1:47" x14ac:dyDescent="0.2">
      <c r="A4" s="29"/>
      <c r="B4" s="36">
        <v>60</v>
      </c>
      <c r="C4" s="36">
        <v>4</v>
      </c>
      <c r="D4" s="33" t="s">
        <v>320</v>
      </c>
      <c r="E4" s="34">
        <v>1</v>
      </c>
      <c r="F4" s="34"/>
      <c r="G4" s="35">
        <f>COUNTIF(G$14:G$73,$D4)</f>
        <v>44</v>
      </c>
      <c r="H4" s="98"/>
      <c r="I4" s="35">
        <f>COUNTIF(I$14:I$73,$D4)</f>
        <v>0</v>
      </c>
      <c r="J4" s="98"/>
      <c r="K4" s="35">
        <f>COUNTIF(K$14:K$73,$D4)</f>
        <v>32</v>
      </c>
      <c r="L4" s="98"/>
      <c r="M4" s="35">
        <f>COUNTIF(M$14:M$73,$D4)</f>
        <v>6</v>
      </c>
      <c r="N4" s="98"/>
      <c r="O4" s="35">
        <f>COUNTIF(O$14:O$73,$D4)</f>
        <v>0</v>
      </c>
      <c r="P4" s="98"/>
      <c r="Q4" s="35">
        <f>COUNTIF(Q$14:Q$73,$D4)</f>
        <v>0</v>
      </c>
      <c r="R4" s="98"/>
      <c r="S4" s="35">
        <f>COUNTIF(S$14:S$73,$D4)</f>
        <v>0</v>
      </c>
      <c r="T4" s="98"/>
      <c r="U4" s="35">
        <f>COUNTIF(U$14:U$73,$D4)</f>
        <v>0</v>
      </c>
      <c r="V4" s="98"/>
      <c r="W4" s="35">
        <f>COUNTIF(W$14:W$73,$D4)</f>
        <v>0</v>
      </c>
      <c r="X4" s="98"/>
      <c r="Y4" s="35">
        <f>COUNTIF(Y$14:Y$73,$D4)</f>
        <v>0</v>
      </c>
      <c r="Z4" s="98"/>
      <c r="AA4" s="35">
        <f>COUNTIF(AA$14:AA$73,$D4)</f>
        <v>0</v>
      </c>
      <c r="AB4" s="98"/>
      <c r="AC4" s="35">
        <f>COUNTIF(AC$14:AC$73,$D4)</f>
        <v>0</v>
      </c>
      <c r="AD4" s="98"/>
      <c r="AE4" s="35">
        <f>COUNTIF(AE$14:AE$73,$D4)</f>
        <v>0</v>
      </c>
      <c r="AF4" s="98"/>
      <c r="AG4" s="35">
        <f>COUNTIF(AG$14:AG$73,$D4)</f>
        <v>0</v>
      </c>
      <c r="AH4" s="98"/>
      <c r="AI4" s="35">
        <f>COUNTIF(AI$14:AI$73,$D4)</f>
        <v>0</v>
      </c>
      <c r="AJ4" s="98"/>
      <c r="AK4" s="35">
        <f>COUNTIF(AK$14:AK$73,$D4)</f>
        <v>0</v>
      </c>
      <c r="AL4" s="98"/>
      <c r="AM4" s="35">
        <f>COUNTIF(AM$14:AM$73,$D4)</f>
        <v>0</v>
      </c>
      <c r="AN4" s="98"/>
      <c r="AO4" s="35">
        <f>COUNTIF(AO$14:AO$73,$D4)</f>
        <v>0</v>
      </c>
      <c r="AP4" s="98"/>
      <c r="AQ4" s="35">
        <f>COUNTIF(AQ$14:AQ$73,$D4)</f>
        <v>0</v>
      </c>
      <c r="AR4" s="98"/>
      <c r="AS4" s="35">
        <f>COUNTIF(AS$14:AS$73,$D4)</f>
        <v>0</v>
      </c>
    </row>
    <row r="5" spans="1:47" x14ac:dyDescent="0.2">
      <c r="A5" s="29"/>
      <c r="B5" s="36">
        <v>70</v>
      </c>
      <c r="C5" s="36">
        <v>3</v>
      </c>
      <c r="D5" s="36" t="s">
        <v>321</v>
      </c>
      <c r="E5" s="37">
        <v>0.5</v>
      </c>
      <c r="F5" s="37"/>
      <c r="G5" s="38">
        <f t="shared" ref="G5:AS6" si="0">COUNTIF(G$14:G$73,$D5)</f>
        <v>0</v>
      </c>
      <c r="H5" s="99"/>
      <c r="I5" s="38">
        <f t="shared" si="0"/>
        <v>60</v>
      </c>
      <c r="J5" s="99"/>
      <c r="K5" s="38">
        <f t="shared" si="0"/>
        <v>8</v>
      </c>
      <c r="L5" s="99"/>
      <c r="M5" s="38">
        <f t="shared" si="0"/>
        <v>0</v>
      </c>
      <c r="N5" s="99"/>
      <c r="O5" s="38">
        <f t="shared" si="0"/>
        <v>0</v>
      </c>
      <c r="P5" s="99"/>
      <c r="Q5" s="38">
        <f t="shared" si="0"/>
        <v>0</v>
      </c>
      <c r="R5" s="99"/>
      <c r="S5" s="38">
        <f t="shared" si="0"/>
        <v>0</v>
      </c>
      <c r="T5" s="99"/>
      <c r="U5" s="38">
        <f t="shared" si="0"/>
        <v>0</v>
      </c>
      <c r="V5" s="99"/>
      <c r="W5" s="38">
        <f t="shared" si="0"/>
        <v>0</v>
      </c>
      <c r="X5" s="99"/>
      <c r="Y5" s="38">
        <f t="shared" si="0"/>
        <v>0</v>
      </c>
      <c r="Z5" s="99"/>
      <c r="AA5" s="38">
        <f t="shared" si="0"/>
        <v>0</v>
      </c>
      <c r="AB5" s="99"/>
      <c r="AC5" s="38">
        <f t="shared" si="0"/>
        <v>0</v>
      </c>
      <c r="AD5" s="99"/>
      <c r="AE5" s="38">
        <f t="shared" si="0"/>
        <v>0</v>
      </c>
      <c r="AF5" s="99"/>
      <c r="AG5" s="38">
        <f t="shared" si="0"/>
        <v>0</v>
      </c>
      <c r="AH5" s="99"/>
      <c r="AI5" s="38">
        <f t="shared" si="0"/>
        <v>0</v>
      </c>
      <c r="AJ5" s="99"/>
      <c r="AK5" s="38">
        <f t="shared" si="0"/>
        <v>0</v>
      </c>
      <c r="AL5" s="99"/>
      <c r="AM5" s="38">
        <f t="shared" si="0"/>
        <v>0</v>
      </c>
      <c r="AN5" s="99"/>
      <c r="AO5" s="38">
        <f t="shared" si="0"/>
        <v>0</v>
      </c>
      <c r="AP5" s="99"/>
      <c r="AQ5" s="38">
        <f t="shared" si="0"/>
        <v>0</v>
      </c>
      <c r="AR5" s="99"/>
      <c r="AS5" s="38">
        <f t="shared" si="0"/>
        <v>0</v>
      </c>
    </row>
    <row r="6" spans="1:47" x14ac:dyDescent="0.2">
      <c r="A6" s="29"/>
      <c r="B6" s="36">
        <v>80</v>
      </c>
      <c r="C6" s="36">
        <v>2</v>
      </c>
      <c r="D6" s="33" t="s">
        <v>322</v>
      </c>
      <c r="E6" s="34">
        <v>0</v>
      </c>
      <c r="F6" s="34"/>
      <c r="G6" s="35">
        <f t="shared" si="0"/>
        <v>0</v>
      </c>
      <c r="H6" s="98"/>
      <c r="I6" s="35">
        <f t="shared" si="0"/>
        <v>0</v>
      </c>
      <c r="J6" s="98"/>
      <c r="K6" s="35">
        <f t="shared" si="0"/>
        <v>0</v>
      </c>
      <c r="L6" s="98"/>
      <c r="M6" s="35">
        <f t="shared" si="0"/>
        <v>0</v>
      </c>
      <c r="N6" s="98"/>
      <c r="O6" s="35">
        <f t="shared" si="0"/>
        <v>0</v>
      </c>
      <c r="P6" s="98"/>
      <c r="Q6" s="35">
        <f t="shared" si="0"/>
        <v>0</v>
      </c>
      <c r="R6" s="98"/>
      <c r="S6" s="35">
        <f t="shared" si="0"/>
        <v>0</v>
      </c>
      <c r="T6" s="98"/>
      <c r="U6" s="35">
        <f t="shared" si="0"/>
        <v>0</v>
      </c>
      <c r="V6" s="98"/>
      <c r="W6" s="35">
        <f t="shared" si="0"/>
        <v>0</v>
      </c>
      <c r="X6" s="98"/>
      <c r="Y6" s="35">
        <f t="shared" si="0"/>
        <v>0</v>
      </c>
      <c r="Z6" s="98"/>
      <c r="AA6" s="35">
        <f t="shared" si="0"/>
        <v>0</v>
      </c>
      <c r="AB6" s="98"/>
      <c r="AC6" s="35">
        <f t="shared" si="0"/>
        <v>0</v>
      </c>
      <c r="AD6" s="98"/>
      <c r="AE6" s="35">
        <f t="shared" si="0"/>
        <v>0</v>
      </c>
      <c r="AF6" s="98"/>
      <c r="AG6" s="35">
        <f t="shared" si="0"/>
        <v>0</v>
      </c>
      <c r="AH6" s="98"/>
      <c r="AI6" s="35">
        <f t="shared" si="0"/>
        <v>0</v>
      </c>
      <c r="AJ6" s="98"/>
      <c r="AK6" s="35">
        <f t="shared" si="0"/>
        <v>0</v>
      </c>
      <c r="AL6" s="98"/>
      <c r="AM6" s="35">
        <f t="shared" si="0"/>
        <v>0</v>
      </c>
      <c r="AN6" s="98"/>
      <c r="AO6" s="35">
        <f t="shared" si="0"/>
        <v>0</v>
      </c>
      <c r="AP6" s="98"/>
      <c r="AQ6" s="35">
        <f t="shared" si="0"/>
        <v>0</v>
      </c>
      <c r="AR6" s="98"/>
      <c r="AS6" s="35">
        <f t="shared" si="0"/>
        <v>0</v>
      </c>
    </row>
    <row r="7" spans="1:47" x14ac:dyDescent="0.2">
      <c r="A7" s="29"/>
      <c r="B7" s="37">
        <v>90</v>
      </c>
      <c r="C7" s="37">
        <v>1</v>
      </c>
      <c r="D7" s="36" t="s">
        <v>323</v>
      </c>
      <c r="E7" s="36"/>
      <c r="F7" s="37"/>
      <c r="G7" s="38">
        <f>COUNTIF(G$14:G$73,$D7)</f>
        <v>16</v>
      </c>
      <c r="H7" s="99"/>
      <c r="I7" s="38">
        <f>COUNTIF(I$14:I$73,$D7)</f>
        <v>0</v>
      </c>
      <c r="J7" s="99"/>
      <c r="K7" s="38">
        <f>COUNTIF(K$14:K$73,$D7)</f>
        <v>20</v>
      </c>
      <c r="L7" s="99"/>
      <c r="M7" s="38">
        <f>COUNTIF(M$14:M$73,$D7)</f>
        <v>54</v>
      </c>
      <c r="N7" s="99"/>
      <c r="O7" s="38">
        <f>COUNTIF(O$14:O$73,$D7)</f>
        <v>60</v>
      </c>
      <c r="P7" s="99"/>
      <c r="Q7" s="38">
        <f>COUNTIF(Q$14:Q$73,$D7)</f>
        <v>60</v>
      </c>
      <c r="R7" s="99"/>
      <c r="S7" s="38">
        <f>COUNTIF(S$14:S$73,$D7)</f>
        <v>60</v>
      </c>
      <c r="T7" s="99"/>
      <c r="U7" s="38">
        <f>COUNTIF(U$14:U$73,$D7)</f>
        <v>60</v>
      </c>
      <c r="V7" s="99"/>
      <c r="W7" s="38">
        <f>COUNTIF(W$14:W$73,$D7)</f>
        <v>60</v>
      </c>
      <c r="X7" s="99"/>
      <c r="Y7" s="38">
        <f>COUNTIF(Y$14:Y$73,$D7)</f>
        <v>60</v>
      </c>
      <c r="Z7" s="99"/>
      <c r="AA7" s="38">
        <f>COUNTIF(AA$14:AA$73,$D7)</f>
        <v>60</v>
      </c>
      <c r="AB7" s="99"/>
      <c r="AC7" s="38">
        <f>COUNTIF(AC$14:AC$73,$D7)</f>
        <v>60</v>
      </c>
      <c r="AD7" s="99"/>
      <c r="AE7" s="38">
        <f>COUNTIF(AE$14:AE$73,$D7)</f>
        <v>60</v>
      </c>
      <c r="AF7" s="99"/>
      <c r="AG7" s="38">
        <f>COUNTIF(AG$14:AG$73,$D7)</f>
        <v>60</v>
      </c>
      <c r="AH7" s="99"/>
      <c r="AI7" s="38">
        <f>COUNTIF(AI$14:AI$73,$D7)</f>
        <v>60</v>
      </c>
      <c r="AJ7" s="99"/>
      <c r="AK7" s="38">
        <f>COUNTIF(AK$14:AK$73,$D7)</f>
        <v>60</v>
      </c>
      <c r="AL7" s="99"/>
      <c r="AM7" s="38">
        <f>COUNTIF(AM$14:AM$73,$D7)</f>
        <v>60</v>
      </c>
      <c r="AN7" s="99"/>
      <c r="AO7" s="38">
        <f>COUNTIF(AO$14:AO$73,$D7)</f>
        <v>60</v>
      </c>
      <c r="AP7" s="99"/>
      <c r="AQ7" s="38">
        <f>COUNTIF(AQ$14:AQ$73,$D7)</f>
        <v>60</v>
      </c>
      <c r="AR7" s="99"/>
      <c r="AS7" s="38">
        <f>COUNTIF(AS$14:AS$73,$D7)</f>
        <v>60</v>
      </c>
    </row>
    <row r="8" spans="1:47" x14ac:dyDescent="0.2">
      <c r="A8" s="29"/>
      <c r="B8" s="52"/>
      <c r="C8" s="52"/>
      <c r="D8" s="50" t="s">
        <v>324</v>
      </c>
      <c r="E8" s="50"/>
      <c r="F8" s="45"/>
      <c r="G8" s="46">
        <f>COUNTIFS($E$14:$E$73,TRUE,G14:G73,$D$6)+COUNTIFS($E$14:$E$73,TRUE,G14:G73,$D$7)</f>
        <v>6</v>
      </c>
      <c r="H8" s="100"/>
      <c r="I8" s="46">
        <f>COUNTIFS($E$14:$E$73,TRUE,I14:I73,$D$6)+COUNTIFS($E$14:$E$73,TRUE,I14:I73,$D$7)</f>
        <v>0</v>
      </c>
      <c r="J8" s="100"/>
      <c r="K8" s="46">
        <f>COUNTIFS($E$14:$E$73,TRUE,K14:K73,$D$6)+COUNTIFS($E$14:$E$73,TRUE,K14:K73,$D$7)</f>
        <v>0</v>
      </c>
      <c r="L8" s="100"/>
      <c r="M8" s="46">
        <f>COUNTIFS($E$14:$E$73,TRUE,M14:M73,$D$6)+COUNTIFS($E$14:$E$73,TRUE,M14:M73,$D$7)</f>
        <v>28</v>
      </c>
      <c r="N8" s="100"/>
      <c r="O8" s="46">
        <f>COUNTIFS($E$14:$E$73,TRUE,O14:O73,$D$6)+COUNTIFS($E$14:$E$73,TRUE,O14:O73,$D$7)</f>
        <v>33</v>
      </c>
      <c r="P8" s="100"/>
      <c r="Q8" s="46">
        <f>COUNTIFS($E$14:$E$73,TRUE,Q14:Q73,$D$6)+COUNTIFS($E$14:$E$73,TRUE,Q14:Q73,$D$7)</f>
        <v>33</v>
      </c>
      <c r="R8" s="100"/>
      <c r="S8" s="46">
        <f>COUNTIFS($E$14:$E$73,TRUE,S14:S73,$D$6)+COUNTIFS($E$14:$E$73,TRUE,S14:S73,$D$7)</f>
        <v>33</v>
      </c>
      <c r="T8" s="100"/>
      <c r="U8" s="46">
        <f>COUNTIFS($E$14:$E$73,TRUE,U14:U73,$D$6)+COUNTIFS($E$14:$E$73,TRUE,U14:U73,$D$7)</f>
        <v>33</v>
      </c>
      <c r="V8" s="100"/>
      <c r="W8" s="46">
        <f>COUNTIFS($E$14:$E$73,TRUE,W14:W73,$D$6)+COUNTIFS($E$14:$E$73,TRUE,W14:W73,$D$7)</f>
        <v>33</v>
      </c>
      <c r="X8" s="100"/>
      <c r="Y8" s="46">
        <f>COUNTIFS($E$14:$E$73,TRUE,Y14:Y73,$D$6)+COUNTIFS($E$14:$E$73,TRUE,Y14:Y73,$D$7)</f>
        <v>33</v>
      </c>
      <c r="Z8" s="100"/>
      <c r="AA8" s="46">
        <f>COUNTIFS($E$14:$E$73,TRUE,AA14:AA73,$D$6)+COUNTIFS($E$14:$E$73,TRUE,AA14:AA73,$D$7)</f>
        <v>33</v>
      </c>
      <c r="AB8" s="100"/>
      <c r="AC8" s="46">
        <f>COUNTIFS($E$14:$E$73,TRUE,AC14:AC73,$D$6)+COUNTIFS($E$14:$E$73,TRUE,AC14:AC73,$D$7)</f>
        <v>33</v>
      </c>
      <c r="AD8" s="100"/>
      <c r="AE8" s="46">
        <f>COUNTIFS($E$14:$E$73,TRUE,AE14:AE73,$D$6)+COUNTIFS($E$14:$E$73,TRUE,AE14:AE73,$D$7)</f>
        <v>33</v>
      </c>
      <c r="AF8" s="100"/>
      <c r="AG8" s="46">
        <f>COUNTIFS($E$14:$E$73,TRUE,AG14:AG73,$D$6)+COUNTIFS($E$14:$E$73,TRUE,AG14:AG73,$D$7)</f>
        <v>33</v>
      </c>
      <c r="AH8" s="100"/>
      <c r="AI8" s="46">
        <f>COUNTIFS($E$14:$E$73,TRUE,AI14:AI73,$D$6)+COUNTIFS($E$14:$E$73,TRUE,AI14:AI73,$D$7)</f>
        <v>33</v>
      </c>
      <c r="AJ8" s="100"/>
      <c r="AK8" s="46">
        <f>COUNTIFS($E$14:$E$73,TRUE,AK14:AK73,$D$6)+COUNTIFS($E$14:$E$73,TRUE,AK14:AK73,$D$7)</f>
        <v>33</v>
      </c>
      <c r="AL8" s="100"/>
      <c r="AM8" s="46">
        <f>COUNTIFS($E$14:$E$73,TRUE,AM14:AM73,$D$6)+COUNTIFS($E$14:$E$73,TRUE,AM14:AM73,$D$7)</f>
        <v>33</v>
      </c>
      <c r="AN8" s="100"/>
      <c r="AO8" s="46">
        <f>COUNTIFS($E$14:$E$73,TRUE,AO14:AO73,$D$6)+COUNTIFS($E$14:$E$73,TRUE,AO14:AO73,$D$7)</f>
        <v>33</v>
      </c>
      <c r="AP8" s="100"/>
      <c r="AQ8" s="46">
        <f>COUNTIFS($E$14:$E$73,TRUE,AQ14:AQ73,$D$6)+COUNTIFS($E$14:$E$73,TRUE,AQ14:AQ73,$D$7)</f>
        <v>33</v>
      </c>
      <c r="AR8" s="100"/>
      <c r="AS8" s="46">
        <f>COUNTIFS($E$14:$E$73,TRUE,AS14:AS73,$D$6)+COUNTIFS($E$14:$E$73,TRUE,AS14:AS73,$D$7)</f>
        <v>33</v>
      </c>
    </row>
    <row r="9" spans="1:47" x14ac:dyDescent="0.2">
      <c r="A9" s="29"/>
      <c r="D9" s="37" t="s">
        <v>317</v>
      </c>
      <c r="E9" s="37"/>
      <c r="F9" s="53"/>
      <c r="G9" s="54">
        <f>(G4*$E$4+G5*$E$5+G6*$E$6)*100/$D$3</f>
        <v>73.333333333333329</v>
      </c>
      <c r="H9" s="101"/>
      <c r="I9" s="54">
        <f>(I4*$E$4+I5*$E$5+I6*$E$6)*100/$D$3</f>
        <v>50</v>
      </c>
      <c r="J9" s="101"/>
      <c r="K9" s="54">
        <f>(K4*$E$4+K5*$E$5+K6*$E$6)*100/$D$3</f>
        <v>60</v>
      </c>
      <c r="L9" s="101"/>
      <c r="M9" s="54">
        <f>(M4*$E$4+M5*$E$5+M6*$E$6)*100/$D$3</f>
        <v>10</v>
      </c>
      <c r="N9" s="101"/>
      <c r="O9" s="54">
        <f>(O4*$E$4+O5*$E$5+O6*$E$6)*100/$D$3</f>
        <v>0</v>
      </c>
      <c r="P9" s="101"/>
      <c r="Q9" s="54">
        <f>(Q4*$E$4+Q5*$E$5+Q6*$E$6)*100/$D$3</f>
        <v>0</v>
      </c>
      <c r="R9" s="101"/>
      <c r="S9" s="54">
        <f>(S4*$E$4+S5*$E$5+S6*$E$6)*100/$D$3</f>
        <v>0</v>
      </c>
      <c r="T9" s="101"/>
      <c r="U9" s="54">
        <f>(U4*$E$4+U5*$E$5+U6*$E$6)*100/$D$3</f>
        <v>0</v>
      </c>
      <c r="V9" s="101"/>
      <c r="W9" s="54">
        <f>(W4*$E$4+W5*$E$5+W6*$E$6)*100/$D$3</f>
        <v>0</v>
      </c>
      <c r="X9" s="101"/>
      <c r="Y9" s="54">
        <f>(Y4*$E$4+Y5*$E$5+Y6*$E$6)*100/$D$3</f>
        <v>0</v>
      </c>
      <c r="Z9" s="101"/>
      <c r="AA9" s="54">
        <f>(AA4*$E$4+AA5*$E$5+AA6*$E$6)*100/$D$3</f>
        <v>0</v>
      </c>
      <c r="AB9" s="101"/>
      <c r="AC9" s="54">
        <f>(AC4*$E$4+AC5*$E$5+AC6*$E$6)*100/$D$3</f>
        <v>0</v>
      </c>
      <c r="AD9" s="101"/>
      <c r="AE9" s="54">
        <f>(AE4*$E$4+AE5*$E$5+AE6*$E$6)*100/$D$3</f>
        <v>0</v>
      </c>
      <c r="AF9" s="101"/>
      <c r="AG9" s="54">
        <f>(AG4*$E$4+AG5*$E$5+AG6*$E$6)*100/$D$3</f>
        <v>0</v>
      </c>
      <c r="AH9" s="101"/>
      <c r="AI9" s="54">
        <f>(AI4*$E$4+AI5*$E$5+AI6*$E$6)*100/$D$3</f>
        <v>0</v>
      </c>
      <c r="AJ9" s="101"/>
      <c r="AK9" s="54">
        <f>(AK4*$E$4+AK5*$E$5+AK6*$E$6)*100/$D$3</f>
        <v>0</v>
      </c>
      <c r="AL9" s="101"/>
      <c r="AM9" s="54">
        <f>(AM4*$E$4+AM5*$E$5+AM6*$E$6)*100/$D$3</f>
        <v>0</v>
      </c>
      <c r="AN9" s="101"/>
      <c r="AO9" s="54">
        <f>(AO4*$E$4+AO5*$E$5+AO6*$E$6)*100/$D$3</f>
        <v>0</v>
      </c>
      <c r="AP9" s="101"/>
      <c r="AQ9" s="54">
        <f>(AQ4*$E$4+AQ5*$E$5+AQ6*$E$6)*100/$D$3</f>
        <v>0</v>
      </c>
      <c r="AR9" s="101"/>
      <c r="AS9" s="54">
        <f>(AS4*$E$4+AS5*$E$5+AS6*$E$6)*100/$D$3</f>
        <v>0</v>
      </c>
    </row>
    <row r="10" spans="1:47" x14ac:dyDescent="0.2">
      <c r="A10" s="29"/>
      <c r="B10" s="34"/>
      <c r="C10" s="34"/>
      <c r="D10" s="50" t="s">
        <v>325</v>
      </c>
      <c r="E10" s="50"/>
      <c r="F10" s="45"/>
      <c r="G10" s="46">
        <f>IF(G8&gt;0,5,IF(G9&gt;=$B$7,$C$7,IF(G9&gt;=$B$6,$C$6,IF(G9&gt;=$B$5,$C$5,IF(G9&gt;=$B$4,$C$4,5)))))</f>
        <v>5</v>
      </c>
      <c r="H10" s="100"/>
      <c r="I10" s="46">
        <f>IF(I8&gt;0,5,IF(I9&gt;=$B$7,$C$7,IF(I9&gt;=$B$6,$C$6,IF(I9&gt;=$B$5,$C$5,IF(I9&gt;=$B$4,$C$4,5)))))</f>
        <v>5</v>
      </c>
      <c r="J10" s="100"/>
      <c r="K10" s="46">
        <f>IF(K8&gt;0,5,IF(K9&gt;=$B$7,$C$7,IF(K9&gt;=$B$6,$C$6,IF(K9&gt;=$B$5,$C$5,IF(K9&gt;=$B$4,$C$4,5)))))</f>
        <v>4</v>
      </c>
      <c r="L10" s="100"/>
      <c r="M10" s="46">
        <f>IF(M8&gt;0,5,IF(M9&gt;=$B$7,$C$7,IF(M9&gt;=$B$6,$C$6,IF(M9&gt;=$B$5,$C$5,IF(M9&gt;=$B$4,$C$4,5)))))</f>
        <v>5</v>
      </c>
      <c r="N10" s="100"/>
      <c r="O10" s="46">
        <f>IF(O8&gt;0,5,IF(O9&gt;=$B$7,$C$7,IF(O9&gt;=$B$6,$C$6,IF(O9&gt;=$B$5,$C$5,IF(O9&gt;=$B$4,$C$4,5)))))</f>
        <v>5</v>
      </c>
      <c r="P10" s="100"/>
      <c r="Q10" s="46">
        <f>IF(Q8&gt;0,5,IF(Q9&gt;=$B$7,$C$7,IF(Q9&gt;=$B$6,$C$6,IF(Q9&gt;=$B$5,$C$5,IF(Q9&gt;=$B$4,$C$4,5)))))</f>
        <v>5</v>
      </c>
      <c r="R10" s="100"/>
      <c r="S10" s="46">
        <f>IF(S8&gt;0,5,IF(S9&gt;=$B$7,$C$7,IF(S9&gt;=$B$6,$C$6,IF(S9&gt;=$B$5,$C$5,IF(S9&gt;=$B$4,$C$4,5)))))</f>
        <v>5</v>
      </c>
      <c r="T10" s="100"/>
      <c r="U10" s="46">
        <f>IF(U8&gt;0,5,IF(U9&gt;=$B$7,$C$7,IF(U9&gt;=$B$6,$C$6,IF(U9&gt;=$B$5,$C$5,IF(U9&gt;=$B$4,$C$4,5)))))</f>
        <v>5</v>
      </c>
      <c r="V10" s="100"/>
      <c r="W10" s="46">
        <f>IF(W8&gt;0,5,IF(W9&gt;=$B$7,$C$7,IF(W9&gt;=$B$6,$C$6,IF(W9&gt;=$B$5,$C$5,IF(W9&gt;=$B$4,$C$4,5)))))</f>
        <v>5</v>
      </c>
      <c r="X10" s="100"/>
      <c r="Y10" s="46">
        <f>IF(Y8&gt;0,5,IF(Y9&gt;=$B$7,$C$7,IF(Y9&gt;=$B$6,$C$6,IF(Y9&gt;=$B$5,$C$5,IF(Y9&gt;=$B$4,$C$4,5)))))</f>
        <v>5</v>
      </c>
      <c r="Z10" s="100"/>
      <c r="AA10" s="46">
        <f>IF(AA8&gt;0,5,IF(AA9&gt;=$B$7,$C$7,IF(AA9&gt;=$B$6,$C$6,IF(AA9&gt;=$B$5,$C$5,IF(AA9&gt;=$B$4,$C$4,5)))))</f>
        <v>5</v>
      </c>
      <c r="AB10" s="100"/>
      <c r="AC10" s="46">
        <f>IF(AC8&gt;0,5,IF(AC9&gt;=$B$7,$C$7,IF(AC9&gt;=$B$6,$C$6,IF(AC9&gt;=$B$5,$C$5,IF(AC9&gt;=$B$4,$C$4,5)))))</f>
        <v>5</v>
      </c>
      <c r="AD10" s="100"/>
      <c r="AE10" s="46">
        <f>IF(AE8&gt;0,5,IF(AE9&gt;=$B$7,$C$7,IF(AE9&gt;=$B$6,$C$6,IF(AE9&gt;=$B$5,$C$5,IF(AE9&gt;=$B$4,$C$4,5)))))</f>
        <v>5</v>
      </c>
      <c r="AF10" s="100"/>
      <c r="AG10" s="46">
        <f>IF(AG8&gt;0,5,IF(AG9&gt;=$B$7,$C$7,IF(AG9&gt;=$B$6,$C$6,IF(AG9&gt;=$B$5,$C$5,IF(AG9&gt;=$B$4,$C$4,5)))))</f>
        <v>5</v>
      </c>
      <c r="AH10" s="100"/>
      <c r="AI10" s="46">
        <f>IF(AI8&gt;0,5,IF(AI9&gt;=$B$7,$C$7,IF(AI9&gt;=$B$6,$C$6,IF(AI9&gt;=$B$5,$C$5,IF(AI9&gt;=$B$4,$C$4,5)))))</f>
        <v>5</v>
      </c>
      <c r="AJ10" s="100"/>
      <c r="AK10" s="46">
        <f>IF(AK8&gt;0,5,IF(AK9&gt;=$B$7,$C$7,IF(AK9&gt;=$B$6,$C$6,IF(AK9&gt;=$B$5,$C$5,IF(AK9&gt;=$B$4,$C$4,5)))))</f>
        <v>5</v>
      </c>
      <c r="AL10" s="100"/>
      <c r="AM10" s="46">
        <f>IF(AM8&gt;0,5,IF(AM9&gt;=$B$7,$C$7,IF(AM9&gt;=$B$6,$C$6,IF(AM9&gt;=$B$5,$C$5,IF(AM9&gt;=$B$4,$C$4,5)))))</f>
        <v>5</v>
      </c>
      <c r="AN10" s="100"/>
      <c r="AO10" s="46">
        <f>IF(AO8&gt;0,5,IF(AO9&gt;=$B$7,$C$7,IF(AO9&gt;=$B$6,$C$6,IF(AO9&gt;=$B$5,$C$5,IF(AO9&gt;=$B$4,$C$4,5)))))</f>
        <v>5</v>
      </c>
      <c r="AP10" s="100"/>
      <c r="AQ10" s="46">
        <f>IF(AQ8&gt;0,5,IF(AQ9&gt;=$B$7,$C$7,IF(AQ9&gt;=$B$6,$C$6,IF(AQ9&gt;=$B$5,$C$5,IF(AQ9&gt;=$B$4,$C$4,5)))))</f>
        <v>5</v>
      </c>
      <c r="AR10" s="100"/>
      <c r="AS10" s="46">
        <f>IF(AS8&gt;0,5,IF(AS9&gt;=$B$7,$C$7,IF(AS9&gt;=$B$6,$C$6,IF(AS9&gt;=$B$5,$C$5,IF(AS9&gt;=$B$4,$C$4,5)))))</f>
        <v>5</v>
      </c>
    </row>
    <row r="11" spans="1:47" ht="58.5" customHeight="1" x14ac:dyDescent="0.2">
      <c r="A11" s="29"/>
      <c r="B11" s="111" t="s">
        <v>326</v>
      </c>
      <c r="C11" s="112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91"/>
      <c r="AP11" s="52"/>
      <c r="AQ11" s="52"/>
      <c r="AR11" s="52"/>
      <c r="AS11" s="52"/>
    </row>
    <row r="12" spans="1:47" s="58" customFormat="1" ht="27" x14ac:dyDescent="0.2">
      <c r="A12" s="57"/>
      <c r="B12" s="56" t="s">
        <v>327</v>
      </c>
      <c r="C12" s="56" t="s">
        <v>328</v>
      </c>
      <c r="D12" s="56" t="s">
        <v>266</v>
      </c>
      <c r="E12" s="56" t="s">
        <v>278</v>
      </c>
      <c r="F12" s="108" t="s">
        <v>316</v>
      </c>
      <c r="G12" s="109" t="s">
        <v>421</v>
      </c>
      <c r="H12" s="108" t="s">
        <v>316</v>
      </c>
      <c r="I12" s="109" t="s">
        <v>418</v>
      </c>
      <c r="J12" s="108" t="s">
        <v>316</v>
      </c>
      <c r="K12" s="109" t="s">
        <v>419</v>
      </c>
      <c r="L12" s="108" t="s">
        <v>316</v>
      </c>
      <c r="M12" s="109" t="s">
        <v>10</v>
      </c>
      <c r="N12" s="108" t="s">
        <v>316</v>
      </c>
      <c r="O12" s="109" t="s">
        <v>10</v>
      </c>
      <c r="P12" s="108" t="s">
        <v>316</v>
      </c>
      <c r="Q12" s="109" t="s">
        <v>10</v>
      </c>
      <c r="R12" s="108" t="s">
        <v>316</v>
      </c>
      <c r="S12" s="109" t="s">
        <v>10</v>
      </c>
      <c r="T12" s="108" t="s">
        <v>316</v>
      </c>
      <c r="U12" s="109" t="s">
        <v>10</v>
      </c>
      <c r="V12" s="108" t="s">
        <v>316</v>
      </c>
      <c r="W12" s="109" t="s">
        <v>10</v>
      </c>
      <c r="X12" s="108" t="s">
        <v>316</v>
      </c>
      <c r="Y12" s="109" t="s">
        <v>10</v>
      </c>
      <c r="Z12" s="108" t="s">
        <v>316</v>
      </c>
      <c r="AA12" s="109" t="s">
        <v>10</v>
      </c>
      <c r="AB12" s="108" t="s">
        <v>316</v>
      </c>
      <c r="AC12" s="109" t="s">
        <v>10</v>
      </c>
      <c r="AD12" s="108" t="s">
        <v>316</v>
      </c>
      <c r="AE12" s="109" t="s">
        <v>10</v>
      </c>
      <c r="AF12" s="108" t="s">
        <v>316</v>
      </c>
      <c r="AG12" s="109" t="s">
        <v>10</v>
      </c>
      <c r="AH12" s="108" t="s">
        <v>316</v>
      </c>
      <c r="AI12" s="109" t="s">
        <v>10</v>
      </c>
      <c r="AJ12" s="108" t="s">
        <v>316</v>
      </c>
      <c r="AK12" s="109" t="s">
        <v>10</v>
      </c>
      <c r="AL12" s="108" t="s">
        <v>316</v>
      </c>
      <c r="AM12" s="109" t="s">
        <v>10</v>
      </c>
      <c r="AN12" s="108" t="s">
        <v>316</v>
      </c>
      <c r="AO12" s="109" t="s">
        <v>10</v>
      </c>
      <c r="AP12" s="108" t="s">
        <v>316</v>
      </c>
      <c r="AQ12" s="109" t="s">
        <v>10</v>
      </c>
      <c r="AR12" s="108" t="s">
        <v>316</v>
      </c>
      <c r="AS12" s="109" t="s">
        <v>10</v>
      </c>
    </row>
    <row r="13" spans="1:47" s="107" customFormat="1" ht="26" x14ac:dyDescent="0.2">
      <c r="A13" s="103"/>
      <c r="B13" s="104" t="s">
        <v>329</v>
      </c>
      <c r="C13" s="104" t="s">
        <v>329</v>
      </c>
      <c r="D13" s="104" t="s">
        <v>329</v>
      </c>
      <c r="E13" s="104" t="s">
        <v>329</v>
      </c>
      <c r="F13" s="105" t="s">
        <v>330</v>
      </c>
      <c r="G13" s="106" t="s">
        <v>331</v>
      </c>
      <c r="H13" s="105" t="s">
        <v>330</v>
      </c>
      <c r="I13" s="106" t="s">
        <v>331</v>
      </c>
      <c r="J13" s="105" t="s">
        <v>330</v>
      </c>
      <c r="K13" s="106" t="s">
        <v>331</v>
      </c>
      <c r="L13" s="105" t="s">
        <v>330</v>
      </c>
      <c r="M13" s="106" t="s">
        <v>331</v>
      </c>
      <c r="N13" s="105" t="s">
        <v>330</v>
      </c>
      <c r="O13" s="106" t="s">
        <v>331</v>
      </c>
      <c r="P13" s="105" t="s">
        <v>330</v>
      </c>
      <c r="Q13" s="106" t="s">
        <v>331</v>
      </c>
      <c r="R13" s="105" t="s">
        <v>330</v>
      </c>
      <c r="S13" s="106" t="s">
        <v>331</v>
      </c>
      <c r="T13" s="105" t="s">
        <v>330</v>
      </c>
      <c r="U13" s="106" t="s">
        <v>331</v>
      </c>
      <c r="V13" s="105" t="s">
        <v>330</v>
      </c>
      <c r="W13" s="106" t="s">
        <v>331</v>
      </c>
      <c r="X13" s="105" t="s">
        <v>330</v>
      </c>
      <c r="Y13" s="106" t="s">
        <v>331</v>
      </c>
      <c r="Z13" s="105" t="s">
        <v>330</v>
      </c>
      <c r="AA13" s="106" t="s">
        <v>331</v>
      </c>
      <c r="AB13" s="105" t="s">
        <v>330</v>
      </c>
      <c r="AC13" s="106" t="s">
        <v>331</v>
      </c>
      <c r="AD13" s="105" t="s">
        <v>330</v>
      </c>
      <c r="AE13" s="106" t="s">
        <v>331</v>
      </c>
      <c r="AF13" s="105" t="s">
        <v>330</v>
      </c>
      <c r="AG13" s="106" t="s">
        <v>331</v>
      </c>
      <c r="AH13" s="105" t="s">
        <v>330</v>
      </c>
      <c r="AI13" s="106" t="s">
        <v>331</v>
      </c>
      <c r="AJ13" s="105" t="s">
        <v>330</v>
      </c>
      <c r="AK13" s="106" t="s">
        <v>331</v>
      </c>
      <c r="AL13" s="105" t="s">
        <v>330</v>
      </c>
      <c r="AM13" s="106" t="s">
        <v>331</v>
      </c>
      <c r="AN13" s="105" t="s">
        <v>330</v>
      </c>
      <c r="AO13" s="106" t="s">
        <v>331</v>
      </c>
      <c r="AP13" s="105" t="s">
        <v>330</v>
      </c>
      <c r="AQ13" s="106" t="s">
        <v>331</v>
      </c>
      <c r="AR13" s="105" t="s">
        <v>330</v>
      </c>
      <c r="AS13" s="106" t="s">
        <v>331</v>
      </c>
    </row>
    <row r="14" spans="1:47" x14ac:dyDescent="0.2">
      <c r="A14" s="40"/>
      <c r="B14" s="73" t="str">
        <f>MLEOsv2!A2</f>
        <v>MLEO_00_01</v>
      </c>
      <c r="C14" s="73">
        <f>MLEOsv2!C2</f>
        <v>1</v>
      </c>
      <c r="D14" s="42" t="str">
        <f>MLEOsv2!G2</f>
        <v>implement primitive type attributes.</v>
      </c>
      <c r="E14" s="51" t="b">
        <f>MLEOsv2!H2</f>
        <v>1</v>
      </c>
      <c r="F14" s="93" t="s">
        <v>320</v>
      </c>
      <c r="G14" s="70" t="str">
        <f>IF(F14=$D$4,F14,IF(OR(IFERROR(VLOOKUP(VLOOKUP($B14, Dependencies!$B$2:$G$230, 2,FALSE),$B$14:G$73, G$74,FALSE),"o")=$D$4,IFERROR(VLOOKUP(VLOOKUP($B14, Dependencies!$B$2:$G$230, 3,FALSE),$B$14:G$73, G$74,FALSE),"o")=$D$4,IFERROR(VLOOKUP(VLOOKUP($B14, Dependencies!$B$2:$G$230, 4,FALSE),$B$14:G$73, G$74,FALSE),"o")=$D$4,IFERROR(VLOOKUP(VLOOKUP($B14, Dependencies!$B$2:$G$230, 5,FALSE),$B$14:G$73, G$74,FALSE),"o")=$D$4,IFERROR(VLOOKUP(VLOOKUP($B14, Dependencies!$B$2:$G$230, 6,FALSE),$B$14:G$73, G$74,FALSE),"o")=$D$4),$D$4,IF(OR(IFERROR(VLOOKUP(VLOOKUP($B14, Dependencies!$B$2:$G$230, 2,FALSE), $B$14:G$73, G$74,FALSE),"o")=$D$5,IFERROR(VLOOKUP(VLOOKUP($B14, Dependencies!$B$2:$G$230, 3,FALSE), $B$14:G$73, G$74,FALSE),"o")=$D$5,IFERROR(VLOOKUP(VLOOKUP($B14, Dependencies!$B$2:$G$230, 4,FALSE), $B$14:G$73, G$74,FALSE),"o")=$D$5,IFERROR(VLOOKUP(VLOOKUP($B14, Dependencies!$B$2:$G$230, 5,FALSE), $B$14:G$73, G$74,FALSE),"o")=$D$5,IFERROR(VLOOKUP(VLOOKUP($B14, Dependencies!$B$2:$G$230, 6,FALSE), $B$14:G$73, G$74,FALSE),"o")=$D$5),$D$5,F14)))</f>
        <v>r</v>
      </c>
      <c r="H14" s="93" t="s">
        <v>321</v>
      </c>
      <c r="I14" s="70" t="str">
        <f>IF(H14=$D$4,H14,IF(OR(IFERROR(VLOOKUP(VLOOKUP($B14, Dependencies!$B$2:$G$230, 2,FALSE),$B$14:I$73, I$74,FALSE),"o")=$D$4,IFERROR(VLOOKUP(VLOOKUP($B14, Dependencies!$B$2:$G$230, 3,FALSE),$B$14:I$73, I$74,FALSE),"o")=$D$4,IFERROR(VLOOKUP(VLOOKUP($B14, Dependencies!$B$2:$G$230, 4,FALSE),$B$14:I$73, I$74,FALSE),"o")=$D$4,IFERROR(VLOOKUP(VLOOKUP($B14, Dependencies!$B$2:$G$230, 5,FALSE),$B$14:I$73, I$74,FALSE),"o")=$D$4,IFERROR(VLOOKUP(VLOOKUP($B14, Dependencies!$B$2:$G$230, 6,FALSE),$B$14:I$73, I$74,FALSE),"o")=$D$4),$D$4,IF(OR(IFERROR(VLOOKUP(VLOOKUP($B14, Dependencies!$B$2:$G$230, 2,FALSE), $B$14:I$73, I$74,FALSE),"o")=$D$5,IFERROR(VLOOKUP(VLOOKUP($B14, Dependencies!$B$2:$G$230, 3,FALSE), $B$14:I$73, I$74,FALSE),"o")=$D$5,IFERROR(VLOOKUP(VLOOKUP($B14, Dependencies!$B$2:$G$230, 4,FALSE), $B$14:I$73, I$74,FALSE),"o")=$D$5,IFERROR(VLOOKUP(VLOOKUP($B14, Dependencies!$B$2:$G$230, 5,FALSE), $B$14:I$73, I$74,FALSE),"o")=$D$5,IFERROR(VLOOKUP(VLOOKUP($B14, Dependencies!$B$2:$G$230, 6,FALSE), $B$14:I$73, I$74,FALSE),"o")=$D$5),$D$5,H14)))</f>
        <v>pr</v>
      </c>
      <c r="J14" s="93" t="s">
        <v>320</v>
      </c>
      <c r="K14" s="70" t="str">
        <f>IF(J14=$D$4,J14,IF(OR(IFERROR(VLOOKUP(VLOOKUP($B14, Dependencies!$B$2:$G$230, 2,FALSE),$B$14:K$73, K$74,FALSE),"o")=$D$4,IFERROR(VLOOKUP(VLOOKUP($B14, Dependencies!$B$2:$G$230, 3,FALSE),$B$14:K$73, K$74,FALSE),"o")=$D$4,IFERROR(VLOOKUP(VLOOKUP($B14, Dependencies!$B$2:$G$230, 4,FALSE),$B$14:K$73, K$74,FALSE),"o")=$D$4,IFERROR(VLOOKUP(VLOOKUP($B14, Dependencies!$B$2:$G$230, 5,FALSE),$B$14:K$73, K$74,FALSE),"o")=$D$4,IFERROR(VLOOKUP(VLOOKUP($B14, Dependencies!$B$2:$G$230, 6,FALSE),$B$14:K$73, K$74,FALSE),"o")=$D$4),$D$4,IF(OR(IFERROR(VLOOKUP(VLOOKUP($B14, Dependencies!$B$2:$G$230, 2,FALSE), $B$14:K$73, K$74,FALSE),"o")=$D$5,IFERROR(VLOOKUP(VLOOKUP($B14, Dependencies!$B$2:$G$230, 3,FALSE), $B$14:K$73, K$74,FALSE),"o")=$D$5,IFERROR(VLOOKUP(VLOOKUP($B14, Dependencies!$B$2:$G$230, 4,FALSE), $B$14:K$73, K$74,FALSE),"o")=$D$5,IFERROR(VLOOKUP(VLOOKUP($B14, Dependencies!$B$2:$G$230, 5,FALSE), $B$14:K$73, K$74,FALSE),"o")=$D$5,IFERROR(VLOOKUP(VLOOKUP($B14, Dependencies!$B$2:$G$230, 6,FALSE), $B$14:K$73, K$74,FALSE),"o")=$D$5),$D$5,J14)))</f>
        <v>r</v>
      </c>
      <c r="L14" s="93" t="s">
        <v>323</v>
      </c>
      <c r="M14" s="70" t="str">
        <f>IF(L14=$D$4,L14,IF(OR(IFERROR(VLOOKUP(VLOOKUP($B14, Dependencies!$B$2:$G$230, 2,FALSE),$B$14:M$73, M$74,FALSE),"o")=$D$4,IFERROR(VLOOKUP(VLOOKUP($B14, Dependencies!$B$2:$G$230, 3,FALSE),$B$14:M$73, M$74,FALSE),"o")=$D$4,IFERROR(VLOOKUP(VLOOKUP($B14, Dependencies!$B$2:$G$230, 4,FALSE),$B$14:M$73, M$74,FALSE),"o")=$D$4,IFERROR(VLOOKUP(VLOOKUP($B14, Dependencies!$B$2:$G$230, 5,FALSE),$B$14:M$73, M$74,FALSE),"o")=$D$4,IFERROR(VLOOKUP(VLOOKUP($B14, Dependencies!$B$2:$G$230, 6,FALSE),$B$14:M$73, M$74,FALSE),"o")=$D$4),$D$4,IF(OR(IFERROR(VLOOKUP(VLOOKUP($B14, Dependencies!$B$2:$G$230, 2,FALSE), $B$14:M$73, M$74,FALSE),"o")=$D$5,IFERROR(VLOOKUP(VLOOKUP($B14, Dependencies!$B$2:$G$230, 3,FALSE), $B$14:M$73, M$74,FALSE),"o")=$D$5,IFERROR(VLOOKUP(VLOOKUP($B14, Dependencies!$B$2:$G$230, 4,FALSE), $B$14:M$73, M$74,FALSE),"o")=$D$5,IFERROR(VLOOKUP(VLOOKUP($B14, Dependencies!$B$2:$G$230, 5,FALSE), $B$14:M$73, M$74,FALSE),"o")=$D$5,IFERROR(VLOOKUP(VLOOKUP($B14, Dependencies!$B$2:$G$230, 6,FALSE), $B$14:M$73, M$74,FALSE),"o")=$D$5),$D$5,L14)))</f>
        <v>o</v>
      </c>
      <c r="N14" s="93" t="s">
        <v>323</v>
      </c>
      <c r="O14" s="70" t="str">
        <f>IF(N14=$D$4,N14,IF(OR(IFERROR(VLOOKUP(VLOOKUP($B14, Dependencies!$B$2:$G$230, 2,FALSE),$B$14:O$73, O$74,FALSE),"o")=$D$4,IFERROR(VLOOKUP(VLOOKUP($B14, Dependencies!$B$2:$G$230, 3,FALSE),$B$14:O$73, O$74,FALSE),"o")=$D$4,IFERROR(VLOOKUP(VLOOKUP($B14, Dependencies!$B$2:$G$230, 4,FALSE),$B$14:O$73, O$74,FALSE),"o")=$D$4,IFERROR(VLOOKUP(VLOOKUP($B14, Dependencies!$B$2:$G$230, 5,FALSE),$B$14:O$73, O$74,FALSE),"o")=$D$4,IFERROR(VLOOKUP(VLOOKUP($B14, Dependencies!$B$2:$G$230, 6,FALSE),$B$14:O$73, O$74,FALSE),"o")=$D$4),$D$4,IF(OR(IFERROR(VLOOKUP(VLOOKUP($B14, Dependencies!$B$2:$G$230, 2,FALSE), $B$14:O$73, O$74,FALSE),"o")=$D$5,IFERROR(VLOOKUP(VLOOKUP($B14, Dependencies!$B$2:$G$230, 3,FALSE), $B$14:O$73, O$74,FALSE),"o")=$D$5,IFERROR(VLOOKUP(VLOOKUP($B14, Dependencies!$B$2:$G$230, 4,FALSE), $B$14:O$73, O$74,FALSE),"o")=$D$5,IFERROR(VLOOKUP(VLOOKUP($B14, Dependencies!$B$2:$G$230, 5,FALSE), $B$14:O$73, O$74,FALSE),"o")=$D$5,IFERROR(VLOOKUP(VLOOKUP($B14, Dependencies!$B$2:$G$230, 6,FALSE), $B$14:O$73, O$74,FALSE),"o")=$D$5),$D$5,N14)))</f>
        <v>o</v>
      </c>
      <c r="P14" s="93" t="s">
        <v>323</v>
      </c>
      <c r="Q14" s="70" t="str">
        <f>IF(P14=$D$4,P14,IF(OR(IFERROR(VLOOKUP(VLOOKUP($B14, Dependencies!$B$2:$G$230, 2,FALSE),$B$14:Q$73, Q$74,FALSE),"o")=$D$4,IFERROR(VLOOKUP(VLOOKUP($B14, Dependencies!$B$2:$G$230, 3,FALSE),$B$14:Q$73, Q$74,FALSE),"o")=$D$4,IFERROR(VLOOKUP(VLOOKUP($B14, Dependencies!$B$2:$G$230, 4,FALSE),$B$14:Q$73, Q$74,FALSE),"o")=$D$4,IFERROR(VLOOKUP(VLOOKUP($B14, Dependencies!$B$2:$G$230, 5,FALSE),$B$14:Q$73, Q$74,FALSE),"o")=$D$4,IFERROR(VLOOKUP(VLOOKUP($B14, Dependencies!$B$2:$G$230, 6,FALSE),$B$14:Q$73, Q$74,FALSE),"o")=$D$4),$D$4,IF(OR(IFERROR(VLOOKUP(VLOOKUP($B14, Dependencies!$B$2:$G$230, 2,FALSE), $B$14:Q$73, Q$74,FALSE),"o")=$D$5,IFERROR(VLOOKUP(VLOOKUP($B14, Dependencies!$B$2:$G$230, 3,FALSE), $B$14:Q$73, Q$74,FALSE),"o")=$D$5,IFERROR(VLOOKUP(VLOOKUP($B14, Dependencies!$B$2:$G$230, 4,FALSE), $B$14:Q$73, Q$74,FALSE),"o")=$D$5,IFERROR(VLOOKUP(VLOOKUP($B14, Dependencies!$B$2:$G$230, 5,FALSE), $B$14:Q$73, Q$74,FALSE),"o")=$D$5,IFERROR(VLOOKUP(VLOOKUP($B14, Dependencies!$B$2:$G$230, 6,FALSE), $B$14:Q$73, Q$74,FALSE),"o")=$D$5),$D$5,P14)))</f>
        <v>o</v>
      </c>
      <c r="R14" s="93" t="s">
        <v>323</v>
      </c>
      <c r="S14" s="70" t="str">
        <f>IF(R14=$D$4,R14,IF(OR(IFERROR(VLOOKUP(VLOOKUP($B14, Dependencies!$B$2:$G$230, 2,FALSE),$B$14:S$73, S$74,FALSE),"o")=$D$4,IFERROR(VLOOKUP(VLOOKUP($B14, Dependencies!$B$2:$G$230, 3,FALSE),$B$14:S$73, S$74,FALSE),"o")=$D$4,IFERROR(VLOOKUP(VLOOKUP($B14, Dependencies!$B$2:$G$230, 4,FALSE),$B$14:S$73, S$74,FALSE),"o")=$D$4,IFERROR(VLOOKUP(VLOOKUP($B14, Dependencies!$B$2:$G$230, 5,FALSE),$B$14:S$73, S$74,FALSE),"o")=$D$4,IFERROR(VLOOKUP(VLOOKUP($B14, Dependencies!$B$2:$G$230, 6,FALSE),$B$14:S$73, S$74,FALSE),"o")=$D$4),$D$4,IF(OR(IFERROR(VLOOKUP(VLOOKUP($B14, Dependencies!$B$2:$G$230, 2,FALSE), $B$14:S$73, S$74,FALSE),"o")=$D$5,IFERROR(VLOOKUP(VLOOKUP($B14, Dependencies!$B$2:$G$230, 3,FALSE), $B$14:S$73, S$74,FALSE),"o")=$D$5,IFERROR(VLOOKUP(VLOOKUP($B14, Dependencies!$B$2:$G$230, 4,FALSE), $B$14:S$73, S$74,FALSE),"o")=$D$5,IFERROR(VLOOKUP(VLOOKUP($B14, Dependencies!$B$2:$G$230, 5,FALSE), $B$14:S$73, S$74,FALSE),"o")=$D$5,IFERROR(VLOOKUP(VLOOKUP($B14, Dependencies!$B$2:$G$230, 6,FALSE), $B$14:S$73, S$74,FALSE),"o")=$D$5),$D$5,R14)))</f>
        <v>o</v>
      </c>
      <c r="T14" s="93" t="s">
        <v>323</v>
      </c>
      <c r="U14" s="70" t="str">
        <f>IF(T14=$D$4,T14,IF(OR(IFERROR(VLOOKUP(VLOOKUP($B14, Dependencies!$B$2:$G$230, 2,FALSE),$B$14:U$73, U$74,FALSE),"o")=$D$4,IFERROR(VLOOKUP(VLOOKUP($B14, Dependencies!$B$2:$G$230, 3,FALSE),$B$14:U$73, U$74,FALSE),"o")=$D$4,IFERROR(VLOOKUP(VLOOKUP($B14, Dependencies!$B$2:$G$230, 4,FALSE),$B$14:U$73, U$74,FALSE),"o")=$D$4,IFERROR(VLOOKUP(VLOOKUP($B14, Dependencies!$B$2:$G$230, 5,FALSE),$B$14:U$73, U$74,FALSE),"o")=$D$4,IFERROR(VLOOKUP(VLOOKUP($B14, Dependencies!$B$2:$G$230, 6,FALSE),$B$14:U$73, U$74,FALSE),"o")=$D$4),$D$4,IF(OR(IFERROR(VLOOKUP(VLOOKUP($B14, Dependencies!$B$2:$G$230, 2,FALSE), $B$14:U$73, U$74,FALSE),"o")=$D$5,IFERROR(VLOOKUP(VLOOKUP($B14, Dependencies!$B$2:$G$230, 3,FALSE), $B$14:U$73, U$74,FALSE),"o")=$D$5,IFERROR(VLOOKUP(VLOOKUP($B14, Dependencies!$B$2:$G$230, 4,FALSE), $B$14:U$73, U$74,FALSE),"o")=$D$5,IFERROR(VLOOKUP(VLOOKUP($B14, Dependencies!$B$2:$G$230, 5,FALSE), $B$14:U$73, U$74,FALSE),"o")=$D$5,IFERROR(VLOOKUP(VLOOKUP($B14, Dependencies!$B$2:$G$230, 6,FALSE), $B$14:U$73, U$74,FALSE),"o")=$D$5),$D$5,T14)))</f>
        <v>o</v>
      </c>
      <c r="V14" s="93" t="s">
        <v>323</v>
      </c>
      <c r="W14" s="70" t="str">
        <f>IF(V14=$D$4,V14,IF(OR(IFERROR(VLOOKUP(VLOOKUP($B14, Dependencies!$B$2:$G$230, 2,FALSE),$B$14:W$73, W$74,FALSE),"o")=$D$4,IFERROR(VLOOKUP(VLOOKUP($B14, Dependencies!$B$2:$G$230, 3,FALSE),$B$14:W$73, W$74,FALSE),"o")=$D$4,IFERROR(VLOOKUP(VLOOKUP($B14, Dependencies!$B$2:$G$230, 4,FALSE),$B$14:W$73, W$74,FALSE),"o")=$D$4,IFERROR(VLOOKUP(VLOOKUP($B14, Dependencies!$B$2:$G$230, 5,FALSE),$B$14:W$73, W$74,FALSE),"o")=$D$4,IFERROR(VLOOKUP(VLOOKUP($B14, Dependencies!$B$2:$G$230, 6,FALSE),$B$14:W$73, W$74,FALSE),"o")=$D$4),$D$4,IF(OR(IFERROR(VLOOKUP(VLOOKUP($B14, Dependencies!$B$2:$G$230, 2,FALSE), $B$14:W$73, W$74,FALSE),"o")=$D$5,IFERROR(VLOOKUP(VLOOKUP($B14, Dependencies!$B$2:$G$230, 3,FALSE), $B$14:W$73, W$74,FALSE),"o")=$D$5,IFERROR(VLOOKUP(VLOOKUP($B14, Dependencies!$B$2:$G$230, 4,FALSE), $B$14:W$73, W$74,FALSE),"o")=$D$5,IFERROR(VLOOKUP(VLOOKUP($B14, Dependencies!$B$2:$G$230, 5,FALSE), $B$14:W$73, W$74,FALSE),"o")=$D$5,IFERROR(VLOOKUP(VLOOKUP($B14, Dependencies!$B$2:$G$230, 6,FALSE), $B$14:W$73, W$74,FALSE),"o")=$D$5),$D$5,V14)))</f>
        <v>o</v>
      </c>
      <c r="X14" s="93" t="s">
        <v>323</v>
      </c>
      <c r="Y14" s="70" t="str">
        <f>IF(X14=$D$4,X14,IF(OR(IFERROR(VLOOKUP(VLOOKUP($B14, Dependencies!$B$2:$G$230, 2,FALSE),$B$14:Y$73, Y$74,FALSE),"o")=$D$4,IFERROR(VLOOKUP(VLOOKUP($B14, Dependencies!$B$2:$G$230, 3,FALSE),$B$14:Y$73, Y$74,FALSE),"o")=$D$4,IFERROR(VLOOKUP(VLOOKUP($B14, Dependencies!$B$2:$G$230, 4,FALSE),$B$14:Y$73, Y$74,FALSE),"o")=$D$4,IFERROR(VLOOKUP(VLOOKUP($B14, Dependencies!$B$2:$G$230, 5,FALSE),$B$14:Y$73, Y$74,FALSE),"o")=$D$4,IFERROR(VLOOKUP(VLOOKUP($B14, Dependencies!$B$2:$G$230, 6,FALSE),$B$14:Y$73, Y$74,FALSE),"o")=$D$4),$D$4,IF(OR(IFERROR(VLOOKUP(VLOOKUP($B14, Dependencies!$B$2:$G$230, 2,FALSE), $B$14:Y$73, Y$74,FALSE),"o")=$D$5,IFERROR(VLOOKUP(VLOOKUP($B14, Dependencies!$B$2:$G$230, 3,FALSE), $B$14:Y$73, Y$74,FALSE),"o")=$D$5,IFERROR(VLOOKUP(VLOOKUP($B14, Dependencies!$B$2:$G$230, 4,FALSE), $B$14:Y$73, Y$74,FALSE),"o")=$D$5,IFERROR(VLOOKUP(VLOOKUP($B14, Dependencies!$B$2:$G$230, 5,FALSE), $B$14:Y$73, Y$74,FALSE),"o")=$D$5,IFERROR(VLOOKUP(VLOOKUP($B14, Dependencies!$B$2:$G$230, 6,FALSE), $B$14:Y$73, Y$74,FALSE),"o")=$D$5),$D$5,X14)))</f>
        <v>o</v>
      </c>
      <c r="Z14" s="93" t="s">
        <v>323</v>
      </c>
      <c r="AA14" s="70" t="str">
        <f>IF(Z14=$D$4,Z14,IF(OR(IFERROR(VLOOKUP(VLOOKUP($B14, Dependencies!$B$2:$G$230, 2,FALSE),$B$14:AA$73, AA$74,FALSE),"o")=$D$4,IFERROR(VLOOKUP(VLOOKUP($B14, Dependencies!$B$2:$G$230, 3,FALSE),$B$14:AA$73, AA$74,FALSE),"o")=$D$4,IFERROR(VLOOKUP(VLOOKUP($B14, Dependencies!$B$2:$G$230, 4,FALSE),$B$14:AA$73, AA$74,FALSE),"o")=$D$4,IFERROR(VLOOKUP(VLOOKUP($B14, Dependencies!$B$2:$G$230, 5,FALSE),$B$14:AA$73, AA$74,FALSE),"o")=$D$4,IFERROR(VLOOKUP(VLOOKUP($B14, Dependencies!$B$2:$G$230, 6,FALSE),$B$14:AA$73, AA$74,FALSE),"o")=$D$4),$D$4,IF(OR(IFERROR(VLOOKUP(VLOOKUP($B14, Dependencies!$B$2:$G$230, 2,FALSE), $B$14:AA$73, AA$74,FALSE),"o")=$D$5,IFERROR(VLOOKUP(VLOOKUP($B14, Dependencies!$B$2:$G$230, 3,FALSE), $B$14:AA$73, AA$74,FALSE),"o")=$D$5,IFERROR(VLOOKUP(VLOOKUP($B14, Dependencies!$B$2:$G$230, 4,FALSE), $B$14:AA$73, AA$74,FALSE),"o")=$D$5,IFERROR(VLOOKUP(VLOOKUP($B14, Dependencies!$B$2:$G$230, 5,FALSE), $B$14:AA$73, AA$74,FALSE),"o")=$D$5,IFERROR(VLOOKUP(VLOOKUP($B14, Dependencies!$B$2:$G$230, 6,FALSE), $B$14:AA$73, AA$74,FALSE),"o")=$D$5),$D$5,Z14)))</f>
        <v>o</v>
      </c>
      <c r="AB14" s="93" t="s">
        <v>323</v>
      </c>
      <c r="AC14" s="70" t="str">
        <f>IF(AB14=$D$4,AB14,IF(OR(IFERROR(VLOOKUP(VLOOKUP($B14, Dependencies!$B$2:$G$230, 2,FALSE),$B$14:AC$73, AC$74,FALSE),"o")=$D$4,IFERROR(VLOOKUP(VLOOKUP($B14, Dependencies!$B$2:$G$230, 3,FALSE),$B$14:AC$73, AC$74,FALSE),"o")=$D$4,IFERROR(VLOOKUP(VLOOKUP($B14, Dependencies!$B$2:$G$230, 4,FALSE),$B$14:AC$73, AC$74,FALSE),"o")=$D$4,IFERROR(VLOOKUP(VLOOKUP($B14, Dependencies!$B$2:$G$230, 5,FALSE),$B$14:AC$73, AC$74,FALSE),"o")=$D$4,IFERROR(VLOOKUP(VLOOKUP($B14, Dependencies!$B$2:$G$230, 6,FALSE),$B$14:AC$73, AC$74,FALSE),"o")=$D$4),$D$4,IF(OR(IFERROR(VLOOKUP(VLOOKUP($B14, Dependencies!$B$2:$G$230, 2,FALSE), $B$14:AC$73, AC$74,FALSE),"o")=$D$5,IFERROR(VLOOKUP(VLOOKUP($B14, Dependencies!$B$2:$G$230, 3,FALSE), $B$14:AC$73, AC$74,FALSE),"o")=$D$5,IFERROR(VLOOKUP(VLOOKUP($B14, Dependencies!$B$2:$G$230, 4,FALSE), $B$14:AC$73, AC$74,FALSE),"o")=$D$5,IFERROR(VLOOKUP(VLOOKUP($B14, Dependencies!$B$2:$G$230, 5,FALSE), $B$14:AC$73, AC$74,FALSE),"o")=$D$5,IFERROR(VLOOKUP(VLOOKUP($B14, Dependencies!$B$2:$G$230, 6,FALSE), $B$14:AC$73, AC$74,FALSE),"o")=$D$5),$D$5,AB14)))</f>
        <v>o</v>
      </c>
      <c r="AD14" s="93" t="s">
        <v>323</v>
      </c>
      <c r="AE14" s="70" t="str">
        <f>IF(AD14=$D$4,AD14,IF(OR(IFERROR(VLOOKUP(VLOOKUP($B14, Dependencies!$B$2:$G$230, 2,FALSE),$B$14:AE$73, AE$74,FALSE),"o")=$D$4,IFERROR(VLOOKUP(VLOOKUP($B14, Dependencies!$B$2:$G$230, 3,FALSE),$B$14:AE$73, AE$74,FALSE),"o")=$D$4,IFERROR(VLOOKUP(VLOOKUP($B14, Dependencies!$B$2:$G$230, 4,FALSE),$B$14:AE$73, AE$74,FALSE),"o")=$D$4,IFERROR(VLOOKUP(VLOOKUP($B14, Dependencies!$B$2:$G$230, 5,FALSE),$B$14:AE$73, AE$74,FALSE),"o")=$D$4,IFERROR(VLOOKUP(VLOOKUP($B14, Dependencies!$B$2:$G$230, 6,FALSE),$B$14:AE$73, AE$74,FALSE),"o")=$D$4),$D$4,IF(OR(IFERROR(VLOOKUP(VLOOKUP($B14, Dependencies!$B$2:$G$230, 2,FALSE), $B$14:AE$73, AE$74,FALSE),"o")=$D$5,IFERROR(VLOOKUP(VLOOKUP($B14, Dependencies!$B$2:$G$230, 3,FALSE), $B$14:AE$73, AE$74,FALSE),"o")=$D$5,IFERROR(VLOOKUP(VLOOKUP($B14, Dependencies!$B$2:$G$230, 4,FALSE), $B$14:AE$73, AE$74,FALSE),"o")=$D$5,IFERROR(VLOOKUP(VLOOKUP($B14, Dependencies!$B$2:$G$230, 5,FALSE), $B$14:AE$73, AE$74,FALSE),"o")=$D$5,IFERROR(VLOOKUP(VLOOKUP($B14, Dependencies!$B$2:$G$230, 6,FALSE), $B$14:AE$73, AE$74,FALSE),"o")=$D$5),$D$5,AD14)))</f>
        <v>o</v>
      </c>
      <c r="AF14" s="93" t="s">
        <v>323</v>
      </c>
      <c r="AG14" s="70" t="str">
        <f>IF(AF14=$D$4,AF14,IF(OR(IFERROR(VLOOKUP(VLOOKUP($B14, Dependencies!$B$2:$G$230, 2,FALSE),$B$14:AG$73, AG$74,FALSE),"o")=$D$4,IFERROR(VLOOKUP(VLOOKUP($B14, Dependencies!$B$2:$G$230, 3,FALSE),$B$14:AG$73, AG$74,FALSE),"o")=$D$4,IFERROR(VLOOKUP(VLOOKUP($B14, Dependencies!$B$2:$G$230, 4,FALSE),$B$14:AG$73, AG$74,FALSE),"o")=$D$4,IFERROR(VLOOKUP(VLOOKUP($B14, Dependencies!$B$2:$G$230, 5,FALSE),$B$14:AG$73, AG$74,FALSE),"o")=$D$4,IFERROR(VLOOKUP(VLOOKUP($B14, Dependencies!$B$2:$G$230, 6,FALSE),$B$14:AG$73, AG$74,FALSE),"o")=$D$4),$D$4,IF(OR(IFERROR(VLOOKUP(VLOOKUP($B14, Dependencies!$B$2:$G$230, 2,FALSE), $B$14:AG$73, AG$74,FALSE),"o")=$D$5,IFERROR(VLOOKUP(VLOOKUP($B14, Dependencies!$B$2:$G$230, 3,FALSE), $B$14:AG$73, AG$74,FALSE),"o")=$D$5,IFERROR(VLOOKUP(VLOOKUP($B14, Dependencies!$B$2:$G$230, 4,FALSE), $B$14:AG$73, AG$74,FALSE),"o")=$D$5,IFERROR(VLOOKUP(VLOOKUP($B14, Dependencies!$B$2:$G$230, 5,FALSE), $B$14:AG$73, AG$74,FALSE),"o")=$D$5,IFERROR(VLOOKUP(VLOOKUP($B14, Dependencies!$B$2:$G$230, 6,FALSE), $B$14:AG$73, AG$74,FALSE),"o")=$D$5),$D$5,AF14)))</f>
        <v>o</v>
      </c>
      <c r="AH14" s="93" t="s">
        <v>323</v>
      </c>
      <c r="AI14" s="70" t="str">
        <f>IF(AH14=$D$4,AH14,IF(OR(IFERROR(VLOOKUP(VLOOKUP($B14, Dependencies!$B$2:$G$230, 2,FALSE),$B$14:AI$73, AI$74,FALSE),"o")=$D$4,IFERROR(VLOOKUP(VLOOKUP($B14, Dependencies!$B$2:$G$230, 3,FALSE),$B$14:AI$73, AI$74,FALSE),"o")=$D$4,IFERROR(VLOOKUP(VLOOKUP($B14, Dependencies!$B$2:$G$230, 4,FALSE),$B$14:AI$73, AI$74,FALSE),"o")=$D$4,IFERROR(VLOOKUP(VLOOKUP($B14, Dependencies!$B$2:$G$230, 5,FALSE),$B$14:AI$73, AI$74,FALSE),"o")=$D$4,IFERROR(VLOOKUP(VLOOKUP($B14, Dependencies!$B$2:$G$230, 6,FALSE),$B$14:AI$73, AI$74,FALSE),"o")=$D$4),$D$4,IF(OR(IFERROR(VLOOKUP(VLOOKUP($B14, Dependencies!$B$2:$G$230, 2,FALSE), $B$14:AI$73, AI$74,FALSE),"o")=$D$5,IFERROR(VLOOKUP(VLOOKUP($B14, Dependencies!$B$2:$G$230, 3,FALSE), $B$14:AI$73, AI$74,FALSE),"o")=$D$5,IFERROR(VLOOKUP(VLOOKUP($B14, Dependencies!$B$2:$G$230, 4,FALSE), $B$14:AI$73, AI$74,FALSE),"o")=$D$5,IFERROR(VLOOKUP(VLOOKUP($B14, Dependencies!$B$2:$G$230, 5,FALSE), $B$14:AI$73, AI$74,FALSE),"o")=$D$5,IFERROR(VLOOKUP(VLOOKUP($B14, Dependencies!$B$2:$G$230, 6,FALSE), $B$14:AI$73, AI$74,FALSE),"o")=$D$5),$D$5,AH14)))</f>
        <v>o</v>
      </c>
      <c r="AJ14" s="93" t="s">
        <v>323</v>
      </c>
      <c r="AK14" s="70" t="str">
        <f>IF(AJ14=$D$4,AJ14,IF(OR(IFERROR(VLOOKUP(VLOOKUP($B14, Dependencies!$B$2:$G$230, 2,FALSE),$B$14:AK$73, AK$74,FALSE),"o")=$D$4,IFERROR(VLOOKUP(VLOOKUP($B14, Dependencies!$B$2:$G$230, 3,FALSE),$B$14:AK$73, AK$74,FALSE),"o")=$D$4,IFERROR(VLOOKUP(VLOOKUP($B14, Dependencies!$B$2:$G$230, 4,FALSE),$B$14:AK$73, AK$74,FALSE),"o")=$D$4,IFERROR(VLOOKUP(VLOOKUP($B14, Dependencies!$B$2:$G$230, 5,FALSE),$B$14:AK$73, AK$74,FALSE),"o")=$D$4,IFERROR(VLOOKUP(VLOOKUP($B14, Dependencies!$B$2:$G$230, 6,FALSE),$B$14:AK$73, AK$74,FALSE),"o")=$D$4),$D$4,IF(OR(IFERROR(VLOOKUP(VLOOKUP($B14, Dependencies!$B$2:$G$230, 2,FALSE), $B$14:AK$73, AK$74,FALSE),"o")=$D$5,IFERROR(VLOOKUP(VLOOKUP($B14, Dependencies!$B$2:$G$230, 3,FALSE), $B$14:AK$73, AK$74,FALSE),"o")=$D$5,IFERROR(VLOOKUP(VLOOKUP($B14, Dependencies!$B$2:$G$230, 4,FALSE), $B$14:AK$73, AK$74,FALSE),"o")=$D$5,IFERROR(VLOOKUP(VLOOKUP($B14, Dependencies!$B$2:$G$230, 5,FALSE), $B$14:AK$73, AK$74,FALSE),"o")=$D$5,IFERROR(VLOOKUP(VLOOKUP($B14, Dependencies!$B$2:$G$230, 6,FALSE), $B$14:AK$73, AK$74,FALSE),"o")=$D$5),$D$5,AJ14)))</f>
        <v>o</v>
      </c>
      <c r="AL14" s="93" t="s">
        <v>323</v>
      </c>
      <c r="AM14" s="70" t="str">
        <f>IF(AL14=$D$4,AL14,IF(OR(IFERROR(VLOOKUP(VLOOKUP($B14, Dependencies!$B$2:$G$230, 2,FALSE),$B$14:AM$73, AM$74,FALSE),"o")=$D$4,IFERROR(VLOOKUP(VLOOKUP($B14, Dependencies!$B$2:$G$230, 3,FALSE),$B$14:AM$73, AM$74,FALSE),"o")=$D$4,IFERROR(VLOOKUP(VLOOKUP($B14, Dependencies!$B$2:$G$230, 4,FALSE),$B$14:AM$73, AM$74,FALSE),"o")=$D$4,IFERROR(VLOOKUP(VLOOKUP($B14, Dependencies!$B$2:$G$230, 5,FALSE),$B$14:AM$73, AM$74,FALSE),"o")=$D$4,IFERROR(VLOOKUP(VLOOKUP($B14, Dependencies!$B$2:$G$230, 6,FALSE),$B$14:AM$73, AM$74,FALSE),"o")=$D$4),$D$4,IF(OR(IFERROR(VLOOKUP(VLOOKUP($B14, Dependencies!$B$2:$G$230, 2,FALSE), $B$14:AM$73, AM$74,FALSE),"o")=$D$5,IFERROR(VLOOKUP(VLOOKUP($B14, Dependencies!$B$2:$G$230, 3,FALSE), $B$14:AM$73, AM$74,FALSE),"o")=$D$5,IFERROR(VLOOKUP(VLOOKUP($B14, Dependencies!$B$2:$G$230, 4,FALSE), $B$14:AM$73, AM$74,FALSE),"o")=$D$5,IFERROR(VLOOKUP(VLOOKUP($B14, Dependencies!$B$2:$G$230, 5,FALSE), $B$14:AM$73, AM$74,FALSE),"o")=$D$5,IFERROR(VLOOKUP(VLOOKUP($B14, Dependencies!$B$2:$G$230, 6,FALSE), $B$14:AM$73, AM$74,FALSE),"o")=$D$5),$D$5,AL14)))</f>
        <v>o</v>
      </c>
      <c r="AN14" s="93" t="s">
        <v>323</v>
      </c>
      <c r="AO14" s="70" t="str">
        <f>IF(AN14=$D$4,AN14,IF(OR(IFERROR(VLOOKUP(VLOOKUP($B14, Dependencies!$B$2:$G$230, 2,FALSE),$B$14:AO$73, AO$74,FALSE),"o")=$D$4,IFERROR(VLOOKUP(VLOOKUP($B14, Dependencies!$B$2:$G$230, 3,FALSE),$B$14:AO$73, AO$74,FALSE),"o")=$D$4,IFERROR(VLOOKUP(VLOOKUP($B14, Dependencies!$B$2:$G$230, 4,FALSE),$B$14:AO$73, AO$74,FALSE),"o")=$D$4,IFERROR(VLOOKUP(VLOOKUP($B14, Dependencies!$B$2:$G$230, 5,FALSE),$B$14:AO$73, AO$74,FALSE),"o")=$D$4,IFERROR(VLOOKUP(VLOOKUP($B14, Dependencies!$B$2:$G$230, 6,FALSE),$B$14:AO$73, AO$74,FALSE),"o")=$D$4),$D$4,IF(OR(IFERROR(VLOOKUP(VLOOKUP($B14, Dependencies!$B$2:$G$230, 2,FALSE), $B$14:AO$73, AO$74,FALSE),"o")=$D$5,IFERROR(VLOOKUP(VLOOKUP($B14, Dependencies!$B$2:$G$230, 3,FALSE), $B$14:AO$73, AO$74,FALSE),"o")=$D$5,IFERROR(VLOOKUP(VLOOKUP($B14, Dependencies!$B$2:$G$230, 4,FALSE), $B$14:AO$73, AO$74,FALSE),"o")=$D$5,IFERROR(VLOOKUP(VLOOKUP($B14, Dependencies!$B$2:$G$230, 5,FALSE), $B$14:AO$73, AO$74,FALSE),"o")=$D$5,IFERROR(VLOOKUP(VLOOKUP($B14, Dependencies!$B$2:$G$230, 6,FALSE), $B$14:AO$73, AO$74,FALSE),"o")=$D$5),$D$5,AN14)))</f>
        <v>o</v>
      </c>
      <c r="AP14" s="93" t="s">
        <v>323</v>
      </c>
      <c r="AQ14" s="70" t="str">
        <f>IF(AP14=$D$4,AP14,IF(OR(IFERROR(VLOOKUP(VLOOKUP($B14, Dependencies!$B$2:$G$230, 2,FALSE),$B$14:AQ$73, AQ$74,FALSE),"o")=$D$4,IFERROR(VLOOKUP(VLOOKUP($B14, Dependencies!$B$2:$G$230, 3,FALSE),$B$14:AQ$73, AQ$74,FALSE),"o")=$D$4,IFERROR(VLOOKUP(VLOOKUP($B14, Dependencies!$B$2:$G$230, 4,FALSE),$B$14:AQ$73, AQ$74,FALSE),"o")=$D$4,IFERROR(VLOOKUP(VLOOKUP($B14, Dependencies!$B$2:$G$230, 5,FALSE),$B$14:AQ$73, AQ$74,FALSE),"o")=$D$4,IFERROR(VLOOKUP(VLOOKUP($B14, Dependencies!$B$2:$G$230, 6,FALSE),$B$14:AQ$73, AQ$74,FALSE),"o")=$D$4),$D$4,IF(OR(IFERROR(VLOOKUP(VLOOKUP($B14, Dependencies!$B$2:$G$230, 2,FALSE), $B$14:AQ$73, AQ$74,FALSE),"o")=$D$5,IFERROR(VLOOKUP(VLOOKUP($B14, Dependencies!$B$2:$G$230, 3,FALSE), $B$14:AQ$73, AQ$74,FALSE),"o")=$D$5,IFERROR(VLOOKUP(VLOOKUP($B14, Dependencies!$B$2:$G$230, 4,FALSE), $B$14:AQ$73, AQ$74,FALSE),"o")=$D$5,IFERROR(VLOOKUP(VLOOKUP($B14, Dependencies!$B$2:$G$230, 5,FALSE), $B$14:AQ$73, AQ$74,FALSE),"o")=$D$5,IFERROR(VLOOKUP(VLOOKUP($B14, Dependencies!$B$2:$G$230, 6,FALSE), $B$14:AQ$73, AQ$74,FALSE),"o")=$D$5),$D$5,AP14)))</f>
        <v>o</v>
      </c>
      <c r="AR14" s="93" t="s">
        <v>323</v>
      </c>
      <c r="AS14" s="69" t="str">
        <f>IF(AR14=$D$4,AR14,IF(OR(IFERROR(VLOOKUP(VLOOKUP($B14, Dependencies!$B$2:$G$230, 2,FALSE),$B$14:AS$73, AS$74,FALSE),"o")=$D$4,IFERROR(VLOOKUP(VLOOKUP($B14, Dependencies!$B$2:$G$230, 3,FALSE),$B$14:AS$73, AS$74,FALSE),"o")=$D$4,IFERROR(VLOOKUP(VLOOKUP($B14, Dependencies!$B$2:$G$230, 4,FALSE),$B$14:AS$73, AS$74,FALSE),"o")=$D$4,IFERROR(VLOOKUP(VLOOKUP($B14, Dependencies!$B$2:$G$230, 5,FALSE),$B$14:AS$73, AS$74,FALSE),"o")=$D$4,IFERROR(VLOOKUP(VLOOKUP($B14, Dependencies!$B$2:$G$230, 6,FALSE),$B$14:AS$73, AS$74,FALSE),"o")=$D$4),$D$4,IF(OR(IFERROR(VLOOKUP(VLOOKUP($B14, Dependencies!$B$2:$G$230, 2,FALSE), $B$14:AS$73, AS$74,FALSE),"o")=$D$5,IFERROR(VLOOKUP(VLOOKUP($B14, Dependencies!$B$2:$G$230, 3,FALSE), $B$14:AS$73, AS$74,FALSE),"o")=$D$5,IFERROR(VLOOKUP(VLOOKUP($B14, Dependencies!$B$2:$G$230, 4,FALSE), $B$14:AS$73, AS$74,FALSE),"o")=$D$5,IFERROR(VLOOKUP(VLOOKUP($B14, Dependencies!$B$2:$G$230, 5,FALSE), $B$14:AS$73, AS$74,FALSE),"o")=$D$5,IFERROR(VLOOKUP(VLOOKUP($B14, Dependencies!$B$2:$G$230, 6,FALSE), $B$14:AS$73, AS$74,FALSE),"o")=$D$5),$D$5,AR14)))</f>
        <v>o</v>
      </c>
      <c r="AU14" s="58"/>
    </row>
    <row r="15" spans="1:47" ht="15.75" customHeight="1" x14ac:dyDescent="0.2">
      <c r="A15" s="40"/>
      <c r="B15" s="74" t="str">
        <f>MLEOsv2!A3</f>
        <v>MLEO_00_02</v>
      </c>
      <c r="C15" s="74">
        <f>MLEOsv2!C3</f>
        <v>1</v>
      </c>
      <c r="D15" s="44" t="str">
        <f>MLEOsv2!G3</f>
        <v>create a String representation of an object with a method.</v>
      </c>
      <c r="E15" s="68" t="b">
        <f>MLEOsv2!H3</f>
        <v>1</v>
      </c>
      <c r="F15" s="94" t="s">
        <v>320</v>
      </c>
      <c r="G15" s="72" t="str">
        <f>IF(F15=$D$4,F15,IF(OR(IFERROR(VLOOKUP(VLOOKUP($B15, Dependencies!$B$2:$G$230, 2,FALSE),$B$14:G$73, G$74,FALSE),"o")=$D$4,IFERROR(VLOOKUP(VLOOKUP($B15, Dependencies!$B$2:$G$230, 3,FALSE),$B$14:G$73, G$74,FALSE),"o")=$D$4,IFERROR(VLOOKUP(VLOOKUP($B15, Dependencies!$B$2:$G$230, 4,FALSE),$B$14:G$73, G$74,FALSE),"o")=$D$4,IFERROR(VLOOKUP(VLOOKUP($B15, Dependencies!$B$2:$G$230, 5,FALSE),$B$14:G$73, G$74,FALSE),"o")=$D$4,IFERROR(VLOOKUP(VLOOKUP($B15, Dependencies!$B$2:$G$230, 6,FALSE),$B$14:G$73, G$74,FALSE),"o")=$D$4),$D$4,IF(OR(IFERROR(VLOOKUP(VLOOKUP($B15, Dependencies!$B$2:$G$230, 2,FALSE), $B$14:G$73, G$74,FALSE),"o")=$D$5,IFERROR(VLOOKUP(VLOOKUP($B15, Dependencies!$B$2:$G$230, 3,FALSE), $B$14:G$73, G$74,FALSE),"o")=$D$5,IFERROR(VLOOKUP(VLOOKUP($B15, Dependencies!$B$2:$G$230, 4,FALSE), $B$14:G$73, G$74,FALSE),"o")=$D$5,IFERROR(VLOOKUP(VLOOKUP($B15, Dependencies!$B$2:$G$230, 5,FALSE), $B$14:G$73, G$74,FALSE),"o")=$D$5,IFERROR(VLOOKUP(VLOOKUP($B15, Dependencies!$B$2:$G$230, 6,FALSE), $B$14:G$73, G$74,FALSE),"o")=$D$5),$D$5,F15)))</f>
        <v>r</v>
      </c>
      <c r="H15" s="94" t="s">
        <v>321</v>
      </c>
      <c r="I15" s="72" t="str">
        <f>IF(H15=$D$4,H15,IF(OR(IFERROR(VLOOKUP(VLOOKUP($B15, Dependencies!$B$2:$G$230, 2,FALSE),$B$14:I$73, I$74,FALSE),"o")=$D$4,IFERROR(VLOOKUP(VLOOKUP($B15, Dependencies!$B$2:$G$230, 3,FALSE),$B$14:I$73, I$74,FALSE),"o")=$D$4,IFERROR(VLOOKUP(VLOOKUP($B15, Dependencies!$B$2:$G$230, 4,FALSE),$B$14:I$73, I$74,FALSE),"o")=$D$4,IFERROR(VLOOKUP(VLOOKUP($B15, Dependencies!$B$2:$G$230, 5,FALSE),$B$14:I$73, I$74,FALSE),"o")=$D$4,IFERROR(VLOOKUP(VLOOKUP($B15, Dependencies!$B$2:$G$230, 6,FALSE),$B$14:I$73, I$74,FALSE),"o")=$D$4),$D$4,IF(OR(IFERROR(VLOOKUP(VLOOKUP($B15, Dependencies!$B$2:$G$230, 2,FALSE), $B$14:I$73, I$74,FALSE),"o")=$D$5,IFERROR(VLOOKUP(VLOOKUP($B15, Dependencies!$B$2:$G$230, 3,FALSE), $B$14:I$73, I$74,FALSE),"o")=$D$5,IFERROR(VLOOKUP(VLOOKUP($B15, Dependencies!$B$2:$G$230, 4,FALSE), $B$14:I$73, I$74,FALSE),"o")=$D$5,IFERROR(VLOOKUP(VLOOKUP($B15, Dependencies!$B$2:$G$230, 5,FALSE), $B$14:I$73, I$74,FALSE),"o")=$D$5,IFERROR(VLOOKUP(VLOOKUP($B15, Dependencies!$B$2:$G$230, 6,FALSE), $B$14:I$73, I$74,FALSE),"o")=$D$5),$D$5,H15)))</f>
        <v>pr</v>
      </c>
      <c r="J15" s="94" t="s">
        <v>320</v>
      </c>
      <c r="K15" s="72" t="str">
        <f>IF(J15=$D$4,J15,IF(OR(IFERROR(VLOOKUP(VLOOKUP($B15, Dependencies!$B$2:$G$230, 2,FALSE),$B$14:K$73, K$74,FALSE),"o")=$D$4,IFERROR(VLOOKUP(VLOOKUP($B15, Dependencies!$B$2:$G$230, 3,FALSE),$B$14:K$73, K$74,FALSE),"o")=$D$4,IFERROR(VLOOKUP(VLOOKUP($B15, Dependencies!$B$2:$G$230, 4,FALSE),$B$14:K$73, K$74,FALSE),"o")=$D$4,IFERROR(VLOOKUP(VLOOKUP($B15, Dependencies!$B$2:$G$230, 5,FALSE),$B$14:K$73, K$74,FALSE),"o")=$D$4,IFERROR(VLOOKUP(VLOOKUP($B15, Dependencies!$B$2:$G$230, 6,FALSE),$B$14:K$73, K$74,FALSE),"o")=$D$4),$D$4,IF(OR(IFERROR(VLOOKUP(VLOOKUP($B15, Dependencies!$B$2:$G$230, 2,FALSE), $B$14:K$73, K$74,FALSE),"o")=$D$5,IFERROR(VLOOKUP(VLOOKUP($B15, Dependencies!$B$2:$G$230, 3,FALSE), $B$14:K$73, K$74,FALSE),"o")=$D$5,IFERROR(VLOOKUP(VLOOKUP($B15, Dependencies!$B$2:$G$230, 4,FALSE), $B$14:K$73, K$74,FALSE),"o")=$D$5,IFERROR(VLOOKUP(VLOOKUP($B15, Dependencies!$B$2:$G$230, 5,FALSE), $B$14:K$73, K$74,FALSE),"o")=$D$5,IFERROR(VLOOKUP(VLOOKUP($B15, Dependencies!$B$2:$G$230, 6,FALSE), $B$14:K$73, K$74,FALSE),"o")=$D$5),$D$5,J15)))</f>
        <v>r</v>
      </c>
      <c r="L15" s="94" t="s">
        <v>323</v>
      </c>
      <c r="M15" s="72" t="str">
        <f>IF(L15=$D$4,L15,IF(OR(IFERROR(VLOOKUP(VLOOKUP($B15, Dependencies!$B$2:$G$230, 2,FALSE),$B$14:M$73, M$74,FALSE),"o")=$D$4,IFERROR(VLOOKUP(VLOOKUP($B15, Dependencies!$B$2:$G$230, 3,FALSE),$B$14:M$73, M$74,FALSE),"o")=$D$4,IFERROR(VLOOKUP(VLOOKUP($B15, Dependencies!$B$2:$G$230, 4,FALSE),$B$14:M$73, M$74,FALSE),"o")=$D$4,IFERROR(VLOOKUP(VLOOKUP($B15, Dependencies!$B$2:$G$230, 5,FALSE),$B$14:M$73, M$74,FALSE),"o")=$D$4,IFERROR(VLOOKUP(VLOOKUP($B15, Dependencies!$B$2:$G$230, 6,FALSE),$B$14:M$73, M$74,FALSE),"o")=$D$4),$D$4,IF(OR(IFERROR(VLOOKUP(VLOOKUP($B15, Dependencies!$B$2:$G$230, 2,FALSE), $B$14:M$73, M$74,FALSE),"o")=$D$5,IFERROR(VLOOKUP(VLOOKUP($B15, Dependencies!$B$2:$G$230, 3,FALSE), $B$14:M$73, M$74,FALSE),"o")=$D$5,IFERROR(VLOOKUP(VLOOKUP($B15, Dependencies!$B$2:$G$230, 4,FALSE), $B$14:M$73, M$74,FALSE),"o")=$D$5,IFERROR(VLOOKUP(VLOOKUP($B15, Dependencies!$B$2:$G$230, 5,FALSE), $B$14:M$73, M$74,FALSE),"o")=$D$5,IFERROR(VLOOKUP(VLOOKUP($B15, Dependencies!$B$2:$G$230, 6,FALSE), $B$14:M$73, M$74,FALSE),"o")=$D$5),$D$5,L15)))</f>
        <v>o</v>
      </c>
      <c r="N15" s="94" t="s">
        <v>323</v>
      </c>
      <c r="O15" s="72" t="str">
        <f>IF(N15=$D$4,N15,IF(OR(IFERROR(VLOOKUP(VLOOKUP($B15, Dependencies!$B$2:$G$230, 2,FALSE),$B$14:O$73, O$74,FALSE),"o")=$D$4,IFERROR(VLOOKUP(VLOOKUP($B15, Dependencies!$B$2:$G$230, 3,FALSE),$B$14:O$73, O$74,FALSE),"o")=$D$4,IFERROR(VLOOKUP(VLOOKUP($B15, Dependencies!$B$2:$G$230, 4,FALSE),$B$14:O$73, O$74,FALSE),"o")=$D$4,IFERROR(VLOOKUP(VLOOKUP($B15, Dependencies!$B$2:$G$230, 5,FALSE),$B$14:O$73, O$74,FALSE),"o")=$D$4,IFERROR(VLOOKUP(VLOOKUP($B15, Dependencies!$B$2:$G$230, 6,FALSE),$B$14:O$73, O$74,FALSE),"o")=$D$4),$D$4,IF(OR(IFERROR(VLOOKUP(VLOOKUP($B15, Dependencies!$B$2:$G$230, 2,FALSE), $B$14:O$73, O$74,FALSE),"o")=$D$5,IFERROR(VLOOKUP(VLOOKUP($B15, Dependencies!$B$2:$G$230, 3,FALSE), $B$14:O$73, O$74,FALSE),"o")=$D$5,IFERROR(VLOOKUP(VLOOKUP($B15, Dependencies!$B$2:$G$230, 4,FALSE), $B$14:O$73, O$74,FALSE),"o")=$D$5,IFERROR(VLOOKUP(VLOOKUP($B15, Dependencies!$B$2:$G$230, 5,FALSE), $B$14:O$73, O$74,FALSE),"o")=$D$5,IFERROR(VLOOKUP(VLOOKUP($B15, Dependencies!$B$2:$G$230, 6,FALSE), $B$14:O$73, O$74,FALSE),"o")=$D$5),$D$5,N15)))</f>
        <v>o</v>
      </c>
      <c r="P15" s="94" t="s">
        <v>323</v>
      </c>
      <c r="Q15" s="72" t="str">
        <f>IF(P15=$D$4,P15,IF(OR(IFERROR(VLOOKUP(VLOOKUP($B15, Dependencies!$B$2:$G$230, 2,FALSE),$B$14:Q$73, Q$74,FALSE),"o")=$D$4,IFERROR(VLOOKUP(VLOOKUP($B15, Dependencies!$B$2:$G$230, 3,FALSE),$B$14:Q$73, Q$74,FALSE),"o")=$D$4,IFERROR(VLOOKUP(VLOOKUP($B15, Dependencies!$B$2:$G$230, 4,FALSE),$B$14:Q$73, Q$74,FALSE),"o")=$D$4,IFERROR(VLOOKUP(VLOOKUP($B15, Dependencies!$B$2:$G$230, 5,FALSE),$B$14:Q$73, Q$74,FALSE),"o")=$D$4,IFERROR(VLOOKUP(VLOOKUP($B15, Dependencies!$B$2:$G$230, 6,FALSE),$B$14:Q$73, Q$74,FALSE),"o")=$D$4),$D$4,IF(OR(IFERROR(VLOOKUP(VLOOKUP($B15, Dependencies!$B$2:$G$230, 2,FALSE), $B$14:Q$73, Q$74,FALSE),"o")=$D$5,IFERROR(VLOOKUP(VLOOKUP($B15, Dependencies!$B$2:$G$230, 3,FALSE), $B$14:Q$73, Q$74,FALSE),"o")=$D$5,IFERROR(VLOOKUP(VLOOKUP($B15, Dependencies!$B$2:$G$230, 4,FALSE), $B$14:Q$73, Q$74,FALSE),"o")=$D$5,IFERROR(VLOOKUP(VLOOKUP($B15, Dependencies!$B$2:$G$230, 5,FALSE), $B$14:Q$73, Q$74,FALSE),"o")=$D$5,IFERROR(VLOOKUP(VLOOKUP($B15, Dependencies!$B$2:$G$230, 6,FALSE), $B$14:Q$73, Q$74,FALSE),"o")=$D$5),$D$5,P15)))</f>
        <v>o</v>
      </c>
      <c r="R15" s="94" t="s">
        <v>323</v>
      </c>
      <c r="S15" s="72" t="str">
        <f>IF(R15=$D$4,R15,IF(OR(IFERROR(VLOOKUP(VLOOKUP($B15, Dependencies!$B$2:$G$230, 2,FALSE),$B$14:S$73, S$74,FALSE),"o")=$D$4,IFERROR(VLOOKUP(VLOOKUP($B15, Dependencies!$B$2:$G$230, 3,FALSE),$B$14:S$73, S$74,FALSE),"o")=$D$4,IFERROR(VLOOKUP(VLOOKUP($B15, Dependencies!$B$2:$G$230, 4,FALSE),$B$14:S$73, S$74,FALSE),"o")=$D$4,IFERROR(VLOOKUP(VLOOKUP($B15, Dependencies!$B$2:$G$230, 5,FALSE),$B$14:S$73, S$74,FALSE),"o")=$D$4,IFERROR(VLOOKUP(VLOOKUP($B15, Dependencies!$B$2:$G$230, 6,FALSE),$B$14:S$73, S$74,FALSE),"o")=$D$4),$D$4,IF(OR(IFERROR(VLOOKUP(VLOOKUP($B15, Dependencies!$B$2:$G$230, 2,FALSE), $B$14:S$73, S$74,FALSE),"o")=$D$5,IFERROR(VLOOKUP(VLOOKUP($B15, Dependencies!$B$2:$G$230, 3,FALSE), $B$14:S$73, S$74,FALSE),"o")=$D$5,IFERROR(VLOOKUP(VLOOKUP($B15, Dependencies!$B$2:$G$230, 4,FALSE), $B$14:S$73, S$74,FALSE),"o")=$D$5,IFERROR(VLOOKUP(VLOOKUP($B15, Dependencies!$B$2:$G$230, 5,FALSE), $B$14:S$73, S$74,FALSE),"o")=$D$5,IFERROR(VLOOKUP(VLOOKUP($B15, Dependencies!$B$2:$G$230, 6,FALSE), $B$14:S$73, S$74,FALSE),"o")=$D$5),$D$5,R15)))</f>
        <v>o</v>
      </c>
      <c r="T15" s="94" t="s">
        <v>323</v>
      </c>
      <c r="U15" s="72" t="str">
        <f>IF(T15=$D$4,T15,IF(OR(IFERROR(VLOOKUP(VLOOKUP($B15, Dependencies!$B$2:$G$230, 2,FALSE),$B$14:U$73, U$74,FALSE),"o")=$D$4,IFERROR(VLOOKUP(VLOOKUP($B15, Dependencies!$B$2:$G$230, 3,FALSE),$B$14:U$73, U$74,FALSE),"o")=$D$4,IFERROR(VLOOKUP(VLOOKUP($B15, Dependencies!$B$2:$G$230, 4,FALSE),$B$14:U$73, U$74,FALSE),"o")=$D$4,IFERROR(VLOOKUP(VLOOKUP($B15, Dependencies!$B$2:$G$230, 5,FALSE),$B$14:U$73, U$74,FALSE),"o")=$D$4,IFERROR(VLOOKUP(VLOOKUP($B15, Dependencies!$B$2:$G$230, 6,FALSE),$B$14:U$73, U$74,FALSE),"o")=$D$4),$D$4,IF(OR(IFERROR(VLOOKUP(VLOOKUP($B15, Dependencies!$B$2:$G$230, 2,FALSE), $B$14:U$73, U$74,FALSE),"o")=$D$5,IFERROR(VLOOKUP(VLOOKUP($B15, Dependencies!$B$2:$G$230, 3,FALSE), $B$14:U$73, U$74,FALSE),"o")=$D$5,IFERROR(VLOOKUP(VLOOKUP($B15, Dependencies!$B$2:$G$230, 4,FALSE), $B$14:U$73, U$74,FALSE),"o")=$D$5,IFERROR(VLOOKUP(VLOOKUP($B15, Dependencies!$B$2:$G$230, 5,FALSE), $B$14:U$73, U$74,FALSE),"o")=$D$5,IFERROR(VLOOKUP(VLOOKUP($B15, Dependencies!$B$2:$G$230, 6,FALSE), $B$14:U$73, U$74,FALSE),"o")=$D$5),$D$5,T15)))</f>
        <v>o</v>
      </c>
      <c r="V15" s="94" t="s">
        <v>323</v>
      </c>
      <c r="W15" s="72" t="str">
        <f>IF(V15=$D$4,V15,IF(OR(IFERROR(VLOOKUP(VLOOKUP($B15, Dependencies!$B$2:$G$230, 2,FALSE),$B$14:W$73, W$74,FALSE),"o")=$D$4,IFERROR(VLOOKUP(VLOOKUP($B15, Dependencies!$B$2:$G$230, 3,FALSE),$B$14:W$73, W$74,FALSE),"o")=$D$4,IFERROR(VLOOKUP(VLOOKUP($B15, Dependencies!$B$2:$G$230, 4,FALSE),$B$14:W$73, W$74,FALSE),"o")=$D$4,IFERROR(VLOOKUP(VLOOKUP($B15, Dependencies!$B$2:$G$230, 5,FALSE),$B$14:W$73, W$74,FALSE),"o")=$D$4,IFERROR(VLOOKUP(VLOOKUP($B15, Dependencies!$B$2:$G$230, 6,FALSE),$B$14:W$73, W$74,FALSE),"o")=$D$4),$D$4,IF(OR(IFERROR(VLOOKUP(VLOOKUP($B15, Dependencies!$B$2:$G$230, 2,FALSE), $B$14:W$73, W$74,FALSE),"o")=$D$5,IFERROR(VLOOKUP(VLOOKUP($B15, Dependencies!$B$2:$G$230, 3,FALSE), $B$14:W$73, W$74,FALSE),"o")=$D$5,IFERROR(VLOOKUP(VLOOKUP($B15, Dependencies!$B$2:$G$230, 4,FALSE), $B$14:W$73, W$74,FALSE),"o")=$D$5,IFERROR(VLOOKUP(VLOOKUP($B15, Dependencies!$B$2:$G$230, 5,FALSE), $B$14:W$73, W$74,FALSE),"o")=$D$5,IFERROR(VLOOKUP(VLOOKUP($B15, Dependencies!$B$2:$G$230, 6,FALSE), $B$14:W$73, W$74,FALSE),"o")=$D$5),$D$5,V15)))</f>
        <v>o</v>
      </c>
      <c r="X15" s="94" t="s">
        <v>323</v>
      </c>
      <c r="Y15" s="72" t="str">
        <f>IF(X15=$D$4,X15,IF(OR(IFERROR(VLOOKUP(VLOOKUP($B15, Dependencies!$B$2:$G$230, 2,FALSE),$B$14:Y$73, Y$74,FALSE),"o")=$D$4,IFERROR(VLOOKUP(VLOOKUP($B15, Dependencies!$B$2:$G$230, 3,FALSE),$B$14:Y$73, Y$74,FALSE),"o")=$D$4,IFERROR(VLOOKUP(VLOOKUP($B15, Dependencies!$B$2:$G$230, 4,FALSE),$B$14:Y$73, Y$74,FALSE),"o")=$D$4,IFERROR(VLOOKUP(VLOOKUP($B15, Dependencies!$B$2:$G$230, 5,FALSE),$B$14:Y$73, Y$74,FALSE),"o")=$D$4,IFERROR(VLOOKUP(VLOOKUP($B15, Dependencies!$B$2:$G$230, 6,FALSE),$B$14:Y$73, Y$74,FALSE),"o")=$D$4),$D$4,IF(OR(IFERROR(VLOOKUP(VLOOKUP($B15, Dependencies!$B$2:$G$230, 2,FALSE), $B$14:Y$73, Y$74,FALSE),"o")=$D$5,IFERROR(VLOOKUP(VLOOKUP($B15, Dependencies!$B$2:$G$230, 3,FALSE), $B$14:Y$73, Y$74,FALSE),"o")=$D$5,IFERROR(VLOOKUP(VLOOKUP($B15, Dependencies!$B$2:$G$230, 4,FALSE), $B$14:Y$73, Y$74,FALSE),"o")=$D$5,IFERROR(VLOOKUP(VLOOKUP($B15, Dependencies!$B$2:$G$230, 5,FALSE), $B$14:Y$73, Y$74,FALSE),"o")=$D$5,IFERROR(VLOOKUP(VLOOKUP($B15, Dependencies!$B$2:$G$230, 6,FALSE), $B$14:Y$73, Y$74,FALSE),"o")=$D$5),$D$5,X15)))</f>
        <v>o</v>
      </c>
      <c r="Z15" s="94" t="s">
        <v>323</v>
      </c>
      <c r="AA15" s="72" t="str">
        <f>IF(Z15=$D$4,Z15,IF(OR(IFERROR(VLOOKUP(VLOOKUP($B15, Dependencies!$B$2:$G$230, 2,FALSE),$B$14:AA$73, AA$74,FALSE),"o")=$D$4,IFERROR(VLOOKUP(VLOOKUP($B15, Dependencies!$B$2:$G$230, 3,FALSE),$B$14:AA$73, AA$74,FALSE),"o")=$D$4,IFERROR(VLOOKUP(VLOOKUP($B15, Dependencies!$B$2:$G$230, 4,FALSE),$B$14:AA$73, AA$74,FALSE),"o")=$D$4,IFERROR(VLOOKUP(VLOOKUP($B15, Dependencies!$B$2:$G$230, 5,FALSE),$B$14:AA$73, AA$74,FALSE),"o")=$D$4,IFERROR(VLOOKUP(VLOOKUP($B15, Dependencies!$B$2:$G$230, 6,FALSE),$B$14:AA$73, AA$74,FALSE),"o")=$D$4),$D$4,IF(OR(IFERROR(VLOOKUP(VLOOKUP($B15, Dependencies!$B$2:$G$230, 2,FALSE), $B$14:AA$73, AA$74,FALSE),"o")=$D$5,IFERROR(VLOOKUP(VLOOKUP($B15, Dependencies!$B$2:$G$230, 3,FALSE), $B$14:AA$73, AA$74,FALSE),"o")=$D$5,IFERROR(VLOOKUP(VLOOKUP($B15, Dependencies!$B$2:$G$230, 4,FALSE), $B$14:AA$73, AA$74,FALSE),"o")=$D$5,IFERROR(VLOOKUP(VLOOKUP($B15, Dependencies!$B$2:$G$230, 5,FALSE), $B$14:AA$73, AA$74,FALSE),"o")=$D$5,IFERROR(VLOOKUP(VLOOKUP($B15, Dependencies!$B$2:$G$230, 6,FALSE), $B$14:AA$73, AA$74,FALSE),"o")=$D$5),$D$5,Z15)))</f>
        <v>o</v>
      </c>
      <c r="AB15" s="94" t="s">
        <v>323</v>
      </c>
      <c r="AC15" s="72" t="str">
        <f>IF(AB15=$D$4,AB15,IF(OR(IFERROR(VLOOKUP(VLOOKUP($B15, Dependencies!$B$2:$G$230, 2,FALSE),$B$14:AC$73, AC$74,FALSE),"o")=$D$4,IFERROR(VLOOKUP(VLOOKUP($B15, Dependencies!$B$2:$G$230, 3,FALSE),$B$14:AC$73, AC$74,FALSE),"o")=$D$4,IFERROR(VLOOKUP(VLOOKUP($B15, Dependencies!$B$2:$G$230, 4,FALSE),$B$14:AC$73, AC$74,FALSE),"o")=$D$4,IFERROR(VLOOKUP(VLOOKUP($B15, Dependencies!$B$2:$G$230, 5,FALSE),$B$14:AC$73, AC$74,FALSE),"o")=$D$4,IFERROR(VLOOKUP(VLOOKUP($B15, Dependencies!$B$2:$G$230, 6,FALSE),$B$14:AC$73, AC$74,FALSE),"o")=$D$4),$D$4,IF(OR(IFERROR(VLOOKUP(VLOOKUP($B15, Dependencies!$B$2:$G$230, 2,FALSE), $B$14:AC$73, AC$74,FALSE),"o")=$D$5,IFERROR(VLOOKUP(VLOOKUP($B15, Dependencies!$B$2:$G$230, 3,FALSE), $B$14:AC$73, AC$74,FALSE),"o")=$D$5,IFERROR(VLOOKUP(VLOOKUP($B15, Dependencies!$B$2:$G$230, 4,FALSE), $B$14:AC$73, AC$74,FALSE),"o")=$D$5,IFERROR(VLOOKUP(VLOOKUP($B15, Dependencies!$B$2:$G$230, 5,FALSE), $B$14:AC$73, AC$74,FALSE),"o")=$D$5,IFERROR(VLOOKUP(VLOOKUP($B15, Dependencies!$B$2:$G$230, 6,FALSE), $B$14:AC$73, AC$74,FALSE),"o")=$D$5),$D$5,AB15)))</f>
        <v>o</v>
      </c>
      <c r="AD15" s="94" t="s">
        <v>323</v>
      </c>
      <c r="AE15" s="72" t="str">
        <f>IF(AD15=$D$4,AD15,IF(OR(IFERROR(VLOOKUP(VLOOKUP($B15, Dependencies!$B$2:$G$230, 2,FALSE),$B$14:AE$73, AE$74,FALSE),"o")=$D$4,IFERROR(VLOOKUP(VLOOKUP($B15, Dependencies!$B$2:$G$230, 3,FALSE),$B$14:AE$73, AE$74,FALSE),"o")=$D$4,IFERROR(VLOOKUP(VLOOKUP($B15, Dependencies!$B$2:$G$230, 4,FALSE),$B$14:AE$73, AE$74,FALSE),"o")=$D$4,IFERROR(VLOOKUP(VLOOKUP($B15, Dependencies!$B$2:$G$230, 5,FALSE),$B$14:AE$73, AE$74,FALSE),"o")=$D$4,IFERROR(VLOOKUP(VLOOKUP($B15, Dependencies!$B$2:$G$230, 6,FALSE),$B$14:AE$73, AE$74,FALSE),"o")=$D$4),$D$4,IF(OR(IFERROR(VLOOKUP(VLOOKUP($B15, Dependencies!$B$2:$G$230, 2,FALSE), $B$14:AE$73, AE$74,FALSE),"o")=$D$5,IFERROR(VLOOKUP(VLOOKUP($B15, Dependencies!$B$2:$G$230, 3,FALSE), $B$14:AE$73, AE$74,FALSE),"o")=$D$5,IFERROR(VLOOKUP(VLOOKUP($B15, Dependencies!$B$2:$G$230, 4,FALSE), $B$14:AE$73, AE$74,FALSE),"o")=$D$5,IFERROR(VLOOKUP(VLOOKUP($B15, Dependencies!$B$2:$G$230, 5,FALSE), $B$14:AE$73, AE$74,FALSE),"o")=$D$5,IFERROR(VLOOKUP(VLOOKUP($B15, Dependencies!$B$2:$G$230, 6,FALSE), $B$14:AE$73, AE$74,FALSE),"o")=$D$5),$D$5,AD15)))</f>
        <v>o</v>
      </c>
      <c r="AF15" s="94" t="s">
        <v>323</v>
      </c>
      <c r="AG15" s="72" t="str">
        <f>IF(AF15=$D$4,AF15,IF(OR(IFERROR(VLOOKUP(VLOOKUP($B15, Dependencies!$B$2:$G$230, 2,FALSE),$B$14:AG$73, AG$74,FALSE),"o")=$D$4,IFERROR(VLOOKUP(VLOOKUP($B15, Dependencies!$B$2:$G$230, 3,FALSE),$B$14:AG$73, AG$74,FALSE),"o")=$D$4,IFERROR(VLOOKUP(VLOOKUP($B15, Dependencies!$B$2:$G$230, 4,FALSE),$B$14:AG$73, AG$74,FALSE),"o")=$D$4,IFERROR(VLOOKUP(VLOOKUP($B15, Dependencies!$B$2:$G$230, 5,FALSE),$B$14:AG$73, AG$74,FALSE),"o")=$D$4,IFERROR(VLOOKUP(VLOOKUP($B15, Dependencies!$B$2:$G$230, 6,FALSE),$B$14:AG$73, AG$74,FALSE),"o")=$D$4),$D$4,IF(OR(IFERROR(VLOOKUP(VLOOKUP($B15, Dependencies!$B$2:$G$230, 2,FALSE), $B$14:AG$73, AG$74,FALSE),"o")=$D$5,IFERROR(VLOOKUP(VLOOKUP($B15, Dependencies!$B$2:$G$230, 3,FALSE), $B$14:AG$73, AG$74,FALSE),"o")=$D$5,IFERROR(VLOOKUP(VLOOKUP($B15, Dependencies!$B$2:$G$230, 4,FALSE), $B$14:AG$73, AG$74,FALSE),"o")=$D$5,IFERROR(VLOOKUP(VLOOKUP($B15, Dependencies!$B$2:$G$230, 5,FALSE), $B$14:AG$73, AG$74,FALSE),"o")=$D$5,IFERROR(VLOOKUP(VLOOKUP($B15, Dependencies!$B$2:$G$230, 6,FALSE), $B$14:AG$73, AG$74,FALSE),"o")=$D$5),$D$5,AF15)))</f>
        <v>o</v>
      </c>
      <c r="AH15" s="94" t="s">
        <v>323</v>
      </c>
      <c r="AI15" s="72" t="str">
        <f>IF(AH15=$D$4,AH15,IF(OR(IFERROR(VLOOKUP(VLOOKUP($B15, Dependencies!$B$2:$G$230, 2,FALSE),$B$14:AI$73, AI$74,FALSE),"o")=$D$4,IFERROR(VLOOKUP(VLOOKUP($B15, Dependencies!$B$2:$G$230, 3,FALSE),$B$14:AI$73, AI$74,FALSE),"o")=$D$4,IFERROR(VLOOKUP(VLOOKUP($B15, Dependencies!$B$2:$G$230, 4,FALSE),$B$14:AI$73, AI$74,FALSE),"o")=$D$4,IFERROR(VLOOKUP(VLOOKUP($B15, Dependencies!$B$2:$G$230, 5,FALSE),$B$14:AI$73, AI$74,FALSE),"o")=$D$4,IFERROR(VLOOKUP(VLOOKUP($B15, Dependencies!$B$2:$G$230, 6,FALSE),$B$14:AI$73, AI$74,FALSE),"o")=$D$4),$D$4,IF(OR(IFERROR(VLOOKUP(VLOOKUP($B15, Dependencies!$B$2:$G$230, 2,FALSE), $B$14:AI$73, AI$74,FALSE),"o")=$D$5,IFERROR(VLOOKUP(VLOOKUP($B15, Dependencies!$B$2:$G$230, 3,FALSE), $B$14:AI$73, AI$74,FALSE),"o")=$D$5,IFERROR(VLOOKUP(VLOOKUP($B15, Dependencies!$B$2:$G$230, 4,FALSE), $B$14:AI$73, AI$74,FALSE),"o")=$D$5,IFERROR(VLOOKUP(VLOOKUP($B15, Dependencies!$B$2:$G$230, 5,FALSE), $B$14:AI$73, AI$74,FALSE),"o")=$D$5,IFERROR(VLOOKUP(VLOOKUP($B15, Dependencies!$B$2:$G$230, 6,FALSE), $B$14:AI$73, AI$74,FALSE),"o")=$D$5),$D$5,AH15)))</f>
        <v>o</v>
      </c>
      <c r="AJ15" s="94" t="s">
        <v>323</v>
      </c>
      <c r="AK15" s="72" t="str">
        <f>IF(AJ15=$D$4,AJ15,IF(OR(IFERROR(VLOOKUP(VLOOKUP($B15, Dependencies!$B$2:$G$230, 2,FALSE),$B$14:AK$73, AK$74,FALSE),"o")=$D$4,IFERROR(VLOOKUP(VLOOKUP($B15, Dependencies!$B$2:$G$230, 3,FALSE),$B$14:AK$73, AK$74,FALSE),"o")=$D$4,IFERROR(VLOOKUP(VLOOKUP($B15, Dependencies!$B$2:$G$230, 4,FALSE),$B$14:AK$73, AK$74,FALSE),"o")=$D$4,IFERROR(VLOOKUP(VLOOKUP($B15, Dependencies!$B$2:$G$230, 5,FALSE),$B$14:AK$73, AK$74,FALSE),"o")=$D$4,IFERROR(VLOOKUP(VLOOKUP($B15, Dependencies!$B$2:$G$230, 6,FALSE),$B$14:AK$73, AK$74,FALSE),"o")=$D$4),$D$4,IF(OR(IFERROR(VLOOKUP(VLOOKUP($B15, Dependencies!$B$2:$G$230, 2,FALSE), $B$14:AK$73, AK$74,FALSE),"o")=$D$5,IFERROR(VLOOKUP(VLOOKUP($B15, Dependencies!$B$2:$G$230, 3,FALSE), $B$14:AK$73, AK$74,FALSE),"o")=$D$5,IFERROR(VLOOKUP(VLOOKUP($B15, Dependencies!$B$2:$G$230, 4,FALSE), $B$14:AK$73, AK$74,FALSE),"o")=$D$5,IFERROR(VLOOKUP(VLOOKUP($B15, Dependencies!$B$2:$G$230, 5,FALSE), $B$14:AK$73, AK$74,FALSE),"o")=$D$5,IFERROR(VLOOKUP(VLOOKUP($B15, Dependencies!$B$2:$G$230, 6,FALSE), $B$14:AK$73, AK$74,FALSE),"o")=$D$5),$D$5,AJ15)))</f>
        <v>o</v>
      </c>
      <c r="AL15" s="94" t="s">
        <v>323</v>
      </c>
      <c r="AM15" s="72" t="str">
        <f>IF(AL15=$D$4,AL15,IF(OR(IFERROR(VLOOKUP(VLOOKUP($B15, Dependencies!$B$2:$G$230, 2,FALSE),$B$14:AM$73, AM$74,FALSE),"o")=$D$4,IFERROR(VLOOKUP(VLOOKUP($B15, Dependencies!$B$2:$G$230, 3,FALSE),$B$14:AM$73, AM$74,FALSE),"o")=$D$4,IFERROR(VLOOKUP(VLOOKUP($B15, Dependencies!$B$2:$G$230, 4,FALSE),$B$14:AM$73, AM$74,FALSE),"o")=$D$4,IFERROR(VLOOKUP(VLOOKUP($B15, Dependencies!$B$2:$G$230, 5,FALSE),$B$14:AM$73, AM$74,FALSE),"o")=$D$4,IFERROR(VLOOKUP(VLOOKUP($B15, Dependencies!$B$2:$G$230, 6,FALSE),$B$14:AM$73, AM$74,FALSE),"o")=$D$4),$D$4,IF(OR(IFERROR(VLOOKUP(VLOOKUP($B15, Dependencies!$B$2:$G$230, 2,FALSE), $B$14:AM$73, AM$74,FALSE),"o")=$D$5,IFERROR(VLOOKUP(VLOOKUP($B15, Dependencies!$B$2:$G$230, 3,FALSE), $B$14:AM$73, AM$74,FALSE),"o")=$D$5,IFERROR(VLOOKUP(VLOOKUP($B15, Dependencies!$B$2:$G$230, 4,FALSE), $B$14:AM$73, AM$74,FALSE),"o")=$D$5,IFERROR(VLOOKUP(VLOOKUP($B15, Dependencies!$B$2:$G$230, 5,FALSE), $B$14:AM$73, AM$74,FALSE),"o")=$D$5,IFERROR(VLOOKUP(VLOOKUP($B15, Dependencies!$B$2:$G$230, 6,FALSE), $B$14:AM$73, AM$74,FALSE),"o")=$D$5),$D$5,AL15)))</f>
        <v>o</v>
      </c>
      <c r="AN15" s="94" t="s">
        <v>323</v>
      </c>
      <c r="AO15" s="72" t="str">
        <f>IF(AN15=$D$4,AN15,IF(OR(IFERROR(VLOOKUP(VLOOKUP($B15, Dependencies!$B$2:$G$230, 2,FALSE),$B$14:AO$73, AO$74,FALSE),"o")=$D$4,IFERROR(VLOOKUP(VLOOKUP($B15, Dependencies!$B$2:$G$230, 3,FALSE),$B$14:AO$73, AO$74,FALSE),"o")=$D$4,IFERROR(VLOOKUP(VLOOKUP($B15, Dependencies!$B$2:$G$230, 4,FALSE),$B$14:AO$73, AO$74,FALSE),"o")=$D$4,IFERROR(VLOOKUP(VLOOKUP($B15, Dependencies!$B$2:$G$230, 5,FALSE),$B$14:AO$73, AO$74,FALSE),"o")=$D$4,IFERROR(VLOOKUP(VLOOKUP($B15, Dependencies!$B$2:$G$230, 6,FALSE),$B$14:AO$73, AO$74,FALSE),"o")=$D$4),$D$4,IF(OR(IFERROR(VLOOKUP(VLOOKUP($B15, Dependencies!$B$2:$G$230, 2,FALSE), $B$14:AO$73, AO$74,FALSE),"o")=$D$5,IFERROR(VLOOKUP(VLOOKUP($B15, Dependencies!$B$2:$G$230, 3,FALSE), $B$14:AO$73, AO$74,FALSE),"o")=$D$5,IFERROR(VLOOKUP(VLOOKUP($B15, Dependencies!$B$2:$G$230, 4,FALSE), $B$14:AO$73, AO$74,FALSE),"o")=$D$5,IFERROR(VLOOKUP(VLOOKUP($B15, Dependencies!$B$2:$G$230, 5,FALSE), $B$14:AO$73, AO$74,FALSE),"o")=$D$5,IFERROR(VLOOKUP(VLOOKUP($B15, Dependencies!$B$2:$G$230, 6,FALSE), $B$14:AO$73, AO$74,FALSE),"o")=$D$5),$D$5,AN15)))</f>
        <v>o</v>
      </c>
      <c r="AP15" s="94" t="s">
        <v>323</v>
      </c>
      <c r="AQ15" s="72" t="str">
        <f>IF(AP15=$D$4,AP15,IF(OR(IFERROR(VLOOKUP(VLOOKUP($B15, Dependencies!$B$2:$G$230, 2,FALSE),$B$14:AQ$73, AQ$74,FALSE),"o")=$D$4,IFERROR(VLOOKUP(VLOOKUP($B15, Dependencies!$B$2:$G$230, 3,FALSE),$B$14:AQ$73, AQ$74,FALSE),"o")=$D$4,IFERROR(VLOOKUP(VLOOKUP($B15, Dependencies!$B$2:$G$230, 4,FALSE),$B$14:AQ$73, AQ$74,FALSE),"o")=$D$4,IFERROR(VLOOKUP(VLOOKUP($B15, Dependencies!$B$2:$G$230, 5,FALSE),$B$14:AQ$73, AQ$74,FALSE),"o")=$D$4,IFERROR(VLOOKUP(VLOOKUP($B15, Dependencies!$B$2:$G$230, 6,FALSE),$B$14:AQ$73, AQ$74,FALSE),"o")=$D$4),$D$4,IF(OR(IFERROR(VLOOKUP(VLOOKUP($B15, Dependencies!$B$2:$G$230, 2,FALSE), $B$14:AQ$73, AQ$74,FALSE),"o")=$D$5,IFERROR(VLOOKUP(VLOOKUP($B15, Dependencies!$B$2:$G$230, 3,FALSE), $B$14:AQ$73, AQ$74,FALSE),"o")=$D$5,IFERROR(VLOOKUP(VLOOKUP($B15, Dependencies!$B$2:$G$230, 4,FALSE), $B$14:AQ$73, AQ$74,FALSE),"o")=$D$5,IFERROR(VLOOKUP(VLOOKUP($B15, Dependencies!$B$2:$G$230, 5,FALSE), $B$14:AQ$73, AQ$74,FALSE),"o")=$D$5,IFERROR(VLOOKUP(VLOOKUP($B15, Dependencies!$B$2:$G$230, 6,FALSE), $B$14:AQ$73, AQ$74,FALSE),"o")=$D$5),$D$5,AP15)))</f>
        <v>o</v>
      </c>
      <c r="AR15" s="94" t="s">
        <v>323</v>
      </c>
      <c r="AS15" s="71" t="str">
        <f>IF(AR15=$D$4,AR15,IF(OR(IFERROR(VLOOKUP(VLOOKUP($B15, Dependencies!$B$2:$G$230, 2,FALSE),$B$14:AS$73, AS$74,FALSE),"o")=$D$4,IFERROR(VLOOKUP(VLOOKUP($B15, Dependencies!$B$2:$G$230, 3,FALSE),$B$14:AS$73, AS$74,FALSE),"o")=$D$4,IFERROR(VLOOKUP(VLOOKUP($B15, Dependencies!$B$2:$G$230, 4,FALSE),$B$14:AS$73, AS$74,FALSE),"o")=$D$4,IFERROR(VLOOKUP(VLOOKUP($B15, Dependencies!$B$2:$G$230, 5,FALSE),$B$14:AS$73, AS$74,FALSE),"o")=$D$4,IFERROR(VLOOKUP(VLOOKUP($B15, Dependencies!$B$2:$G$230, 6,FALSE),$B$14:AS$73, AS$74,FALSE),"o")=$D$4),$D$4,IF(OR(IFERROR(VLOOKUP(VLOOKUP($B15, Dependencies!$B$2:$G$230, 2,FALSE), $B$14:AS$73, AS$74,FALSE),"o")=$D$5,IFERROR(VLOOKUP(VLOOKUP($B15, Dependencies!$B$2:$G$230, 3,FALSE), $B$14:AS$73, AS$74,FALSE),"o")=$D$5,IFERROR(VLOOKUP(VLOOKUP($B15, Dependencies!$B$2:$G$230, 4,FALSE), $B$14:AS$73, AS$74,FALSE),"o")=$D$5,IFERROR(VLOOKUP(VLOOKUP($B15, Dependencies!$B$2:$G$230, 5,FALSE), $B$14:AS$73, AS$74,FALSE),"o")=$D$5,IFERROR(VLOOKUP(VLOOKUP($B15, Dependencies!$B$2:$G$230, 6,FALSE), $B$14:AS$73, AS$74,FALSE),"o")=$D$5),$D$5,AR15)))</f>
        <v>o</v>
      </c>
      <c r="AU15" s="58"/>
    </row>
    <row r="16" spans="1:47" x14ac:dyDescent="0.2">
      <c r="A16" s="40"/>
      <c r="B16" s="73" t="str">
        <f>MLEOsv2!A4</f>
        <v>MLEO_00_03</v>
      </c>
      <c r="C16" s="73">
        <f>MLEOsv2!C4</f>
        <v>1</v>
      </c>
      <c r="D16" s="42" t="str">
        <f>MLEOsv2!G4</f>
        <v>implement a direct getter for a primitive type member.</v>
      </c>
      <c r="E16" s="51" t="b">
        <f>MLEOsv2!H4</f>
        <v>1</v>
      </c>
      <c r="F16" s="93" t="s">
        <v>320</v>
      </c>
      <c r="G16" s="70" t="str">
        <f>IF(F16=$D$4,F16,IF(OR(IFERROR(VLOOKUP(VLOOKUP($B16, Dependencies!$B$2:$G$230, 2,FALSE),$B$14:G$73, G$74,FALSE),"o")=$D$4,IFERROR(VLOOKUP(VLOOKUP($B16, Dependencies!$B$2:$G$230, 3,FALSE),$B$14:G$73, G$74,FALSE),"o")=$D$4,IFERROR(VLOOKUP(VLOOKUP($B16, Dependencies!$B$2:$G$230, 4,FALSE),$B$14:G$73, G$74,FALSE),"o")=$D$4,IFERROR(VLOOKUP(VLOOKUP($B16, Dependencies!$B$2:$G$230, 5,FALSE),$B$14:G$73, G$74,FALSE),"o")=$D$4,IFERROR(VLOOKUP(VLOOKUP($B16, Dependencies!$B$2:$G$230, 6,FALSE),$B$14:G$73, G$74,FALSE),"o")=$D$4),$D$4,IF(OR(IFERROR(VLOOKUP(VLOOKUP($B16, Dependencies!$B$2:$G$230, 2,FALSE), $B$14:G$73, G$74,FALSE),"o")=$D$5,IFERROR(VLOOKUP(VLOOKUP($B16, Dependencies!$B$2:$G$230, 3,FALSE), $B$14:G$73, G$74,FALSE),"o")=$D$5,IFERROR(VLOOKUP(VLOOKUP($B16, Dependencies!$B$2:$G$230, 4,FALSE), $B$14:G$73, G$74,FALSE),"o")=$D$5,IFERROR(VLOOKUP(VLOOKUP($B16, Dependencies!$B$2:$G$230, 5,FALSE), $B$14:G$73, G$74,FALSE),"o")=$D$5,IFERROR(VLOOKUP(VLOOKUP($B16, Dependencies!$B$2:$G$230, 6,FALSE), $B$14:G$73, G$74,FALSE),"o")=$D$5),$D$5,F16)))</f>
        <v>r</v>
      </c>
      <c r="H16" s="93" t="s">
        <v>321</v>
      </c>
      <c r="I16" s="70" t="str">
        <f>IF(H16=$D$4,H16,IF(OR(IFERROR(VLOOKUP(VLOOKUP($B16, Dependencies!$B$2:$G$230, 2,FALSE),$B$14:I$73, I$74,FALSE),"o")=$D$4,IFERROR(VLOOKUP(VLOOKUP($B16, Dependencies!$B$2:$G$230, 3,FALSE),$B$14:I$73, I$74,FALSE),"o")=$D$4,IFERROR(VLOOKUP(VLOOKUP($B16, Dependencies!$B$2:$G$230, 4,FALSE),$B$14:I$73, I$74,FALSE),"o")=$D$4,IFERROR(VLOOKUP(VLOOKUP($B16, Dependencies!$B$2:$G$230, 5,FALSE),$B$14:I$73, I$74,FALSE),"o")=$D$4,IFERROR(VLOOKUP(VLOOKUP($B16, Dependencies!$B$2:$G$230, 6,FALSE),$B$14:I$73, I$74,FALSE),"o")=$D$4),$D$4,IF(OR(IFERROR(VLOOKUP(VLOOKUP($B16, Dependencies!$B$2:$G$230, 2,FALSE), $B$14:I$73, I$74,FALSE),"o")=$D$5,IFERROR(VLOOKUP(VLOOKUP($B16, Dependencies!$B$2:$G$230, 3,FALSE), $B$14:I$73, I$74,FALSE),"o")=$D$5,IFERROR(VLOOKUP(VLOOKUP($B16, Dependencies!$B$2:$G$230, 4,FALSE), $B$14:I$73, I$74,FALSE),"o")=$D$5,IFERROR(VLOOKUP(VLOOKUP($B16, Dependencies!$B$2:$G$230, 5,FALSE), $B$14:I$73, I$74,FALSE),"o")=$D$5,IFERROR(VLOOKUP(VLOOKUP($B16, Dependencies!$B$2:$G$230, 6,FALSE), $B$14:I$73, I$74,FALSE),"o")=$D$5),$D$5,H16)))</f>
        <v>pr</v>
      </c>
      <c r="J16" s="93" t="s">
        <v>323</v>
      </c>
      <c r="K16" s="70" t="str">
        <f>IF(J16=$D$4,J16,IF(OR(IFERROR(VLOOKUP(VLOOKUP($B16, Dependencies!$B$2:$G$230, 2,FALSE),$B$14:K$73, K$74,FALSE),"o")=$D$4,IFERROR(VLOOKUP(VLOOKUP($B16, Dependencies!$B$2:$G$230, 3,FALSE),$B$14:K$73, K$74,FALSE),"o")=$D$4,IFERROR(VLOOKUP(VLOOKUP($B16, Dependencies!$B$2:$G$230, 4,FALSE),$B$14:K$73, K$74,FALSE),"o")=$D$4,IFERROR(VLOOKUP(VLOOKUP($B16, Dependencies!$B$2:$G$230, 5,FALSE),$B$14:K$73, K$74,FALSE),"o")=$D$4,IFERROR(VLOOKUP(VLOOKUP($B16, Dependencies!$B$2:$G$230, 6,FALSE),$B$14:K$73, K$74,FALSE),"o")=$D$4),$D$4,IF(OR(IFERROR(VLOOKUP(VLOOKUP($B16, Dependencies!$B$2:$G$230, 2,FALSE), $B$14:K$73, K$74,FALSE),"o")=$D$5,IFERROR(VLOOKUP(VLOOKUP($B16, Dependencies!$B$2:$G$230, 3,FALSE), $B$14:K$73, K$74,FALSE),"o")=$D$5,IFERROR(VLOOKUP(VLOOKUP($B16, Dependencies!$B$2:$G$230, 4,FALSE), $B$14:K$73, K$74,FALSE),"o")=$D$5,IFERROR(VLOOKUP(VLOOKUP($B16, Dependencies!$B$2:$G$230, 5,FALSE), $B$14:K$73, K$74,FALSE),"o")=$D$5,IFERROR(VLOOKUP(VLOOKUP($B16, Dependencies!$B$2:$G$230, 6,FALSE), $B$14:K$73, K$74,FALSE),"o")=$D$5),$D$5,J16)))</f>
        <v>r</v>
      </c>
      <c r="L16" s="93" t="s">
        <v>323</v>
      </c>
      <c r="M16" s="70" t="str">
        <f>IF(L16=$D$4,L16,IF(OR(IFERROR(VLOOKUP(VLOOKUP($B16, Dependencies!$B$2:$G$230, 2,FALSE),$B$14:M$73, M$74,FALSE),"o")=$D$4,IFERROR(VLOOKUP(VLOOKUP($B16, Dependencies!$B$2:$G$230, 3,FALSE),$B$14:M$73, M$74,FALSE),"o")=$D$4,IFERROR(VLOOKUP(VLOOKUP($B16, Dependencies!$B$2:$G$230, 4,FALSE),$B$14:M$73, M$74,FALSE),"o")=$D$4,IFERROR(VLOOKUP(VLOOKUP($B16, Dependencies!$B$2:$G$230, 5,FALSE),$B$14:M$73, M$74,FALSE),"o")=$D$4,IFERROR(VLOOKUP(VLOOKUP($B16, Dependencies!$B$2:$G$230, 6,FALSE),$B$14:M$73, M$74,FALSE),"o")=$D$4),$D$4,IF(OR(IFERROR(VLOOKUP(VLOOKUP($B16, Dependencies!$B$2:$G$230, 2,FALSE), $B$14:M$73, M$74,FALSE),"o")=$D$5,IFERROR(VLOOKUP(VLOOKUP($B16, Dependencies!$B$2:$G$230, 3,FALSE), $B$14:M$73, M$74,FALSE),"o")=$D$5,IFERROR(VLOOKUP(VLOOKUP($B16, Dependencies!$B$2:$G$230, 4,FALSE), $B$14:M$73, M$74,FALSE),"o")=$D$5,IFERROR(VLOOKUP(VLOOKUP($B16, Dependencies!$B$2:$G$230, 5,FALSE), $B$14:M$73, M$74,FALSE),"o")=$D$5,IFERROR(VLOOKUP(VLOOKUP($B16, Dependencies!$B$2:$G$230, 6,FALSE), $B$14:M$73, M$74,FALSE),"o")=$D$5),$D$5,L16)))</f>
        <v>o</v>
      </c>
      <c r="N16" s="93" t="s">
        <v>323</v>
      </c>
      <c r="O16" s="70" t="str">
        <f>IF(N16=$D$4,N16,IF(OR(IFERROR(VLOOKUP(VLOOKUP($B16, Dependencies!$B$2:$G$230, 2,FALSE),$B$14:O$73, O$74,FALSE),"o")=$D$4,IFERROR(VLOOKUP(VLOOKUP($B16, Dependencies!$B$2:$G$230, 3,FALSE),$B$14:O$73, O$74,FALSE),"o")=$D$4,IFERROR(VLOOKUP(VLOOKUP($B16, Dependencies!$B$2:$G$230, 4,FALSE),$B$14:O$73, O$74,FALSE),"o")=$D$4,IFERROR(VLOOKUP(VLOOKUP($B16, Dependencies!$B$2:$G$230, 5,FALSE),$B$14:O$73, O$74,FALSE),"o")=$D$4,IFERROR(VLOOKUP(VLOOKUP($B16, Dependencies!$B$2:$G$230, 6,FALSE),$B$14:O$73, O$74,FALSE),"o")=$D$4),$D$4,IF(OR(IFERROR(VLOOKUP(VLOOKUP($B16, Dependencies!$B$2:$G$230, 2,FALSE), $B$14:O$73, O$74,FALSE),"o")=$D$5,IFERROR(VLOOKUP(VLOOKUP($B16, Dependencies!$B$2:$G$230, 3,FALSE), $B$14:O$73, O$74,FALSE),"o")=$D$5,IFERROR(VLOOKUP(VLOOKUP($B16, Dependencies!$B$2:$G$230, 4,FALSE), $B$14:O$73, O$74,FALSE),"o")=$D$5,IFERROR(VLOOKUP(VLOOKUP($B16, Dependencies!$B$2:$G$230, 5,FALSE), $B$14:O$73, O$74,FALSE),"o")=$D$5,IFERROR(VLOOKUP(VLOOKUP($B16, Dependencies!$B$2:$G$230, 6,FALSE), $B$14:O$73, O$74,FALSE),"o")=$D$5),$D$5,N16)))</f>
        <v>o</v>
      </c>
      <c r="P16" s="93" t="s">
        <v>323</v>
      </c>
      <c r="Q16" s="70" t="str">
        <f>IF(P16=$D$4,P16,IF(OR(IFERROR(VLOOKUP(VLOOKUP($B16, Dependencies!$B$2:$G$230, 2,FALSE),$B$14:Q$73, Q$74,FALSE),"o")=$D$4,IFERROR(VLOOKUP(VLOOKUP($B16, Dependencies!$B$2:$G$230, 3,FALSE),$B$14:Q$73, Q$74,FALSE),"o")=$D$4,IFERROR(VLOOKUP(VLOOKUP($B16, Dependencies!$B$2:$G$230, 4,FALSE),$B$14:Q$73, Q$74,FALSE),"o")=$D$4,IFERROR(VLOOKUP(VLOOKUP($B16, Dependencies!$B$2:$G$230, 5,FALSE),$B$14:Q$73, Q$74,FALSE),"o")=$D$4,IFERROR(VLOOKUP(VLOOKUP($B16, Dependencies!$B$2:$G$230, 6,FALSE),$B$14:Q$73, Q$74,FALSE),"o")=$D$4),$D$4,IF(OR(IFERROR(VLOOKUP(VLOOKUP($B16, Dependencies!$B$2:$G$230, 2,FALSE), $B$14:Q$73, Q$74,FALSE),"o")=$D$5,IFERROR(VLOOKUP(VLOOKUP($B16, Dependencies!$B$2:$G$230, 3,FALSE), $B$14:Q$73, Q$74,FALSE),"o")=$D$5,IFERROR(VLOOKUP(VLOOKUP($B16, Dependencies!$B$2:$G$230, 4,FALSE), $B$14:Q$73, Q$74,FALSE),"o")=$D$5,IFERROR(VLOOKUP(VLOOKUP($B16, Dependencies!$B$2:$G$230, 5,FALSE), $B$14:Q$73, Q$74,FALSE),"o")=$D$5,IFERROR(VLOOKUP(VLOOKUP($B16, Dependencies!$B$2:$G$230, 6,FALSE), $B$14:Q$73, Q$74,FALSE),"o")=$D$5),$D$5,P16)))</f>
        <v>o</v>
      </c>
      <c r="R16" s="93" t="s">
        <v>323</v>
      </c>
      <c r="S16" s="70" t="str">
        <f>IF(R16=$D$4,R16,IF(OR(IFERROR(VLOOKUP(VLOOKUP($B16, Dependencies!$B$2:$G$230, 2,FALSE),$B$14:S$73, S$74,FALSE),"o")=$D$4,IFERROR(VLOOKUP(VLOOKUP($B16, Dependencies!$B$2:$G$230, 3,FALSE),$B$14:S$73, S$74,FALSE),"o")=$D$4,IFERROR(VLOOKUP(VLOOKUP($B16, Dependencies!$B$2:$G$230, 4,FALSE),$B$14:S$73, S$74,FALSE),"o")=$D$4,IFERROR(VLOOKUP(VLOOKUP($B16, Dependencies!$B$2:$G$230, 5,FALSE),$B$14:S$73, S$74,FALSE),"o")=$D$4,IFERROR(VLOOKUP(VLOOKUP($B16, Dependencies!$B$2:$G$230, 6,FALSE),$B$14:S$73, S$74,FALSE),"o")=$D$4),$D$4,IF(OR(IFERROR(VLOOKUP(VLOOKUP($B16, Dependencies!$B$2:$G$230, 2,FALSE), $B$14:S$73, S$74,FALSE),"o")=$D$5,IFERROR(VLOOKUP(VLOOKUP($B16, Dependencies!$B$2:$G$230, 3,FALSE), $B$14:S$73, S$74,FALSE),"o")=$D$5,IFERROR(VLOOKUP(VLOOKUP($B16, Dependencies!$B$2:$G$230, 4,FALSE), $B$14:S$73, S$74,FALSE),"o")=$D$5,IFERROR(VLOOKUP(VLOOKUP($B16, Dependencies!$B$2:$G$230, 5,FALSE), $B$14:S$73, S$74,FALSE),"o")=$D$5,IFERROR(VLOOKUP(VLOOKUP($B16, Dependencies!$B$2:$G$230, 6,FALSE), $B$14:S$73, S$74,FALSE),"o")=$D$5),$D$5,R16)))</f>
        <v>o</v>
      </c>
      <c r="T16" s="93" t="s">
        <v>323</v>
      </c>
      <c r="U16" s="70" t="str">
        <f>IF(T16=$D$4,T16,IF(OR(IFERROR(VLOOKUP(VLOOKUP($B16, Dependencies!$B$2:$G$230, 2,FALSE),$B$14:U$73, U$74,FALSE),"o")=$D$4,IFERROR(VLOOKUP(VLOOKUP($B16, Dependencies!$B$2:$G$230, 3,FALSE),$B$14:U$73, U$74,FALSE),"o")=$D$4,IFERROR(VLOOKUP(VLOOKUP($B16, Dependencies!$B$2:$G$230, 4,FALSE),$B$14:U$73, U$74,FALSE),"o")=$D$4,IFERROR(VLOOKUP(VLOOKUP($B16, Dependencies!$B$2:$G$230, 5,FALSE),$B$14:U$73, U$74,FALSE),"o")=$D$4,IFERROR(VLOOKUP(VLOOKUP($B16, Dependencies!$B$2:$G$230, 6,FALSE),$B$14:U$73, U$74,FALSE),"o")=$D$4),$D$4,IF(OR(IFERROR(VLOOKUP(VLOOKUP($B16, Dependencies!$B$2:$G$230, 2,FALSE), $B$14:U$73, U$74,FALSE),"o")=$D$5,IFERROR(VLOOKUP(VLOOKUP($B16, Dependencies!$B$2:$G$230, 3,FALSE), $B$14:U$73, U$74,FALSE),"o")=$D$5,IFERROR(VLOOKUP(VLOOKUP($B16, Dependencies!$B$2:$G$230, 4,FALSE), $B$14:U$73, U$74,FALSE),"o")=$D$5,IFERROR(VLOOKUP(VLOOKUP($B16, Dependencies!$B$2:$G$230, 5,FALSE), $B$14:U$73, U$74,FALSE),"o")=$D$5,IFERROR(VLOOKUP(VLOOKUP($B16, Dependencies!$B$2:$G$230, 6,FALSE), $B$14:U$73, U$74,FALSE),"o")=$D$5),$D$5,T16)))</f>
        <v>o</v>
      </c>
      <c r="V16" s="93" t="s">
        <v>323</v>
      </c>
      <c r="W16" s="70" t="str">
        <f>IF(V16=$D$4,V16,IF(OR(IFERROR(VLOOKUP(VLOOKUP($B16, Dependencies!$B$2:$G$230, 2,FALSE),$B$14:W$73, W$74,FALSE),"o")=$D$4,IFERROR(VLOOKUP(VLOOKUP($B16, Dependencies!$B$2:$G$230, 3,FALSE),$B$14:W$73, W$74,FALSE),"o")=$D$4,IFERROR(VLOOKUP(VLOOKUP($B16, Dependencies!$B$2:$G$230, 4,FALSE),$B$14:W$73, W$74,FALSE),"o")=$D$4,IFERROR(VLOOKUP(VLOOKUP($B16, Dependencies!$B$2:$G$230, 5,FALSE),$B$14:W$73, W$74,FALSE),"o")=$D$4,IFERROR(VLOOKUP(VLOOKUP($B16, Dependencies!$B$2:$G$230, 6,FALSE),$B$14:W$73, W$74,FALSE),"o")=$D$4),$D$4,IF(OR(IFERROR(VLOOKUP(VLOOKUP($B16, Dependencies!$B$2:$G$230, 2,FALSE), $B$14:W$73, W$74,FALSE),"o")=$D$5,IFERROR(VLOOKUP(VLOOKUP($B16, Dependencies!$B$2:$G$230, 3,FALSE), $B$14:W$73, W$74,FALSE),"o")=$D$5,IFERROR(VLOOKUP(VLOOKUP($B16, Dependencies!$B$2:$G$230, 4,FALSE), $B$14:W$73, W$74,FALSE),"o")=$D$5,IFERROR(VLOOKUP(VLOOKUP($B16, Dependencies!$B$2:$G$230, 5,FALSE), $B$14:W$73, W$74,FALSE),"o")=$D$5,IFERROR(VLOOKUP(VLOOKUP($B16, Dependencies!$B$2:$G$230, 6,FALSE), $B$14:W$73, W$74,FALSE),"o")=$D$5),$D$5,V16)))</f>
        <v>o</v>
      </c>
      <c r="X16" s="93" t="s">
        <v>323</v>
      </c>
      <c r="Y16" s="70" t="str">
        <f>IF(X16=$D$4,X16,IF(OR(IFERROR(VLOOKUP(VLOOKUP($B16, Dependencies!$B$2:$G$230, 2,FALSE),$B$14:Y$73, Y$74,FALSE),"o")=$D$4,IFERROR(VLOOKUP(VLOOKUP($B16, Dependencies!$B$2:$G$230, 3,FALSE),$B$14:Y$73, Y$74,FALSE),"o")=$D$4,IFERROR(VLOOKUP(VLOOKUP($B16, Dependencies!$B$2:$G$230, 4,FALSE),$B$14:Y$73, Y$74,FALSE),"o")=$D$4,IFERROR(VLOOKUP(VLOOKUP($B16, Dependencies!$B$2:$G$230, 5,FALSE),$B$14:Y$73, Y$74,FALSE),"o")=$D$4,IFERROR(VLOOKUP(VLOOKUP($B16, Dependencies!$B$2:$G$230, 6,FALSE),$B$14:Y$73, Y$74,FALSE),"o")=$D$4),$D$4,IF(OR(IFERROR(VLOOKUP(VLOOKUP($B16, Dependencies!$B$2:$G$230, 2,FALSE), $B$14:Y$73, Y$74,FALSE),"o")=$D$5,IFERROR(VLOOKUP(VLOOKUP($B16, Dependencies!$B$2:$G$230, 3,FALSE), $B$14:Y$73, Y$74,FALSE),"o")=$D$5,IFERROR(VLOOKUP(VLOOKUP($B16, Dependencies!$B$2:$G$230, 4,FALSE), $B$14:Y$73, Y$74,FALSE),"o")=$D$5,IFERROR(VLOOKUP(VLOOKUP($B16, Dependencies!$B$2:$G$230, 5,FALSE), $B$14:Y$73, Y$74,FALSE),"o")=$D$5,IFERROR(VLOOKUP(VLOOKUP($B16, Dependencies!$B$2:$G$230, 6,FALSE), $B$14:Y$73, Y$74,FALSE),"o")=$D$5),$D$5,X16)))</f>
        <v>o</v>
      </c>
      <c r="Z16" s="93" t="s">
        <v>323</v>
      </c>
      <c r="AA16" s="70" t="str">
        <f>IF(Z16=$D$4,Z16,IF(OR(IFERROR(VLOOKUP(VLOOKUP($B16, Dependencies!$B$2:$G$230, 2,FALSE),$B$14:AA$73, AA$74,FALSE),"o")=$D$4,IFERROR(VLOOKUP(VLOOKUP($B16, Dependencies!$B$2:$G$230, 3,FALSE),$B$14:AA$73, AA$74,FALSE),"o")=$D$4,IFERROR(VLOOKUP(VLOOKUP($B16, Dependencies!$B$2:$G$230, 4,FALSE),$B$14:AA$73, AA$74,FALSE),"o")=$D$4,IFERROR(VLOOKUP(VLOOKUP($B16, Dependencies!$B$2:$G$230, 5,FALSE),$B$14:AA$73, AA$74,FALSE),"o")=$D$4,IFERROR(VLOOKUP(VLOOKUP($B16, Dependencies!$B$2:$G$230, 6,FALSE),$B$14:AA$73, AA$74,FALSE),"o")=$D$4),$D$4,IF(OR(IFERROR(VLOOKUP(VLOOKUP($B16, Dependencies!$B$2:$G$230, 2,FALSE), $B$14:AA$73, AA$74,FALSE),"o")=$D$5,IFERROR(VLOOKUP(VLOOKUP($B16, Dependencies!$B$2:$G$230, 3,FALSE), $B$14:AA$73, AA$74,FALSE),"o")=$D$5,IFERROR(VLOOKUP(VLOOKUP($B16, Dependencies!$B$2:$G$230, 4,FALSE), $B$14:AA$73, AA$74,FALSE),"o")=$D$5,IFERROR(VLOOKUP(VLOOKUP($B16, Dependencies!$B$2:$G$230, 5,FALSE), $B$14:AA$73, AA$74,FALSE),"o")=$D$5,IFERROR(VLOOKUP(VLOOKUP($B16, Dependencies!$B$2:$G$230, 6,FALSE), $B$14:AA$73, AA$74,FALSE),"o")=$D$5),$D$5,Z16)))</f>
        <v>o</v>
      </c>
      <c r="AB16" s="93" t="s">
        <v>323</v>
      </c>
      <c r="AC16" s="70" t="str">
        <f>IF(AB16=$D$4,AB16,IF(OR(IFERROR(VLOOKUP(VLOOKUP($B16, Dependencies!$B$2:$G$230, 2,FALSE),$B$14:AC$73, AC$74,FALSE),"o")=$D$4,IFERROR(VLOOKUP(VLOOKUP($B16, Dependencies!$B$2:$G$230, 3,FALSE),$B$14:AC$73, AC$74,FALSE),"o")=$D$4,IFERROR(VLOOKUP(VLOOKUP($B16, Dependencies!$B$2:$G$230, 4,FALSE),$B$14:AC$73, AC$74,FALSE),"o")=$D$4,IFERROR(VLOOKUP(VLOOKUP($B16, Dependencies!$B$2:$G$230, 5,FALSE),$B$14:AC$73, AC$74,FALSE),"o")=$D$4,IFERROR(VLOOKUP(VLOOKUP($B16, Dependencies!$B$2:$G$230, 6,FALSE),$B$14:AC$73, AC$74,FALSE),"o")=$D$4),$D$4,IF(OR(IFERROR(VLOOKUP(VLOOKUP($B16, Dependencies!$B$2:$G$230, 2,FALSE), $B$14:AC$73, AC$74,FALSE),"o")=$D$5,IFERROR(VLOOKUP(VLOOKUP($B16, Dependencies!$B$2:$G$230, 3,FALSE), $B$14:AC$73, AC$74,FALSE),"o")=$D$5,IFERROR(VLOOKUP(VLOOKUP($B16, Dependencies!$B$2:$G$230, 4,FALSE), $B$14:AC$73, AC$74,FALSE),"o")=$D$5,IFERROR(VLOOKUP(VLOOKUP($B16, Dependencies!$B$2:$G$230, 5,FALSE), $B$14:AC$73, AC$74,FALSE),"o")=$D$5,IFERROR(VLOOKUP(VLOOKUP($B16, Dependencies!$B$2:$G$230, 6,FALSE), $B$14:AC$73, AC$74,FALSE),"o")=$D$5),$D$5,AB16)))</f>
        <v>o</v>
      </c>
      <c r="AD16" s="93" t="s">
        <v>323</v>
      </c>
      <c r="AE16" s="70" t="str">
        <f>IF(AD16=$D$4,AD16,IF(OR(IFERROR(VLOOKUP(VLOOKUP($B16, Dependencies!$B$2:$G$230, 2,FALSE),$B$14:AE$73, AE$74,FALSE),"o")=$D$4,IFERROR(VLOOKUP(VLOOKUP($B16, Dependencies!$B$2:$G$230, 3,FALSE),$B$14:AE$73, AE$74,FALSE),"o")=$D$4,IFERROR(VLOOKUP(VLOOKUP($B16, Dependencies!$B$2:$G$230, 4,FALSE),$B$14:AE$73, AE$74,FALSE),"o")=$D$4,IFERROR(VLOOKUP(VLOOKUP($B16, Dependencies!$B$2:$G$230, 5,FALSE),$B$14:AE$73, AE$74,FALSE),"o")=$D$4,IFERROR(VLOOKUP(VLOOKUP($B16, Dependencies!$B$2:$G$230, 6,FALSE),$B$14:AE$73, AE$74,FALSE),"o")=$D$4),$D$4,IF(OR(IFERROR(VLOOKUP(VLOOKUP($B16, Dependencies!$B$2:$G$230, 2,FALSE), $B$14:AE$73, AE$74,FALSE),"o")=$D$5,IFERROR(VLOOKUP(VLOOKUP($B16, Dependencies!$B$2:$G$230, 3,FALSE), $B$14:AE$73, AE$74,FALSE),"o")=$D$5,IFERROR(VLOOKUP(VLOOKUP($B16, Dependencies!$B$2:$G$230, 4,FALSE), $B$14:AE$73, AE$74,FALSE),"o")=$D$5,IFERROR(VLOOKUP(VLOOKUP($B16, Dependencies!$B$2:$G$230, 5,FALSE), $B$14:AE$73, AE$74,FALSE),"o")=$D$5,IFERROR(VLOOKUP(VLOOKUP($B16, Dependencies!$B$2:$G$230, 6,FALSE), $B$14:AE$73, AE$74,FALSE),"o")=$D$5),$D$5,AD16)))</f>
        <v>o</v>
      </c>
      <c r="AF16" s="93" t="s">
        <v>323</v>
      </c>
      <c r="AG16" s="70" t="str">
        <f>IF(AF16=$D$4,AF16,IF(OR(IFERROR(VLOOKUP(VLOOKUP($B16, Dependencies!$B$2:$G$230, 2,FALSE),$B$14:AG$73, AG$74,FALSE),"o")=$D$4,IFERROR(VLOOKUP(VLOOKUP($B16, Dependencies!$B$2:$G$230, 3,FALSE),$B$14:AG$73, AG$74,FALSE),"o")=$D$4,IFERROR(VLOOKUP(VLOOKUP($B16, Dependencies!$B$2:$G$230, 4,FALSE),$B$14:AG$73, AG$74,FALSE),"o")=$D$4,IFERROR(VLOOKUP(VLOOKUP($B16, Dependencies!$B$2:$G$230, 5,FALSE),$B$14:AG$73, AG$74,FALSE),"o")=$D$4,IFERROR(VLOOKUP(VLOOKUP($B16, Dependencies!$B$2:$G$230, 6,FALSE),$B$14:AG$73, AG$74,FALSE),"o")=$D$4),$D$4,IF(OR(IFERROR(VLOOKUP(VLOOKUP($B16, Dependencies!$B$2:$G$230, 2,FALSE), $B$14:AG$73, AG$74,FALSE),"o")=$D$5,IFERROR(VLOOKUP(VLOOKUP($B16, Dependencies!$B$2:$G$230, 3,FALSE), $B$14:AG$73, AG$74,FALSE),"o")=$D$5,IFERROR(VLOOKUP(VLOOKUP($B16, Dependencies!$B$2:$G$230, 4,FALSE), $B$14:AG$73, AG$74,FALSE),"o")=$D$5,IFERROR(VLOOKUP(VLOOKUP($B16, Dependencies!$B$2:$G$230, 5,FALSE), $B$14:AG$73, AG$74,FALSE),"o")=$D$5,IFERROR(VLOOKUP(VLOOKUP($B16, Dependencies!$B$2:$G$230, 6,FALSE), $B$14:AG$73, AG$74,FALSE),"o")=$D$5),$D$5,AF16)))</f>
        <v>o</v>
      </c>
      <c r="AH16" s="93" t="s">
        <v>323</v>
      </c>
      <c r="AI16" s="70" t="str">
        <f>IF(AH16=$D$4,AH16,IF(OR(IFERROR(VLOOKUP(VLOOKUP($B16, Dependencies!$B$2:$G$230, 2,FALSE),$B$14:AI$73, AI$74,FALSE),"o")=$D$4,IFERROR(VLOOKUP(VLOOKUP($B16, Dependencies!$B$2:$G$230, 3,FALSE),$B$14:AI$73, AI$74,FALSE),"o")=$D$4,IFERROR(VLOOKUP(VLOOKUP($B16, Dependencies!$B$2:$G$230, 4,FALSE),$B$14:AI$73, AI$74,FALSE),"o")=$D$4,IFERROR(VLOOKUP(VLOOKUP($B16, Dependencies!$B$2:$G$230, 5,FALSE),$B$14:AI$73, AI$74,FALSE),"o")=$D$4,IFERROR(VLOOKUP(VLOOKUP($B16, Dependencies!$B$2:$G$230, 6,FALSE),$B$14:AI$73, AI$74,FALSE),"o")=$D$4),$D$4,IF(OR(IFERROR(VLOOKUP(VLOOKUP($B16, Dependencies!$B$2:$G$230, 2,FALSE), $B$14:AI$73, AI$74,FALSE),"o")=$D$5,IFERROR(VLOOKUP(VLOOKUP($B16, Dependencies!$B$2:$G$230, 3,FALSE), $B$14:AI$73, AI$74,FALSE),"o")=$D$5,IFERROR(VLOOKUP(VLOOKUP($B16, Dependencies!$B$2:$G$230, 4,FALSE), $B$14:AI$73, AI$74,FALSE),"o")=$D$5,IFERROR(VLOOKUP(VLOOKUP($B16, Dependencies!$B$2:$G$230, 5,FALSE), $B$14:AI$73, AI$74,FALSE),"o")=$D$5,IFERROR(VLOOKUP(VLOOKUP($B16, Dependencies!$B$2:$G$230, 6,FALSE), $B$14:AI$73, AI$74,FALSE),"o")=$D$5),$D$5,AH16)))</f>
        <v>o</v>
      </c>
      <c r="AJ16" s="93" t="s">
        <v>323</v>
      </c>
      <c r="AK16" s="70" t="str">
        <f>IF(AJ16=$D$4,AJ16,IF(OR(IFERROR(VLOOKUP(VLOOKUP($B16, Dependencies!$B$2:$G$230, 2,FALSE),$B$14:AK$73, AK$74,FALSE),"o")=$D$4,IFERROR(VLOOKUP(VLOOKUP($B16, Dependencies!$B$2:$G$230, 3,FALSE),$B$14:AK$73, AK$74,FALSE),"o")=$D$4,IFERROR(VLOOKUP(VLOOKUP($B16, Dependencies!$B$2:$G$230, 4,FALSE),$B$14:AK$73, AK$74,FALSE),"o")=$D$4,IFERROR(VLOOKUP(VLOOKUP($B16, Dependencies!$B$2:$G$230, 5,FALSE),$B$14:AK$73, AK$74,FALSE),"o")=$D$4,IFERROR(VLOOKUP(VLOOKUP($B16, Dependencies!$B$2:$G$230, 6,FALSE),$B$14:AK$73, AK$74,FALSE),"o")=$D$4),$D$4,IF(OR(IFERROR(VLOOKUP(VLOOKUP($B16, Dependencies!$B$2:$G$230, 2,FALSE), $B$14:AK$73, AK$74,FALSE),"o")=$D$5,IFERROR(VLOOKUP(VLOOKUP($B16, Dependencies!$B$2:$G$230, 3,FALSE), $B$14:AK$73, AK$74,FALSE),"o")=$D$5,IFERROR(VLOOKUP(VLOOKUP($B16, Dependencies!$B$2:$G$230, 4,FALSE), $B$14:AK$73, AK$74,FALSE),"o")=$D$5,IFERROR(VLOOKUP(VLOOKUP($B16, Dependencies!$B$2:$G$230, 5,FALSE), $B$14:AK$73, AK$74,FALSE),"o")=$D$5,IFERROR(VLOOKUP(VLOOKUP($B16, Dependencies!$B$2:$G$230, 6,FALSE), $B$14:AK$73, AK$74,FALSE),"o")=$D$5),$D$5,AJ16)))</f>
        <v>o</v>
      </c>
      <c r="AL16" s="93" t="s">
        <v>323</v>
      </c>
      <c r="AM16" s="70" t="str">
        <f>IF(AL16=$D$4,AL16,IF(OR(IFERROR(VLOOKUP(VLOOKUP($B16, Dependencies!$B$2:$G$230, 2,FALSE),$B$14:AM$73, AM$74,FALSE),"o")=$D$4,IFERROR(VLOOKUP(VLOOKUP($B16, Dependencies!$B$2:$G$230, 3,FALSE),$B$14:AM$73, AM$74,FALSE),"o")=$D$4,IFERROR(VLOOKUP(VLOOKUP($B16, Dependencies!$B$2:$G$230, 4,FALSE),$B$14:AM$73, AM$74,FALSE),"o")=$D$4,IFERROR(VLOOKUP(VLOOKUP($B16, Dependencies!$B$2:$G$230, 5,FALSE),$B$14:AM$73, AM$74,FALSE),"o")=$D$4,IFERROR(VLOOKUP(VLOOKUP($B16, Dependencies!$B$2:$G$230, 6,FALSE),$B$14:AM$73, AM$74,FALSE),"o")=$D$4),$D$4,IF(OR(IFERROR(VLOOKUP(VLOOKUP($B16, Dependencies!$B$2:$G$230, 2,FALSE), $B$14:AM$73, AM$74,FALSE),"o")=$D$5,IFERROR(VLOOKUP(VLOOKUP($B16, Dependencies!$B$2:$G$230, 3,FALSE), $B$14:AM$73, AM$74,FALSE),"o")=$D$5,IFERROR(VLOOKUP(VLOOKUP($B16, Dependencies!$B$2:$G$230, 4,FALSE), $B$14:AM$73, AM$74,FALSE),"o")=$D$5,IFERROR(VLOOKUP(VLOOKUP($B16, Dependencies!$B$2:$G$230, 5,FALSE), $B$14:AM$73, AM$74,FALSE),"o")=$D$5,IFERROR(VLOOKUP(VLOOKUP($B16, Dependencies!$B$2:$G$230, 6,FALSE), $B$14:AM$73, AM$74,FALSE),"o")=$D$5),$D$5,AL16)))</f>
        <v>o</v>
      </c>
      <c r="AN16" s="93" t="s">
        <v>323</v>
      </c>
      <c r="AO16" s="70" t="str">
        <f>IF(AN16=$D$4,AN16,IF(OR(IFERROR(VLOOKUP(VLOOKUP($B16, Dependencies!$B$2:$G$230, 2,FALSE),$B$14:AO$73, AO$74,FALSE),"o")=$D$4,IFERROR(VLOOKUP(VLOOKUP($B16, Dependencies!$B$2:$G$230, 3,FALSE),$B$14:AO$73, AO$74,FALSE),"o")=$D$4,IFERROR(VLOOKUP(VLOOKUP($B16, Dependencies!$B$2:$G$230, 4,FALSE),$B$14:AO$73, AO$74,FALSE),"o")=$D$4,IFERROR(VLOOKUP(VLOOKUP($B16, Dependencies!$B$2:$G$230, 5,FALSE),$B$14:AO$73, AO$74,FALSE),"o")=$D$4,IFERROR(VLOOKUP(VLOOKUP($B16, Dependencies!$B$2:$G$230, 6,FALSE),$B$14:AO$73, AO$74,FALSE),"o")=$D$4),$D$4,IF(OR(IFERROR(VLOOKUP(VLOOKUP($B16, Dependencies!$B$2:$G$230, 2,FALSE), $B$14:AO$73, AO$74,FALSE),"o")=$D$5,IFERROR(VLOOKUP(VLOOKUP($B16, Dependencies!$B$2:$G$230, 3,FALSE), $B$14:AO$73, AO$74,FALSE),"o")=$D$5,IFERROR(VLOOKUP(VLOOKUP($B16, Dependencies!$B$2:$G$230, 4,FALSE), $B$14:AO$73, AO$74,FALSE),"o")=$D$5,IFERROR(VLOOKUP(VLOOKUP($B16, Dependencies!$B$2:$G$230, 5,FALSE), $B$14:AO$73, AO$74,FALSE),"o")=$D$5,IFERROR(VLOOKUP(VLOOKUP($B16, Dependencies!$B$2:$G$230, 6,FALSE), $B$14:AO$73, AO$74,FALSE),"o")=$D$5),$D$5,AN16)))</f>
        <v>o</v>
      </c>
      <c r="AP16" s="93" t="s">
        <v>323</v>
      </c>
      <c r="AQ16" s="70" t="str">
        <f>IF(AP16=$D$4,AP16,IF(OR(IFERROR(VLOOKUP(VLOOKUP($B16, Dependencies!$B$2:$G$230, 2,FALSE),$B$14:AQ$73, AQ$74,FALSE),"o")=$D$4,IFERROR(VLOOKUP(VLOOKUP($B16, Dependencies!$B$2:$G$230, 3,FALSE),$B$14:AQ$73, AQ$74,FALSE),"o")=$D$4,IFERROR(VLOOKUP(VLOOKUP($B16, Dependencies!$B$2:$G$230, 4,FALSE),$B$14:AQ$73, AQ$74,FALSE),"o")=$D$4,IFERROR(VLOOKUP(VLOOKUP($B16, Dependencies!$B$2:$G$230, 5,FALSE),$B$14:AQ$73, AQ$74,FALSE),"o")=$D$4,IFERROR(VLOOKUP(VLOOKUP($B16, Dependencies!$B$2:$G$230, 6,FALSE),$B$14:AQ$73, AQ$74,FALSE),"o")=$D$4),$D$4,IF(OR(IFERROR(VLOOKUP(VLOOKUP($B16, Dependencies!$B$2:$G$230, 2,FALSE), $B$14:AQ$73, AQ$74,FALSE),"o")=$D$5,IFERROR(VLOOKUP(VLOOKUP($B16, Dependencies!$B$2:$G$230, 3,FALSE), $B$14:AQ$73, AQ$74,FALSE),"o")=$D$5,IFERROR(VLOOKUP(VLOOKUP($B16, Dependencies!$B$2:$G$230, 4,FALSE), $B$14:AQ$73, AQ$74,FALSE),"o")=$D$5,IFERROR(VLOOKUP(VLOOKUP($B16, Dependencies!$B$2:$G$230, 5,FALSE), $B$14:AQ$73, AQ$74,FALSE),"o")=$D$5,IFERROR(VLOOKUP(VLOOKUP($B16, Dependencies!$B$2:$G$230, 6,FALSE), $B$14:AQ$73, AQ$74,FALSE),"o")=$D$5),$D$5,AP16)))</f>
        <v>o</v>
      </c>
      <c r="AR16" s="93" t="s">
        <v>323</v>
      </c>
      <c r="AS16" s="69" t="str">
        <f>IF(AR16=$D$4,AR16,IF(OR(IFERROR(VLOOKUP(VLOOKUP($B16, Dependencies!$B$2:$G$230, 2,FALSE),$B$14:AS$73, AS$74,FALSE),"o")=$D$4,IFERROR(VLOOKUP(VLOOKUP($B16, Dependencies!$B$2:$G$230, 3,FALSE),$B$14:AS$73, AS$74,FALSE),"o")=$D$4,IFERROR(VLOOKUP(VLOOKUP($B16, Dependencies!$B$2:$G$230, 4,FALSE),$B$14:AS$73, AS$74,FALSE),"o")=$D$4,IFERROR(VLOOKUP(VLOOKUP($B16, Dependencies!$B$2:$G$230, 5,FALSE),$B$14:AS$73, AS$74,FALSE),"o")=$D$4,IFERROR(VLOOKUP(VLOOKUP($B16, Dependencies!$B$2:$G$230, 6,FALSE),$B$14:AS$73, AS$74,FALSE),"o")=$D$4),$D$4,IF(OR(IFERROR(VLOOKUP(VLOOKUP($B16, Dependencies!$B$2:$G$230, 2,FALSE), $B$14:AS$73, AS$74,FALSE),"o")=$D$5,IFERROR(VLOOKUP(VLOOKUP($B16, Dependencies!$B$2:$G$230, 3,FALSE), $B$14:AS$73, AS$74,FALSE),"o")=$D$5,IFERROR(VLOOKUP(VLOOKUP($B16, Dependencies!$B$2:$G$230, 4,FALSE), $B$14:AS$73, AS$74,FALSE),"o")=$D$5,IFERROR(VLOOKUP(VLOOKUP($B16, Dependencies!$B$2:$G$230, 5,FALSE), $B$14:AS$73, AS$74,FALSE),"o")=$D$5,IFERROR(VLOOKUP(VLOOKUP($B16, Dependencies!$B$2:$G$230, 6,FALSE), $B$14:AS$73, AS$74,FALSE),"o")=$D$5),$D$5,AR16)))</f>
        <v>o</v>
      </c>
      <c r="AU16" s="58"/>
    </row>
    <row r="17" spans="1:47" x14ac:dyDescent="0.2">
      <c r="A17" s="40"/>
      <c r="B17" s="74" t="str">
        <f>MLEOsv2!A5</f>
        <v>MLEO_00_04</v>
      </c>
      <c r="C17" s="74">
        <f>MLEOsv2!C5</f>
        <v>1</v>
      </c>
      <c r="D17" s="44" t="str">
        <f>MLEOsv2!G5</f>
        <v>implement a direct setter for a primitive type member observing class invariants.</v>
      </c>
      <c r="E17" s="68" t="b">
        <f>MLEOsv2!H5</f>
        <v>1</v>
      </c>
      <c r="F17" s="94" t="s">
        <v>320</v>
      </c>
      <c r="G17" s="72" t="str">
        <f>IF(F17=$D$4,F17,IF(OR(IFERROR(VLOOKUP(VLOOKUP($B17, Dependencies!$B$2:$G$230, 2,FALSE),$B$14:G$73, G$74,FALSE),"o")=$D$4,IFERROR(VLOOKUP(VLOOKUP($B17, Dependencies!$B$2:$G$230, 3,FALSE),$B$14:G$73, G$74,FALSE),"o")=$D$4,IFERROR(VLOOKUP(VLOOKUP($B17, Dependencies!$B$2:$G$230, 4,FALSE),$B$14:G$73, G$74,FALSE),"o")=$D$4,IFERROR(VLOOKUP(VLOOKUP($B17, Dependencies!$B$2:$G$230, 5,FALSE),$B$14:G$73, G$74,FALSE),"o")=$D$4,IFERROR(VLOOKUP(VLOOKUP($B17, Dependencies!$B$2:$G$230, 6,FALSE),$B$14:G$73, G$74,FALSE),"o")=$D$4),$D$4,IF(OR(IFERROR(VLOOKUP(VLOOKUP($B17, Dependencies!$B$2:$G$230, 2,FALSE), $B$14:G$73, G$74,FALSE),"o")=$D$5,IFERROR(VLOOKUP(VLOOKUP($B17, Dependencies!$B$2:$G$230, 3,FALSE), $B$14:G$73, G$74,FALSE),"o")=$D$5,IFERROR(VLOOKUP(VLOOKUP($B17, Dependencies!$B$2:$G$230, 4,FALSE), $B$14:G$73, G$74,FALSE),"o")=$D$5,IFERROR(VLOOKUP(VLOOKUP($B17, Dependencies!$B$2:$G$230, 5,FALSE), $B$14:G$73, G$74,FALSE),"o")=$D$5,IFERROR(VLOOKUP(VLOOKUP($B17, Dependencies!$B$2:$G$230, 6,FALSE), $B$14:G$73, G$74,FALSE),"o")=$D$5),$D$5,F17)))</f>
        <v>r</v>
      </c>
      <c r="H17" s="94" t="s">
        <v>321</v>
      </c>
      <c r="I17" s="72" t="str">
        <f>IF(H17=$D$4,H17,IF(OR(IFERROR(VLOOKUP(VLOOKUP($B17, Dependencies!$B$2:$G$230, 2,FALSE),$B$14:I$73, I$74,FALSE),"o")=$D$4,IFERROR(VLOOKUP(VLOOKUP($B17, Dependencies!$B$2:$G$230, 3,FALSE),$B$14:I$73, I$74,FALSE),"o")=$D$4,IFERROR(VLOOKUP(VLOOKUP($B17, Dependencies!$B$2:$G$230, 4,FALSE),$B$14:I$73, I$74,FALSE),"o")=$D$4,IFERROR(VLOOKUP(VLOOKUP($B17, Dependencies!$B$2:$G$230, 5,FALSE),$B$14:I$73, I$74,FALSE),"o")=$D$4,IFERROR(VLOOKUP(VLOOKUP($B17, Dependencies!$B$2:$G$230, 6,FALSE),$B$14:I$73, I$74,FALSE),"o")=$D$4),$D$4,IF(OR(IFERROR(VLOOKUP(VLOOKUP($B17, Dependencies!$B$2:$G$230, 2,FALSE), $B$14:I$73, I$74,FALSE),"o")=$D$5,IFERROR(VLOOKUP(VLOOKUP($B17, Dependencies!$B$2:$G$230, 3,FALSE), $B$14:I$73, I$74,FALSE),"o")=$D$5,IFERROR(VLOOKUP(VLOOKUP($B17, Dependencies!$B$2:$G$230, 4,FALSE), $B$14:I$73, I$74,FALSE),"o")=$D$5,IFERROR(VLOOKUP(VLOOKUP($B17, Dependencies!$B$2:$G$230, 5,FALSE), $B$14:I$73, I$74,FALSE),"o")=$D$5,IFERROR(VLOOKUP(VLOOKUP($B17, Dependencies!$B$2:$G$230, 6,FALSE), $B$14:I$73, I$74,FALSE),"o")=$D$5),$D$5,H17)))</f>
        <v>pr</v>
      </c>
      <c r="J17" s="94" t="s">
        <v>323</v>
      </c>
      <c r="K17" s="72" t="str">
        <f>IF(J17=$D$4,J17,IF(OR(IFERROR(VLOOKUP(VLOOKUP($B17, Dependencies!$B$2:$G$230, 2,FALSE),$B$14:K$73, K$74,FALSE),"o")=$D$4,IFERROR(VLOOKUP(VLOOKUP($B17, Dependencies!$B$2:$G$230, 3,FALSE),$B$14:K$73, K$74,FALSE),"o")=$D$4,IFERROR(VLOOKUP(VLOOKUP($B17, Dependencies!$B$2:$G$230, 4,FALSE),$B$14:K$73, K$74,FALSE),"o")=$D$4,IFERROR(VLOOKUP(VLOOKUP($B17, Dependencies!$B$2:$G$230, 5,FALSE),$B$14:K$73, K$74,FALSE),"o")=$D$4,IFERROR(VLOOKUP(VLOOKUP($B17, Dependencies!$B$2:$G$230, 6,FALSE),$B$14:K$73, K$74,FALSE),"o")=$D$4),$D$4,IF(OR(IFERROR(VLOOKUP(VLOOKUP($B17, Dependencies!$B$2:$G$230, 2,FALSE), $B$14:K$73, K$74,FALSE),"o")=$D$5,IFERROR(VLOOKUP(VLOOKUP($B17, Dependencies!$B$2:$G$230, 3,FALSE), $B$14:K$73, K$74,FALSE),"o")=$D$5,IFERROR(VLOOKUP(VLOOKUP($B17, Dependencies!$B$2:$G$230, 4,FALSE), $B$14:K$73, K$74,FALSE),"o")=$D$5,IFERROR(VLOOKUP(VLOOKUP($B17, Dependencies!$B$2:$G$230, 5,FALSE), $B$14:K$73, K$74,FALSE),"o")=$D$5,IFERROR(VLOOKUP(VLOOKUP($B17, Dependencies!$B$2:$G$230, 6,FALSE), $B$14:K$73, K$74,FALSE),"o")=$D$5),$D$5,J17)))</f>
        <v>r</v>
      </c>
      <c r="L17" s="94" t="s">
        <v>323</v>
      </c>
      <c r="M17" s="72" t="str">
        <f>IF(L17=$D$4,L17,IF(OR(IFERROR(VLOOKUP(VLOOKUP($B17, Dependencies!$B$2:$G$230, 2,FALSE),$B$14:M$73, M$74,FALSE),"o")=$D$4,IFERROR(VLOOKUP(VLOOKUP($B17, Dependencies!$B$2:$G$230, 3,FALSE),$B$14:M$73, M$74,FALSE),"o")=$D$4,IFERROR(VLOOKUP(VLOOKUP($B17, Dependencies!$B$2:$G$230, 4,FALSE),$B$14:M$73, M$74,FALSE),"o")=$D$4,IFERROR(VLOOKUP(VLOOKUP($B17, Dependencies!$B$2:$G$230, 5,FALSE),$B$14:M$73, M$74,FALSE),"o")=$D$4,IFERROR(VLOOKUP(VLOOKUP($B17, Dependencies!$B$2:$G$230, 6,FALSE),$B$14:M$73, M$74,FALSE),"o")=$D$4),$D$4,IF(OR(IFERROR(VLOOKUP(VLOOKUP($B17, Dependencies!$B$2:$G$230, 2,FALSE), $B$14:M$73, M$74,FALSE),"o")=$D$5,IFERROR(VLOOKUP(VLOOKUP($B17, Dependencies!$B$2:$G$230, 3,FALSE), $B$14:M$73, M$74,FALSE),"o")=$D$5,IFERROR(VLOOKUP(VLOOKUP($B17, Dependencies!$B$2:$G$230, 4,FALSE), $B$14:M$73, M$74,FALSE),"o")=$D$5,IFERROR(VLOOKUP(VLOOKUP($B17, Dependencies!$B$2:$G$230, 5,FALSE), $B$14:M$73, M$74,FALSE),"o")=$D$5,IFERROR(VLOOKUP(VLOOKUP($B17, Dependencies!$B$2:$G$230, 6,FALSE), $B$14:M$73, M$74,FALSE),"o")=$D$5),$D$5,L17)))</f>
        <v>o</v>
      </c>
      <c r="N17" s="94" t="s">
        <v>323</v>
      </c>
      <c r="O17" s="72" t="str">
        <f>IF(N17=$D$4,N17,IF(OR(IFERROR(VLOOKUP(VLOOKUP($B17, Dependencies!$B$2:$G$230, 2,FALSE),$B$14:O$73, O$74,FALSE),"o")=$D$4,IFERROR(VLOOKUP(VLOOKUP($B17, Dependencies!$B$2:$G$230, 3,FALSE),$B$14:O$73, O$74,FALSE),"o")=$D$4,IFERROR(VLOOKUP(VLOOKUP($B17, Dependencies!$B$2:$G$230, 4,FALSE),$B$14:O$73, O$74,FALSE),"o")=$D$4,IFERROR(VLOOKUP(VLOOKUP($B17, Dependencies!$B$2:$G$230, 5,FALSE),$B$14:O$73, O$74,FALSE),"o")=$D$4,IFERROR(VLOOKUP(VLOOKUP($B17, Dependencies!$B$2:$G$230, 6,FALSE),$B$14:O$73, O$74,FALSE),"o")=$D$4),$D$4,IF(OR(IFERROR(VLOOKUP(VLOOKUP($B17, Dependencies!$B$2:$G$230, 2,FALSE), $B$14:O$73, O$74,FALSE),"o")=$D$5,IFERROR(VLOOKUP(VLOOKUP($B17, Dependencies!$B$2:$G$230, 3,FALSE), $B$14:O$73, O$74,FALSE),"o")=$D$5,IFERROR(VLOOKUP(VLOOKUP($B17, Dependencies!$B$2:$G$230, 4,FALSE), $B$14:O$73, O$74,FALSE),"o")=$D$5,IFERROR(VLOOKUP(VLOOKUP($B17, Dependencies!$B$2:$G$230, 5,FALSE), $B$14:O$73, O$74,FALSE),"o")=$D$5,IFERROR(VLOOKUP(VLOOKUP($B17, Dependencies!$B$2:$G$230, 6,FALSE), $B$14:O$73, O$74,FALSE),"o")=$D$5),$D$5,N17)))</f>
        <v>o</v>
      </c>
      <c r="P17" s="94" t="s">
        <v>323</v>
      </c>
      <c r="Q17" s="72" t="str">
        <f>IF(P17=$D$4,P17,IF(OR(IFERROR(VLOOKUP(VLOOKUP($B17, Dependencies!$B$2:$G$230, 2,FALSE),$B$14:Q$73, Q$74,FALSE),"o")=$D$4,IFERROR(VLOOKUP(VLOOKUP($B17, Dependencies!$B$2:$G$230, 3,FALSE),$B$14:Q$73, Q$74,FALSE),"o")=$D$4,IFERROR(VLOOKUP(VLOOKUP($B17, Dependencies!$B$2:$G$230, 4,FALSE),$B$14:Q$73, Q$74,FALSE),"o")=$D$4,IFERROR(VLOOKUP(VLOOKUP($B17, Dependencies!$B$2:$G$230, 5,FALSE),$B$14:Q$73, Q$74,FALSE),"o")=$D$4,IFERROR(VLOOKUP(VLOOKUP($B17, Dependencies!$B$2:$G$230, 6,FALSE),$B$14:Q$73, Q$74,FALSE),"o")=$D$4),$D$4,IF(OR(IFERROR(VLOOKUP(VLOOKUP($B17, Dependencies!$B$2:$G$230, 2,FALSE), $B$14:Q$73, Q$74,FALSE),"o")=$D$5,IFERROR(VLOOKUP(VLOOKUP($B17, Dependencies!$B$2:$G$230, 3,FALSE), $B$14:Q$73, Q$74,FALSE),"o")=$D$5,IFERROR(VLOOKUP(VLOOKUP($B17, Dependencies!$B$2:$G$230, 4,FALSE), $B$14:Q$73, Q$74,FALSE),"o")=$D$5,IFERROR(VLOOKUP(VLOOKUP($B17, Dependencies!$B$2:$G$230, 5,FALSE), $B$14:Q$73, Q$74,FALSE),"o")=$D$5,IFERROR(VLOOKUP(VLOOKUP($B17, Dependencies!$B$2:$G$230, 6,FALSE), $B$14:Q$73, Q$74,FALSE),"o")=$D$5),$D$5,P17)))</f>
        <v>o</v>
      </c>
      <c r="R17" s="94" t="s">
        <v>323</v>
      </c>
      <c r="S17" s="72" t="str">
        <f>IF(R17=$D$4,R17,IF(OR(IFERROR(VLOOKUP(VLOOKUP($B17, Dependencies!$B$2:$G$230, 2,FALSE),$B$14:S$73, S$74,FALSE),"o")=$D$4,IFERROR(VLOOKUP(VLOOKUP($B17, Dependencies!$B$2:$G$230, 3,FALSE),$B$14:S$73, S$74,FALSE),"o")=$D$4,IFERROR(VLOOKUP(VLOOKUP($B17, Dependencies!$B$2:$G$230, 4,FALSE),$B$14:S$73, S$74,FALSE),"o")=$D$4,IFERROR(VLOOKUP(VLOOKUP($B17, Dependencies!$B$2:$G$230, 5,FALSE),$B$14:S$73, S$74,FALSE),"o")=$D$4,IFERROR(VLOOKUP(VLOOKUP($B17, Dependencies!$B$2:$G$230, 6,FALSE),$B$14:S$73, S$74,FALSE),"o")=$D$4),$D$4,IF(OR(IFERROR(VLOOKUP(VLOOKUP($B17, Dependencies!$B$2:$G$230, 2,FALSE), $B$14:S$73, S$74,FALSE),"o")=$D$5,IFERROR(VLOOKUP(VLOOKUP($B17, Dependencies!$B$2:$G$230, 3,FALSE), $B$14:S$73, S$74,FALSE),"o")=$D$5,IFERROR(VLOOKUP(VLOOKUP($B17, Dependencies!$B$2:$G$230, 4,FALSE), $B$14:S$73, S$74,FALSE),"o")=$D$5,IFERROR(VLOOKUP(VLOOKUP($B17, Dependencies!$B$2:$G$230, 5,FALSE), $B$14:S$73, S$74,FALSE),"o")=$D$5,IFERROR(VLOOKUP(VLOOKUP($B17, Dependencies!$B$2:$G$230, 6,FALSE), $B$14:S$73, S$74,FALSE),"o")=$D$5),$D$5,R17)))</f>
        <v>o</v>
      </c>
      <c r="T17" s="94" t="s">
        <v>323</v>
      </c>
      <c r="U17" s="72" t="str">
        <f>IF(T17=$D$4,T17,IF(OR(IFERROR(VLOOKUP(VLOOKUP($B17, Dependencies!$B$2:$G$230, 2,FALSE),$B$14:U$73, U$74,FALSE),"o")=$D$4,IFERROR(VLOOKUP(VLOOKUP($B17, Dependencies!$B$2:$G$230, 3,FALSE),$B$14:U$73, U$74,FALSE),"o")=$D$4,IFERROR(VLOOKUP(VLOOKUP($B17, Dependencies!$B$2:$G$230, 4,FALSE),$B$14:U$73, U$74,FALSE),"o")=$D$4,IFERROR(VLOOKUP(VLOOKUP($B17, Dependencies!$B$2:$G$230, 5,FALSE),$B$14:U$73, U$74,FALSE),"o")=$D$4,IFERROR(VLOOKUP(VLOOKUP($B17, Dependencies!$B$2:$G$230, 6,FALSE),$B$14:U$73, U$74,FALSE),"o")=$D$4),$D$4,IF(OR(IFERROR(VLOOKUP(VLOOKUP($B17, Dependencies!$B$2:$G$230, 2,FALSE), $B$14:U$73, U$74,FALSE),"o")=$D$5,IFERROR(VLOOKUP(VLOOKUP($B17, Dependencies!$B$2:$G$230, 3,FALSE), $B$14:U$73, U$74,FALSE),"o")=$D$5,IFERROR(VLOOKUP(VLOOKUP($B17, Dependencies!$B$2:$G$230, 4,FALSE), $B$14:U$73, U$74,FALSE),"o")=$D$5,IFERROR(VLOOKUP(VLOOKUP($B17, Dependencies!$B$2:$G$230, 5,FALSE), $B$14:U$73, U$74,FALSE),"o")=$D$5,IFERROR(VLOOKUP(VLOOKUP($B17, Dependencies!$B$2:$G$230, 6,FALSE), $B$14:U$73, U$74,FALSE),"o")=$D$5),$D$5,T17)))</f>
        <v>o</v>
      </c>
      <c r="V17" s="94" t="s">
        <v>323</v>
      </c>
      <c r="W17" s="72" t="str">
        <f>IF(V17=$D$4,V17,IF(OR(IFERROR(VLOOKUP(VLOOKUP($B17, Dependencies!$B$2:$G$230, 2,FALSE),$B$14:W$73, W$74,FALSE),"o")=$D$4,IFERROR(VLOOKUP(VLOOKUP($B17, Dependencies!$B$2:$G$230, 3,FALSE),$B$14:W$73, W$74,FALSE),"o")=$D$4,IFERROR(VLOOKUP(VLOOKUP($B17, Dependencies!$B$2:$G$230, 4,FALSE),$B$14:W$73, W$74,FALSE),"o")=$D$4,IFERROR(VLOOKUP(VLOOKUP($B17, Dependencies!$B$2:$G$230, 5,FALSE),$B$14:W$73, W$74,FALSE),"o")=$D$4,IFERROR(VLOOKUP(VLOOKUP($B17, Dependencies!$B$2:$G$230, 6,FALSE),$B$14:W$73, W$74,FALSE),"o")=$D$4),$D$4,IF(OR(IFERROR(VLOOKUP(VLOOKUP($B17, Dependencies!$B$2:$G$230, 2,FALSE), $B$14:W$73, W$74,FALSE),"o")=$D$5,IFERROR(VLOOKUP(VLOOKUP($B17, Dependencies!$B$2:$G$230, 3,FALSE), $B$14:W$73, W$74,FALSE),"o")=$D$5,IFERROR(VLOOKUP(VLOOKUP($B17, Dependencies!$B$2:$G$230, 4,FALSE), $B$14:W$73, W$74,FALSE),"o")=$D$5,IFERROR(VLOOKUP(VLOOKUP($B17, Dependencies!$B$2:$G$230, 5,FALSE), $B$14:W$73, W$74,FALSE),"o")=$D$5,IFERROR(VLOOKUP(VLOOKUP($B17, Dependencies!$B$2:$G$230, 6,FALSE), $B$14:W$73, W$74,FALSE),"o")=$D$5),$D$5,V17)))</f>
        <v>o</v>
      </c>
      <c r="X17" s="94" t="s">
        <v>323</v>
      </c>
      <c r="Y17" s="72" t="str">
        <f>IF(X17=$D$4,X17,IF(OR(IFERROR(VLOOKUP(VLOOKUP($B17, Dependencies!$B$2:$G$230, 2,FALSE),$B$14:Y$73, Y$74,FALSE),"o")=$D$4,IFERROR(VLOOKUP(VLOOKUP($B17, Dependencies!$B$2:$G$230, 3,FALSE),$B$14:Y$73, Y$74,FALSE),"o")=$D$4,IFERROR(VLOOKUP(VLOOKUP($B17, Dependencies!$B$2:$G$230, 4,FALSE),$B$14:Y$73, Y$74,FALSE),"o")=$D$4,IFERROR(VLOOKUP(VLOOKUP($B17, Dependencies!$B$2:$G$230, 5,FALSE),$B$14:Y$73, Y$74,FALSE),"o")=$D$4,IFERROR(VLOOKUP(VLOOKUP($B17, Dependencies!$B$2:$G$230, 6,FALSE),$B$14:Y$73, Y$74,FALSE),"o")=$D$4),$D$4,IF(OR(IFERROR(VLOOKUP(VLOOKUP($B17, Dependencies!$B$2:$G$230, 2,FALSE), $B$14:Y$73, Y$74,FALSE),"o")=$D$5,IFERROR(VLOOKUP(VLOOKUP($B17, Dependencies!$B$2:$G$230, 3,FALSE), $B$14:Y$73, Y$74,FALSE),"o")=$D$5,IFERROR(VLOOKUP(VLOOKUP($B17, Dependencies!$B$2:$G$230, 4,FALSE), $B$14:Y$73, Y$74,FALSE),"o")=$D$5,IFERROR(VLOOKUP(VLOOKUP($B17, Dependencies!$B$2:$G$230, 5,FALSE), $B$14:Y$73, Y$74,FALSE),"o")=$D$5,IFERROR(VLOOKUP(VLOOKUP($B17, Dependencies!$B$2:$G$230, 6,FALSE), $B$14:Y$73, Y$74,FALSE),"o")=$D$5),$D$5,X17)))</f>
        <v>o</v>
      </c>
      <c r="Z17" s="94" t="s">
        <v>323</v>
      </c>
      <c r="AA17" s="72" t="str">
        <f>IF(Z17=$D$4,Z17,IF(OR(IFERROR(VLOOKUP(VLOOKUP($B17, Dependencies!$B$2:$G$230, 2,FALSE),$B$14:AA$73, AA$74,FALSE),"o")=$D$4,IFERROR(VLOOKUP(VLOOKUP($B17, Dependencies!$B$2:$G$230, 3,FALSE),$B$14:AA$73, AA$74,FALSE),"o")=$D$4,IFERROR(VLOOKUP(VLOOKUP($B17, Dependencies!$B$2:$G$230, 4,FALSE),$B$14:AA$73, AA$74,FALSE),"o")=$D$4,IFERROR(VLOOKUP(VLOOKUP($B17, Dependencies!$B$2:$G$230, 5,FALSE),$B$14:AA$73, AA$74,FALSE),"o")=$D$4,IFERROR(VLOOKUP(VLOOKUP($B17, Dependencies!$B$2:$G$230, 6,FALSE),$B$14:AA$73, AA$74,FALSE),"o")=$D$4),$D$4,IF(OR(IFERROR(VLOOKUP(VLOOKUP($B17, Dependencies!$B$2:$G$230, 2,FALSE), $B$14:AA$73, AA$74,FALSE),"o")=$D$5,IFERROR(VLOOKUP(VLOOKUP($B17, Dependencies!$B$2:$G$230, 3,FALSE), $B$14:AA$73, AA$74,FALSE),"o")=$D$5,IFERROR(VLOOKUP(VLOOKUP($B17, Dependencies!$B$2:$G$230, 4,FALSE), $B$14:AA$73, AA$74,FALSE),"o")=$D$5,IFERROR(VLOOKUP(VLOOKUP($B17, Dependencies!$B$2:$G$230, 5,FALSE), $B$14:AA$73, AA$74,FALSE),"o")=$D$5,IFERROR(VLOOKUP(VLOOKUP($B17, Dependencies!$B$2:$G$230, 6,FALSE), $B$14:AA$73, AA$74,FALSE),"o")=$D$5),$D$5,Z17)))</f>
        <v>o</v>
      </c>
      <c r="AB17" s="94" t="s">
        <v>323</v>
      </c>
      <c r="AC17" s="72" t="str">
        <f>IF(AB17=$D$4,AB17,IF(OR(IFERROR(VLOOKUP(VLOOKUP($B17, Dependencies!$B$2:$G$230, 2,FALSE),$B$14:AC$73, AC$74,FALSE),"o")=$D$4,IFERROR(VLOOKUP(VLOOKUP($B17, Dependencies!$B$2:$G$230, 3,FALSE),$B$14:AC$73, AC$74,FALSE),"o")=$D$4,IFERROR(VLOOKUP(VLOOKUP($B17, Dependencies!$B$2:$G$230, 4,FALSE),$B$14:AC$73, AC$74,FALSE),"o")=$D$4,IFERROR(VLOOKUP(VLOOKUP($B17, Dependencies!$B$2:$G$230, 5,FALSE),$B$14:AC$73, AC$74,FALSE),"o")=$D$4,IFERROR(VLOOKUP(VLOOKUP($B17, Dependencies!$B$2:$G$230, 6,FALSE),$B$14:AC$73, AC$74,FALSE),"o")=$D$4),$D$4,IF(OR(IFERROR(VLOOKUP(VLOOKUP($B17, Dependencies!$B$2:$G$230, 2,FALSE), $B$14:AC$73, AC$74,FALSE),"o")=$D$5,IFERROR(VLOOKUP(VLOOKUP($B17, Dependencies!$B$2:$G$230, 3,FALSE), $B$14:AC$73, AC$74,FALSE),"o")=$D$5,IFERROR(VLOOKUP(VLOOKUP($B17, Dependencies!$B$2:$G$230, 4,FALSE), $B$14:AC$73, AC$74,FALSE),"o")=$D$5,IFERROR(VLOOKUP(VLOOKUP($B17, Dependencies!$B$2:$G$230, 5,FALSE), $B$14:AC$73, AC$74,FALSE),"o")=$D$5,IFERROR(VLOOKUP(VLOOKUP($B17, Dependencies!$B$2:$G$230, 6,FALSE), $B$14:AC$73, AC$74,FALSE),"o")=$D$5),$D$5,AB17)))</f>
        <v>o</v>
      </c>
      <c r="AD17" s="94" t="s">
        <v>323</v>
      </c>
      <c r="AE17" s="72" t="str">
        <f>IF(AD17=$D$4,AD17,IF(OR(IFERROR(VLOOKUP(VLOOKUP($B17, Dependencies!$B$2:$G$230, 2,FALSE),$B$14:AE$73, AE$74,FALSE),"o")=$D$4,IFERROR(VLOOKUP(VLOOKUP($B17, Dependencies!$B$2:$G$230, 3,FALSE),$B$14:AE$73, AE$74,FALSE),"o")=$D$4,IFERROR(VLOOKUP(VLOOKUP($B17, Dependencies!$B$2:$G$230, 4,FALSE),$B$14:AE$73, AE$74,FALSE),"o")=$D$4,IFERROR(VLOOKUP(VLOOKUP($B17, Dependencies!$B$2:$G$230, 5,FALSE),$B$14:AE$73, AE$74,FALSE),"o")=$D$4,IFERROR(VLOOKUP(VLOOKUP($B17, Dependencies!$B$2:$G$230, 6,FALSE),$B$14:AE$73, AE$74,FALSE),"o")=$D$4),$D$4,IF(OR(IFERROR(VLOOKUP(VLOOKUP($B17, Dependencies!$B$2:$G$230, 2,FALSE), $B$14:AE$73, AE$74,FALSE),"o")=$D$5,IFERROR(VLOOKUP(VLOOKUP($B17, Dependencies!$B$2:$G$230, 3,FALSE), $B$14:AE$73, AE$74,FALSE),"o")=$D$5,IFERROR(VLOOKUP(VLOOKUP($B17, Dependencies!$B$2:$G$230, 4,FALSE), $B$14:AE$73, AE$74,FALSE),"o")=$D$5,IFERROR(VLOOKUP(VLOOKUP($B17, Dependencies!$B$2:$G$230, 5,FALSE), $B$14:AE$73, AE$74,FALSE),"o")=$D$5,IFERROR(VLOOKUP(VLOOKUP($B17, Dependencies!$B$2:$G$230, 6,FALSE), $B$14:AE$73, AE$74,FALSE),"o")=$D$5),$D$5,AD17)))</f>
        <v>o</v>
      </c>
      <c r="AF17" s="94" t="s">
        <v>323</v>
      </c>
      <c r="AG17" s="72" t="str">
        <f>IF(AF17=$D$4,AF17,IF(OR(IFERROR(VLOOKUP(VLOOKUP($B17, Dependencies!$B$2:$G$230, 2,FALSE),$B$14:AG$73, AG$74,FALSE),"o")=$D$4,IFERROR(VLOOKUP(VLOOKUP($B17, Dependencies!$B$2:$G$230, 3,FALSE),$B$14:AG$73, AG$74,FALSE),"o")=$D$4,IFERROR(VLOOKUP(VLOOKUP($B17, Dependencies!$B$2:$G$230, 4,FALSE),$B$14:AG$73, AG$74,FALSE),"o")=$D$4,IFERROR(VLOOKUP(VLOOKUP($B17, Dependencies!$B$2:$G$230, 5,FALSE),$B$14:AG$73, AG$74,FALSE),"o")=$D$4,IFERROR(VLOOKUP(VLOOKUP($B17, Dependencies!$B$2:$G$230, 6,FALSE),$B$14:AG$73, AG$74,FALSE),"o")=$D$4),$D$4,IF(OR(IFERROR(VLOOKUP(VLOOKUP($B17, Dependencies!$B$2:$G$230, 2,FALSE), $B$14:AG$73, AG$74,FALSE),"o")=$D$5,IFERROR(VLOOKUP(VLOOKUP($B17, Dependencies!$B$2:$G$230, 3,FALSE), $B$14:AG$73, AG$74,FALSE),"o")=$D$5,IFERROR(VLOOKUP(VLOOKUP($B17, Dependencies!$B$2:$G$230, 4,FALSE), $B$14:AG$73, AG$74,FALSE),"o")=$D$5,IFERROR(VLOOKUP(VLOOKUP($B17, Dependencies!$B$2:$G$230, 5,FALSE), $B$14:AG$73, AG$74,FALSE),"o")=$D$5,IFERROR(VLOOKUP(VLOOKUP($B17, Dependencies!$B$2:$G$230, 6,FALSE), $B$14:AG$73, AG$74,FALSE),"o")=$D$5),$D$5,AF17)))</f>
        <v>o</v>
      </c>
      <c r="AH17" s="94" t="s">
        <v>323</v>
      </c>
      <c r="AI17" s="72" t="str">
        <f>IF(AH17=$D$4,AH17,IF(OR(IFERROR(VLOOKUP(VLOOKUP($B17, Dependencies!$B$2:$G$230, 2,FALSE),$B$14:AI$73, AI$74,FALSE),"o")=$D$4,IFERROR(VLOOKUP(VLOOKUP($B17, Dependencies!$B$2:$G$230, 3,FALSE),$B$14:AI$73, AI$74,FALSE),"o")=$D$4,IFERROR(VLOOKUP(VLOOKUP($B17, Dependencies!$B$2:$G$230, 4,FALSE),$B$14:AI$73, AI$74,FALSE),"o")=$D$4,IFERROR(VLOOKUP(VLOOKUP($B17, Dependencies!$B$2:$G$230, 5,FALSE),$B$14:AI$73, AI$74,FALSE),"o")=$D$4,IFERROR(VLOOKUP(VLOOKUP($B17, Dependencies!$B$2:$G$230, 6,FALSE),$B$14:AI$73, AI$74,FALSE),"o")=$D$4),$D$4,IF(OR(IFERROR(VLOOKUP(VLOOKUP($B17, Dependencies!$B$2:$G$230, 2,FALSE), $B$14:AI$73, AI$74,FALSE),"o")=$D$5,IFERROR(VLOOKUP(VLOOKUP($B17, Dependencies!$B$2:$G$230, 3,FALSE), $B$14:AI$73, AI$74,FALSE),"o")=$D$5,IFERROR(VLOOKUP(VLOOKUP($B17, Dependencies!$B$2:$G$230, 4,FALSE), $B$14:AI$73, AI$74,FALSE),"o")=$D$5,IFERROR(VLOOKUP(VLOOKUP($B17, Dependencies!$B$2:$G$230, 5,FALSE), $B$14:AI$73, AI$74,FALSE),"o")=$D$5,IFERROR(VLOOKUP(VLOOKUP($B17, Dependencies!$B$2:$G$230, 6,FALSE), $B$14:AI$73, AI$74,FALSE),"o")=$D$5),$D$5,AH17)))</f>
        <v>o</v>
      </c>
      <c r="AJ17" s="94" t="s">
        <v>323</v>
      </c>
      <c r="AK17" s="72" t="str">
        <f>IF(AJ17=$D$4,AJ17,IF(OR(IFERROR(VLOOKUP(VLOOKUP($B17, Dependencies!$B$2:$G$230, 2,FALSE),$B$14:AK$73, AK$74,FALSE),"o")=$D$4,IFERROR(VLOOKUP(VLOOKUP($B17, Dependencies!$B$2:$G$230, 3,FALSE),$B$14:AK$73, AK$74,FALSE),"o")=$D$4,IFERROR(VLOOKUP(VLOOKUP($B17, Dependencies!$B$2:$G$230, 4,FALSE),$B$14:AK$73, AK$74,FALSE),"o")=$D$4,IFERROR(VLOOKUP(VLOOKUP($B17, Dependencies!$B$2:$G$230, 5,FALSE),$B$14:AK$73, AK$74,FALSE),"o")=$D$4,IFERROR(VLOOKUP(VLOOKUP($B17, Dependencies!$B$2:$G$230, 6,FALSE),$B$14:AK$73, AK$74,FALSE),"o")=$D$4),$D$4,IF(OR(IFERROR(VLOOKUP(VLOOKUP($B17, Dependencies!$B$2:$G$230, 2,FALSE), $B$14:AK$73, AK$74,FALSE),"o")=$D$5,IFERROR(VLOOKUP(VLOOKUP($B17, Dependencies!$B$2:$G$230, 3,FALSE), $B$14:AK$73, AK$74,FALSE),"o")=$D$5,IFERROR(VLOOKUP(VLOOKUP($B17, Dependencies!$B$2:$G$230, 4,FALSE), $B$14:AK$73, AK$74,FALSE),"o")=$D$5,IFERROR(VLOOKUP(VLOOKUP($B17, Dependencies!$B$2:$G$230, 5,FALSE), $B$14:AK$73, AK$74,FALSE),"o")=$D$5,IFERROR(VLOOKUP(VLOOKUP($B17, Dependencies!$B$2:$G$230, 6,FALSE), $B$14:AK$73, AK$74,FALSE),"o")=$D$5),$D$5,AJ17)))</f>
        <v>o</v>
      </c>
      <c r="AL17" s="94" t="s">
        <v>323</v>
      </c>
      <c r="AM17" s="72" t="str">
        <f>IF(AL17=$D$4,AL17,IF(OR(IFERROR(VLOOKUP(VLOOKUP($B17, Dependencies!$B$2:$G$230, 2,FALSE),$B$14:AM$73, AM$74,FALSE),"o")=$D$4,IFERROR(VLOOKUP(VLOOKUP($B17, Dependencies!$B$2:$G$230, 3,FALSE),$B$14:AM$73, AM$74,FALSE),"o")=$D$4,IFERROR(VLOOKUP(VLOOKUP($B17, Dependencies!$B$2:$G$230, 4,FALSE),$B$14:AM$73, AM$74,FALSE),"o")=$D$4,IFERROR(VLOOKUP(VLOOKUP($B17, Dependencies!$B$2:$G$230, 5,FALSE),$B$14:AM$73, AM$74,FALSE),"o")=$D$4,IFERROR(VLOOKUP(VLOOKUP($B17, Dependencies!$B$2:$G$230, 6,FALSE),$B$14:AM$73, AM$74,FALSE),"o")=$D$4),$D$4,IF(OR(IFERROR(VLOOKUP(VLOOKUP($B17, Dependencies!$B$2:$G$230, 2,FALSE), $B$14:AM$73, AM$74,FALSE),"o")=$D$5,IFERROR(VLOOKUP(VLOOKUP($B17, Dependencies!$B$2:$G$230, 3,FALSE), $B$14:AM$73, AM$74,FALSE),"o")=$D$5,IFERROR(VLOOKUP(VLOOKUP($B17, Dependencies!$B$2:$G$230, 4,FALSE), $B$14:AM$73, AM$74,FALSE),"o")=$D$5,IFERROR(VLOOKUP(VLOOKUP($B17, Dependencies!$B$2:$G$230, 5,FALSE), $B$14:AM$73, AM$74,FALSE),"o")=$D$5,IFERROR(VLOOKUP(VLOOKUP($B17, Dependencies!$B$2:$G$230, 6,FALSE), $B$14:AM$73, AM$74,FALSE),"o")=$D$5),$D$5,AL17)))</f>
        <v>o</v>
      </c>
      <c r="AN17" s="94" t="s">
        <v>323</v>
      </c>
      <c r="AO17" s="72" t="str">
        <f>IF(AN17=$D$4,AN17,IF(OR(IFERROR(VLOOKUP(VLOOKUP($B17, Dependencies!$B$2:$G$230, 2,FALSE),$B$14:AO$73, AO$74,FALSE),"o")=$D$4,IFERROR(VLOOKUP(VLOOKUP($B17, Dependencies!$B$2:$G$230, 3,FALSE),$B$14:AO$73, AO$74,FALSE),"o")=$D$4,IFERROR(VLOOKUP(VLOOKUP($B17, Dependencies!$B$2:$G$230, 4,FALSE),$B$14:AO$73, AO$74,FALSE),"o")=$D$4,IFERROR(VLOOKUP(VLOOKUP($B17, Dependencies!$B$2:$G$230, 5,FALSE),$B$14:AO$73, AO$74,FALSE),"o")=$D$4,IFERROR(VLOOKUP(VLOOKUP($B17, Dependencies!$B$2:$G$230, 6,FALSE),$B$14:AO$73, AO$74,FALSE),"o")=$D$4),$D$4,IF(OR(IFERROR(VLOOKUP(VLOOKUP($B17, Dependencies!$B$2:$G$230, 2,FALSE), $B$14:AO$73, AO$74,FALSE),"o")=$D$5,IFERROR(VLOOKUP(VLOOKUP($B17, Dependencies!$B$2:$G$230, 3,FALSE), $B$14:AO$73, AO$74,FALSE),"o")=$D$5,IFERROR(VLOOKUP(VLOOKUP($B17, Dependencies!$B$2:$G$230, 4,FALSE), $B$14:AO$73, AO$74,FALSE),"o")=$D$5,IFERROR(VLOOKUP(VLOOKUP($B17, Dependencies!$B$2:$G$230, 5,FALSE), $B$14:AO$73, AO$74,FALSE),"o")=$D$5,IFERROR(VLOOKUP(VLOOKUP($B17, Dependencies!$B$2:$G$230, 6,FALSE), $B$14:AO$73, AO$74,FALSE),"o")=$D$5),$D$5,AN17)))</f>
        <v>o</v>
      </c>
      <c r="AP17" s="94" t="s">
        <v>323</v>
      </c>
      <c r="AQ17" s="72" t="str">
        <f>IF(AP17=$D$4,AP17,IF(OR(IFERROR(VLOOKUP(VLOOKUP($B17, Dependencies!$B$2:$G$230, 2,FALSE),$B$14:AQ$73, AQ$74,FALSE),"o")=$D$4,IFERROR(VLOOKUP(VLOOKUP($B17, Dependencies!$B$2:$G$230, 3,FALSE),$B$14:AQ$73, AQ$74,FALSE),"o")=$D$4,IFERROR(VLOOKUP(VLOOKUP($B17, Dependencies!$B$2:$G$230, 4,FALSE),$B$14:AQ$73, AQ$74,FALSE),"o")=$D$4,IFERROR(VLOOKUP(VLOOKUP($B17, Dependencies!$B$2:$G$230, 5,FALSE),$B$14:AQ$73, AQ$74,FALSE),"o")=$D$4,IFERROR(VLOOKUP(VLOOKUP($B17, Dependencies!$B$2:$G$230, 6,FALSE),$B$14:AQ$73, AQ$74,FALSE),"o")=$D$4),$D$4,IF(OR(IFERROR(VLOOKUP(VLOOKUP($B17, Dependencies!$B$2:$G$230, 2,FALSE), $B$14:AQ$73, AQ$74,FALSE),"o")=$D$5,IFERROR(VLOOKUP(VLOOKUP($B17, Dependencies!$B$2:$G$230, 3,FALSE), $B$14:AQ$73, AQ$74,FALSE),"o")=$D$5,IFERROR(VLOOKUP(VLOOKUP($B17, Dependencies!$B$2:$G$230, 4,FALSE), $B$14:AQ$73, AQ$74,FALSE),"o")=$D$5,IFERROR(VLOOKUP(VLOOKUP($B17, Dependencies!$B$2:$G$230, 5,FALSE), $B$14:AQ$73, AQ$74,FALSE),"o")=$D$5,IFERROR(VLOOKUP(VLOOKUP($B17, Dependencies!$B$2:$G$230, 6,FALSE), $B$14:AQ$73, AQ$74,FALSE),"o")=$D$5),$D$5,AP17)))</f>
        <v>o</v>
      </c>
      <c r="AR17" s="94" t="s">
        <v>323</v>
      </c>
      <c r="AS17" s="71" t="str">
        <f>IF(AR17=$D$4,AR17,IF(OR(IFERROR(VLOOKUP(VLOOKUP($B17, Dependencies!$B$2:$G$230, 2,FALSE),$B$14:AS$73, AS$74,FALSE),"o")=$D$4,IFERROR(VLOOKUP(VLOOKUP($B17, Dependencies!$B$2:$G$230, 3,FALSE),$B$14:AS$73, AS$74,FALSE),"o")=$D$4,IFERROR(VLOOKUP(VLOOKUP($B17, Dependencies!$B$2:$G$230, 4,FALSE),$B$14:AS$73, AS$74,FALSE),"o")=$D$4,IFERROR(VLOOKUP(VLOOKUP($B17, Dependencies!$B$2:$G$230, 5,FALSE),$B$14:AS$73, AS$74,FALSE),"o")=$D$4,IFERROR(VLOOKUP(VLOOKUP($B17, Dependencies!$B$2:$G$230, 6,FALSE),$B$14:AS$73, AS$74,FALSE),"o")=$D$4),$D$4,IF(OR(IFERROR(VLOOKUP(VLOOKUP($B17, Dependencies!$B$2:$G$230, 2,FALSE), $B$14:AS$73, AS$74,FALSE),"o")=$D$5,IFERROR(VLOOKUP(VLOOKUP($B17, Dependencies!$B$2:$G$230, 3,FALSE), $B$14:AS$73, AS$74,FALSE),"o")=$D$5,IFERROR(VLOOKUP(VLOOKUP($B17, Dependencies!$B$2:$G$230, 4,FALSE), $B$14:AS$73, AS$74,FALSE),"o")=$D$5,IFERROR(VLOOKUP(VLOOKUP($B17, Dependencies!$B$2:$G$230, 5,FALSE), $B$14:AS$73, AS$74,FALSE),"o")=$D$5,IFERROR(VLOOKUP(VLOOKUP($B17, Dependencies!$B$2:$G$230, 6,FALSE), $B$14:AS$73, AS$74,FALSE),"o")=$D$5),$D$5,AR17)))</f>
        <v>o</v>
      </c>
      <c r="AU17" s="58"/>
    </row>
    <row r="18" spans="1:47" x14ac:dyDescent="0.2">
      <c r="A18" s="40" t="s">
        <v>332</v>
      </c>
      <c r="B18" s="73" t="str">
        <f>MLEOsv2!A6</f>
        <v>MLEO_00_05</v>
      </c>
      <c r="C18" s="73">
        <f>MLEOsv2!C6</f>
        <v>1</v>
      </c>
      <c r="D18" s="42" t="str">
        <f>MLEOsv2!G6</f>
        <v>implement a general getter for a primitive type member.</v>
      </c>
      <c r="E18" s="51" t="b">
        <f>MLEOsv2!H6</f>
        <v>1</v>
      </c>
      <c r="F18" s="93" t="s">
        <v>320</v>
      </c>
      <c r="G18" s="70" t="str">
        <f>IF(F18=$D$4,F18,IF(OR(IFERROR(VLOOKUP(VLOOKUP($B18, Dependencies!$B$2:$G$230, 2,FALSE),$B$14:G$73, G$74,FALSE),"o")=$D$4,IFERROR(VLOOKUP(VLOOKUP($B18, Dependencies!$B$2:$G$230, 3,FALSE),$B$14:G$73, G$74,FALSE),"o")=$D$4,IFERROR(VLOOKUP(VLOOKUP($B18, Dependencies!$B$2:$G$230, 4,FALSE),$B$14:G$73, G$74,FALSE),"o")=$D$4,IFERROR(VLOOKUP(VLOOKUP($B18, Dependencies!$B$2:$G$230, 5,FALSE),$B$14:G$73, G$74,FALSE),"o")=$D$4,IFERROR(VLOOKUP(VLOOKUP($B18, Dependencies!$B$2:$G$230, 6,FALSE),$B$14:G$73, G$74,FALSE),"o")=$D$4),$D$4,IF(OR(IFERROR(VLOOKUP(VLOOKUP($B18, Dependencies!$B$2:$G$230, 2,FALSE), $B$14:G$73, G$74,FALSE),"o")=$D$5,IFERROR(VLOOKUP(VLOOKUP($B18, Dependencies!$B$2:$G$230, 3,FALSE), $B$14:G$73, G$74,FALSE),"o")=$D$5,IFERROR(VLOOKUP(VLOOKUP($B18, Dependencies!$B$2:$G$230, 4,FALSE), $B$14:G$73, G$74,FALSE),"o")=$D$5,IFERROR(VLOOKUP(VLOOKUP($B18, Dependencies!$B$2:$G$230, 5,FALSE), $B$14:G$73, G$74,FALSE),"o")=$D$5,IFERROR(VLOOKUP(VLOOKUP($B18, Dependencies!$B$2:$G$230, 6,FALSE), $B$14:G$73, G$74,FALSE),"o")=$D$5),$D$5,F18)))</f>
        <v>r</v>
      </c>
      <c r="H18" s="93" t="s">
        <v>321</v>
      </c>
      <c r="I18" s="70" t="str">
        <f>IF(H18=$D$4,H18,IF(OR(IFERROR(VLOOKUP(VLOOKUP($B18, Dependencies!$B$2:$G$230, 2,FALSE),$B$14:I$73, I$74,FALSE),"o")=$D$4,IFERROR(VLOOKUP(VLOOKUP($B18, Dependencies!$B$2:$G$230, 3,FALSE),$B$14:I$73, I$74,FALSE),"o")=$D$4,IFERROR(VLOOKUP(VLOOKUP($B18, Dependencies!$B$2:$G$230, 4,FALSE),$B$14:I$73, I$74,FALSE),"o")=$D$4,IFERROR(VLOOKUP(VLOOKUP($B18, Dependencies!$B$2:$G$230, 5,FALSE),$B$14:I$73, I$74,FALSE),"o")=$D$4,IFERROR(VLOOKUP(VLOOKUP($B18, Dependencies!$B$2:$G$230, 6,FALSE),$B$14:I$73, I$74,FALSE),"o")=$D$4),$D$4,IF(OR(IFERROR(VLOOKUP(VLOOKUP($B18, Dependencies!$B$2:$G$230, 2,FALSE), $B$14:I$73, I$74,FALSE),"o")=$D$5,IFERROR(VLOOKUP(VLOOKUP($B18, Dependencies!$B$2:$G$230, 3,FALSE), $B$14:I$73, I$74,FALSE),"o")=$D$5,IFERROR(VLOOKUP(VLOOKUP($B18, Dependencies!$B$2:$G$230, 4,FALSE), $B$14:I$73, I$74,FALSE),"o")=$D$5,IFERROR(VLOOKUP(VLOOKUP($B18, Dependencies!$B$2:$G$230, 5,FALSE), $B$14:I$73, I$74,FALSE),"o")=$D$5,IFERROR(VLOOKUP(VLOOKUP($B18, Dependencies!$B$2:$G$230, 6,FALSE), $B$14:I$73, I$74,FALSE),"o")=$D$5),$D$5,H18)))</f>
        <v>pr</v>
      </c>
      <c r="J18" s="93" t="s">
        <v>323</v>
      </c>
      <c r="K18" s="70" t="str">
        <f>IF(J18=$D$4,J18,IF(OR(IFERROR(VLOOKUP(VLOOKUP($B18, Dependencies!$B$2:$G$230, 2,FALSE),$B$14:K$73, K$74,FALSE),"o")=$D$4,IFERROR(VLOOKUP(VLOOKUP($B18, Dependencies!$B$2:$G$230, 3,FALSE),$B$14:K$73, K$74,FALSE),"o")=$D$4,IFERROR(VLOOKUP(VLOOKUP($B18, Dependencies!$B$2:$G$230, 4,FALSE),$B$14:K$73, K$74,FALSE),"o")=$D$4,IFERROR(VLOOKUP(VLOOKUP($B18, Dependencies!$B$2:$G$230, 5,FALSE),$B$14:K$73, K$74,FALSE),"o")=$D$4,IFERROR(VLOOKUP(VLOOKUP($B18, Dependencies!$B$2:$G$230, 6,FALSE),$B$14:K$73, K$74,FALSE),"o")=$D$4),$D$4,IF(OR(IFERROR(VLOOKUP(VLOOKUP($B18, Dependencies!$B$2:$G$230, 2,FALSE), $B$14:K$73, K$74,FALSE),"o")=$D$5,IFERROR(VLOOKUP(VLOOKUP($B18, Dependencies!$B$2:$G$230, 3,FALSE), $B$14:K$73, K$74,FALSE),"o")=$D$5,IFERROR(VLOOKUP(VLOOKUP($B18, Dependencies!$B$2:$G$230, 4,FALSE), $B$14:K$73, K$74,FALSE),"o")=$D$5,IFERROR(VLOOKUP(VLOOKUP($B18, Dependencies!$B$2:$G$230, 5,FALSE), $B$14:K$73, K$74,FALSE),"o")=$D$5,IFERROR(VLOOKUP(VLOOKUP($B18, Dependencies!$B$2:$G$230, 6,FALSE), $B$14:K$73, K$74,FALSE),"o")=$D$5),$D$5,J18)))</f>
        <v>r</v>
      </c>
      <c r="L18" s="93" t="s">
        <v>323</v>
      </c>
      <c r="M18" s="70" t="str">
        <f>IF(L18=$D$4,L18,IF(OR(IFERROR(VLOOKUP(VLOOKUP($B18, Dependencies!$B$2:$G$230, 2,FALSE),$B$14:M$73, M$74,FALSE),"o")=$D$4,IFERROR(VLOOKUP(VLOOKUP($B18, Dependencies!$B$2:$G$230, 3,FALSE),$B$14:M$73, M$74,FALSE),"o")=$D$4,IFERROR(VLOOKUP(VLOOKUP($B18, Dependencies!$B$2:$G$230, 4,FALSE),$B$14:M$73, M$74,FALSE),"o")=$D$4,IFERROR(VLOOKUP(VLOOKUP($B18, Dependencies!$B$2:$G$230, 5,FALSE),$B$14:M$73, M$74,FALSE),"o")=$D$4,IFERROR(VLOOKUP(VLOOKUP($B18, Dependencies!$B$2:$G$230, 6,FALSE),$B$14:M$73, M$74,FALSE),"o")=$D$4),$D$4,IF(OR(IFERROR(VLOOKUP(VLOOKUP($B18, Dependencies!$B$2:$G$230, 2,FALSE), $B$14:M$73, M$74,FALSE),"o")=$D$5,IFERROR(VLOOKUP(VLOOKUP($B18, Dependencies!$B$2:$G$230, 3,FALSE), $B$14:M$73, M$74,FALSE),"o")=$D$5,IFERROR(VLOOKUP(VLOOKUP($B18, Dependencies!$B$2:$G$230, 4,FALSE), $B$14:M$73, M$74,FALSE),"o")=$D$5,IFERROR(VLOOKUP(VLOOKUP($B18, Dependencies!$B$2:$G$230, 5,FALSE), $B$14:M$73, M$74,FALSE),"o")=$D$5,IFERROR(VLOOKUP(VLOOKUP($B18, Dependencies!$B$2:$G$230, 6,FALSE), $B$14:M$73, M$74,FALSE),"o")=$D$5),$D$5,L18)))</f>
        <v>o</v>
      </c>
      <c r="N18" s="93" t="s">
        <v>323</v>
      </c>
      <c r="O18" s="70" t="str">
        <f>IF(N18=$D$4,N18,IF(OR(IFERROR(VLOOKUP(VLOOKUP($B18, Dependencies!$B$2:$G$230, 2,FALSE),$B$14:O$73, O$74,FALSE),"o")=$D$4,IFERROR(VLOOKUP(VLOOKUP($B18, Dependencies!$B$2:$G$230, 3,FALSE),$B$14:O$73, O$74,FALSE),"o")=$D$4,IFERROR(VLOOKUP(VLOOKUP($B18, Dependencies!$B$2:$G$230, 4,FALSE),$B$14:O$73, O$74,FALSE),"o")=$D$4,IFERROR(VLOOKUP(VLOOKUP($B18, Dependencies!$B$2:$G$230, 5,FALSE),$B$14:O$73, O$74,FALSE),"o")=$D$4,IFERROR(VLOOKUP(VLOOKUP($B18, Dependencies!$B$2:$G$230, 6,FALSE),$B$14:O$73, O$74,FALSE),"o")=$D$4),$D$4,IF(OR(IFERROR(VLOOKUP(VLOOKUP($B18, Dependencies!$B$2:$G$230, 2,FALSE), $B$14:O$73, O$74,FALSE),"o")=$D$5,IFERROR(VLOOKUP(VLOOKUP($B18, Dependencies!$B$2:$G$230, 3,FALSE), $B$14:O$73, O$74,FALSE),"o")=$D$5,IFERROR(VLOOKUP(VLOOKUP($B18, Dependencies!$B$2:$G$230, 4,FALSE), $B$14:O$73, O$74,FALSE),"o")=$D$5,IFERROR(VLOOKUP(VLOOKUP($B18, Dependencies!$B$2:$G$230, 5,FALSE), $B$14:O$73, O$74,FALSE),"o")=$D$5,IFERROR(VLOOKUP(VLOOKUP($B18, Dependencies!$B$2:$G$230, 6,FALSE), $B$14:O$73, O$74,FALSE),"o")=$D$5),$D$5,N18)))</f>
        <v>o</v>
      </c>
      <c r="P18" s="93" t="s">
        <v>323</v>
      </c>
      <c r="Q18" s="70" t="str">
        <f>IF(P18=$D$4,P18,IF(OR(IFERROR(VLOOKUP(VLOOKUP($B18, Dependencies!$B$2:$G$230, 2,FALSE),$B$14:Q$73, Q$74,FALSE),"o")=$D$4,IFERROR(VLOOKUP(VLOOKUP($B18, Dependencies!$B$2:$G$230, 3,FALSE),$B$14:Q$73, Q$74,FALSE),"o")=$D$4,IFERROR(VLOOKUP(VLOOKUP($B18, Dependencies!$B$2:$G$230, 4,FALSE),$B$14:Q$73, Q$74,FALSE),"o")=$D$4,IFERROR(VLOOKUP(VLOOKUP($B18, Dependencies!$B$2:$G$230, 5,FALSE),$B$14:Q$73, Q$74,FALSE),"o")=$D$4,IFERROR(VLOOKUP(VLOOKUP($B18, Dependencies!$B$2:$G$230, 6,FALSE),$B$14:Q$73, Q$74,FALSE),"o")=$D$4),$D$4,IF(OR(IFERROR(VLOOKUP(VLOOKUP($B18, Dependencies!$B$2:$G$230, 2,FALSE), $B$14:Q$73, Q$74,FALSE),"o")=$D$5,IFERROR(VLOOKUP(VLOOKUP($B18, Dependencies!$B$2:$G$230, 3,FALSE), $B$14:Q$73, Q$74,FALSE),"o")=$D$5,IFERROR(VLOOKUP(VLOOKUP($B18, Dependencies!$B$2:$G$230, 4,FALSE), $B$14:Q$73, Q$74,FALSE),"o")=$D$5,IFERROR(VLOOKUP(VLOOKUP($B18, Dependencies!$B$2:$G$230, 5,FALSE), $B$14:Q$73, Q$74,FALSE),"o")=$D$5,IFERROR(VLOOKUP(VLOOKUP($B18, Dependencies!$B$2:$G$230, 6,FALSE), $B$14:Q$73, Q$74,FALSE),"o")=$D$5),$D$5,P18)))</f>
        <v>o</v>
      </c>
      <c r="R18" s="93" t="s">
        <v>323</v>
      </c>
      <c r="S18" s="70" t="str">
        <f>IF(R18=$D$4,R18,IF(OR(IFERROR(VLOOKUP(VLOOKUP($B18, Dependencies!$B$2:$G$230, 2,FALSE),$B$14:S$73, S$74,FALSE),"o")=$D$4,IFERROR(VLOOKUP(VLOOKUP($B18, Dependencies!$B$2:$G$230, 3,FALSE),$B$14:S$73, S$74,FALSE),"o")=$D$4,IFERROR(VLOOKUP(VLOOKUP($B18, Dependencies!$B$2:$G$230, 4,FALSE),$B$14:S$73, S$74,FALSE),"o")=$D$4,IFERROR(VLOOKUP(VLOOKUP($B18, Dependencies!$B$2:$G$230, 5,FALSE),$B$14:S$73, S$74,FALSE),"o")=$D$4,IFERROR(VLOOKUP(VLOOKUP($B18, Dependencies!$B$2:$G$230, 6,FALSE),$B$14:S$73, S$74,FALSE),"o")=$D$4),$D$4,IF(OR(IFERROR(VLOOKUP(VLOOKUP($B18, Dependencies!$B$2:$G$230, 2,FALSE), $B$14:S$73, S$74,FALSE),"o")=$D$5,IFERROR(VLOOKUP(VLOOKUP($B18, Dependencies!$B$2:$G$230, 3,FALSE), $B$14:S$73, S$74,FALSE),"o")=$D$5,IFERROR(VLOOKUP(VLOOKUP($B18, Dependencies!$B$2:$G$230, 4,FALSE), $B$14:S$73, S$74,FALSE),"o")=$D$5,IFERROR(VLOOKUP(VLOOKUP($B18, Dependencies!$B$2:$G$230, 5,FALSE), $B$14:S$73, S$74,FALSE),"o")=$D$5,IFERROR(VLOOKUP(VLOOKUP($B18, Dependencies!$B$2:$G$230, 6,FALSE), $B$14:S$73, S$74,FALSE),"o")=$D$5),$D$5,R18)))</f>
        <v>o</v>
      </c>
      <c r="T18" s="93" t="s">
        <v>323</v>
      </c>
      <c r="U18" s="70" t="str">
        <f>IF(T18=$D$4,T18,IF(OR(IFERROR(VLOOKUP(VLOOKUP($B18, Dependencies!$B$2:$G$230, 2,FALSE),$B$14:U$73, U$74,FALSE),"o")=$D$4,IFERROR(VLOOKUP(VLOOKUP($B18, Dependencies!$B$2:$G$230, 3,FALSE),$B$14:U$73, U$74,FALSE),"o")=$D$4,IFERROR(VLOOKUP(VLOOKUP($B18, Dependencies!$B$2:$G$230, 4,FALSE),$B$14:U$73, U$74,FALSE),"o")=$D$4,IFERROR(VLOOKUP(VLOOKUP($B18, Dependencies!$B$2:$G$230, 5,FALSE),$B$14:U$73, U$74,FALSE),"o")=$D$4,IFERROR(VLOOKUP(VLOOKUP($B18, Dependencies!$B$2:$G$230, 6,FALSE),$B$14:U$73, U$74,FALSE),"o")=$D$4),$D$4,IF(OR(IFERROR(VLOOKUP(VLOOKUP($B18, Dependencies!$B$2:$G$230, 2,FALSE), $B$14:U$73, U$74,FALSE),"o")=$D$5,IFERROR(VLOOKUP(VLOOKUP($B18, Dependencies!$B$2:$G$230, 3,FALSE), $B$14:U$73, U$74,FALSE),"o")=$D$5,IFERROR(VLOOKUP(VLOOKUP($B18, Dependencies!$B$2:$G$230, 4,FALSE), $B$14:U$73, U$74,FALSE),"o")=$D$5,IFERROR(VLOOKUP(VLOOKUP($B18, Dependencies!$B$2:$G$230, 5,FALSE), $B$14:U$73, U$74,FALSE),"o")=$D$5,IFERROR(VLOOKUP(VLOOKUP($B18, Dependencies!$B$2:$G$230, 6,FALSE), $B$14:U$73, U$74,FALSE),"o")=$D$5),$D$5,T18)))</f>
        <v>o</v>
      </c>
      <c r="V18" s="93" t="s">
        <v>323</v>
      </c>
      <c r="W18" s="70" t="str">
        <f>IF(V18=$D$4,V18,IF(OR(IFERROR(VLOOKUP(VLOOKUP($B18, Dependencies!$B$2:$G$230, 2,FALSE),$B$14:W$73, W$74,FALSE),"o")=$D$4,IFERROR(VLOOKUP(VLOOKUP($B18, Dependencies!$B$2:$G$230, 3,FALSE),$B$14:W$73, W$74,FALSE),"o")=$D$4,IFERROR(VLOOKUP(VLOOKUP($B18, Dependencies!$B$2:$G$230, 4,FALSE),$B$14:W$73, W$74,FALSE),"o")=$D$4,IFERROR(VLOOKUP(VLOOKUP($B18, Dependencies!$B$2:$G$230, 5,FALSE),$B$14:W$73, W$74,FALSE),"o")=$D$4,IFERROR(VLOOKUP(VLOOKUP($B18, Dependencies!$B$2:$G$230, 6,FALSE),$B$14:W$73, W$74,FALSE),"o")=$D$4),$D$4,IF(OR(IFERROR(VLOOKUP(VLOOKUP($B18, Dependencies!$B$2:$G$230, 2,FALSE), $B$14:W$73, W$74,FALSE),"o")=$D$5,IFERROR(VLOOKUP(VLOOKUP($B18, Dependencies!$B$2:$G$230, 3,FALSE), $B$14:W$73, W$74,FALSE),"o")=$D$5,IFERROR(VLOOKUP(VLOOKUP($B18, Dependencies!$B$2:$G$230, 4,FALSE), $B$14:W$73, W$74,FALSE),"o")=$D$5,IFERROR(VLOOKUP(VLOOKUP($B18, Dependencies!$B$2:$G$230, 5,FALSE), $B$14:W$73, W$74,FALSE),"o")=$D$5,IFERROR(VLOOKUP(VLOOKUP($B18, Dependencies!$B$2:$G$230, 6,FALSE), $B$14:W$73, W$74,FALSE),"o")=$D$5),$D$5,V18)))</f>
        <v>o</v>
      </c>
      <c r="X18" s="93" t="s">
        <v>323</v>
      </c>
      <c r="Y18" s="70" t="str">
        <f>IF(X18=$D$4,X18,IF(OR(IFERROR(VLOOKUP(VLOOKUP($B18, Dependencies!$B$2:$G$230, 2,FALSE),$B$14:Y$73, Y$74,FALSE),"o")=$D$4,IFERROR(VLOOKUP(VLOOKUP($B18, Dependencies!$B$2:$G$230, 3,FALSE),$B$14:Y$73, Y$74,FALSE),"o")=$D$4,IFERROR(VLOOKUP(VLOOKUP($B18, Dependencies!$B$2:$G$230, 4,FALSE),$B$14:Y$73, Y$74,FALSE),"o")=$D$4,IFERROR(VLOOKUP(VLOOKUP($B18, Dependencies!$B$2:$G$230, 5,FALSE),$B$14:Y$73, Y$74,FALSE),"o")=$D$4,IFERROR(VLOOKUP(VLOOKUP($B18, Dependencies!$B$2:$G$230, 6,FALSE),$B$14:Y$73, Y$74,FALSE),"o")=$D$4),$D$4,IF(OR(IFERROR(VLOOKUP(VLOOKUP($B18, Dependencies!$B$2:$G$230, 2,FALSE), $B$14:Y$73, Y$74,FALSE),"o")=$D$5,IFERROR(VLOOKUP(VLOOKUP($B18, Dependencies!$B$2:$G$230, 3,FALSE), $B$14:Y$73, Y$74,FALSE),"o")=$D$5,IFERROR(VLOOKUP(VLOOKUP($B18, Dependencies!$B$2:$G$230, 4,FALSE), $B$14:Y$73, Y$74,FALSE),"o")=$D$5,IFERROR(VLOOKUP(VLOOKUP($B18, Dependencies!$B$2:$G$230, 5,FALSE), $B$14:Y$73, Y$74,FALSE),"o")=$D$5,IFERROR(VLOOKUP(VLOOKUP($B18, Dependencies!$B$2:$G$230, 6,FALSE), $B$14:Y$73, Y$74,FALSE),"o")=$D$5),$D$5,X18)))</f>
        <v>o</v>
      </c>
      <c r="Z18" s="93" t="s">
        <v>323</v>
      </c>
      <c r="AA18" s="70" t="str">
        <f>IF(Z18=$D$4,Z18,IF(OR(IFERROR(VLOOKUP(VLOOKUP($B18, Dependencies!$B$2:$G$230, 2,FALSE),$B$14:AA$73, AA$74,FALSE),"o")=$D$4,IFERROR(VLOOKUP(VLOOKUP($B18, Dependencies!$B$2:$G$230, 3,FALSE),$B$14:AA$73, AA$74,FALSE),"o")=$D$4,IFERROR(VLOOKUP(VLOOKUP($B18, Dependencies!$B$2:$G$230, 4,FALSE),$B$14:AA$73, AA$74,FALSE),"o")=$D$4,IFERROR(VLOOKUP(VLOOKUP($B18, Dependencies!$B$2:$G$230, 5,FALSE),$B$14:AA$73, AA$74,FALSE),"o")=$D$4,IFERROR(VLOOKUP(VLOOKUP($B18, Dependencies!$B$2:$G$230, 6,FALSE),$B$14:AA$73, AA$74,FALSE),"o")=$D$4),$D$4,IF(OR(IFERROR(VLOOKUP(VLOOKUP($B18, Dependencies!$B$2:$G$230, 2,FALSE), $B$14:AA$73, AA$74,FALSE),"o")=$D$5,IFERROR(VLOOKUP(VLOOKUP($B18, Dependencies!$B$2:$G$230, 3,FALSE), $B$14:AA$73, AA$74,FALSE),"o")=$D$5,IFERROR(VLOOKUP(VLOOKUP($B18, Dependencies!$B$2:$G$230, 4,FALSE), $B$14:AA$73, AA$74,FALSE),"o")=$D$5,IFERROR(VLOOKUP(VLOOKUP($B18, Dependencies!$B$2:$G$230, 5,FALSE), $B$14:AA$73, AA$74,FALSE),"o")=$D$5,IFERROR(VLOOKUP(VLOOKUP($B18, Dependencies!$B$2:$G$230, 6,FALSE), $B$14:AA$73, AA$74,FALSE),"o")=$D$5),$D$5,Z18)))</f>
        <v>o</v>
      </c>
      <c r="AB18" s="93" t="s">
        <v>323</v>
      </c>
      <c r="AC18" s="70" t="str">
        <f>IF(AB18=$D$4,AB18,IF(OR(IFERROR(VLOOKUP(VLOOKUP($B18, Dependencies!$B$2:$G$230, 2,FALSE),$B$14:AC$73, AC$74,FALSE),"o")=$D$4,IFERROR(VLOOKUP(VLOOKUP($B18, Dependencies!$B$2:$G$230, 3,FALSE),$B$14:AC$73, AC$74,FALSE),"o")=$D$4,IFERROR(VLOOKUP(VLOOKUP($B18, Dependencies!$B$2:$G$230, 4,FALSE),$B$14:AC$73, AC$74,FALSE),"o")=$D$4,IFERROR(VLOOKUP(VLOOKUP($B18, Dependencies!$B$2:$G$230, 5,FALSE),$B$14:AC$73, AC$74,FALSE),"o")=$D$4,IFERROR(VLOOKUP(VLOOKUP($B18, Dependencies!$B$2:$G$230, 6,FALSE),$B$14:AC$73, AC$74,FALSE),"o")=$D$4),$D$4,IF(OR(IFERROR(VLOOKUP(VLOOKUP($B18, Dependencies!$B$2:$G$230, 2,FALSE), $B$14:AC$73, AC$74,FALSE),"o")=$D$5,IFERROR(VLOOKUP(VLOOKUP($B18, Dependencies!$B$2:$G$230, 3,FALSE), $B$14:AC$73, AC$74,FALSE),"o")=$D$5,IFERROR(VLOOKUP(VLOOKUP($B18, Dependencies!$B$2:$G$230, 4,FALSE), $B$14:AC$73, AC$74,FALSE),"o")=$D$5,IFERROR(VLOOKUP(VLOOKUP($B18, Dependencies!$B$2:$G$230, 5,FALSE), $B$14:AC$73, AC$74,FALSE),"o")=$D$5,IFERROR(VLOOKUP(VLOOKUP($B18, Dependencies!$B$2:$G$230, 6,FALSE), $B$14:AC$73, AC$74,FALSE),"o")=$D$5),$D$5,AB18)))</f>
        <v>o</v>
      </c>
      <c r="AD18" s="93" t="s">
        <v>323</v>
      </c>
      <c r="AE18" s="70" t="str">
        <f>IF(AD18=$D$4,AD18,IF(OR(IFERROR(VLOOKUP(VLOOKUP($B18, Dependencies!$B$2:$G$230, 2,FALSE),$B$14:AE$73, AE$74,FALSE),"o")=$D$4,IFERROR(VLOOKUP(VLOOKUP($B18, Dependencies!$B$2:$G$230, 3,FALSE),$B$14:AE$73, AE$74,FALSE),"o")=$D$4,IFERROR(VLOOKUP(VLOOKUP($B18, Dependencies!$B$2:$G$230, 4,FALSE),$B$14:AE$73, AE$74,FALSE),"o")=$D$4,IFERROR(VLOOKUP(VLOOKUP($B18, Dependencies!$B$2:$G$230, 5,FALSE),$B$14:AE$73, AE$74,FALSE),"o")=$D$4,IFERROR(VLOOKUP(VLOOKUP($B18, Dependencies!$B$2:$G$230, 6,FALSE),$B$14:AE$73, AE$74,FALSE),"o")=$D$4),$D$4,IF(OR(IFERROR(VLOOKUP(VLOOKUP($B18, Dependencies!$B$2:$G$230, 2,FALSE), $B$14:AE$73, AE$74,FALSE),"o")=$D$5,IFERROR(VLOOKUP(VLOOKUP($B18, Dependencies!$B$2:$G$230, 3,FALSE), $B$14:AE$73, AE$74,FALSE),"o")=$D$5,IFERROR(VLOOKUP(VLOOKUP($B18, Dependencies!$B$2:$G$230, 4,FALSE), $B$14:AE$73, AE$74,FALSE),"o")=$D$5,IFERROR(VLOOKUP(VLOOKUP($B18, Dependencies!$B$2:$G$230, 5,FALSE), $B$14:AE$73, AE$74,FALSE),"o")=$D$5,IFERROR(VLOOKUP(VLOOKUP($B18, Dependencies!$B$2:$G$230, 6,FALSE), $B$14:AE$73, AE$74,FALSE),"o")=$D$5),$D$5,AD18)))</f>
        <v>o</v>
      </c>
      <c r="AF18" s="93" t="s">
        <v>323</v>
      </c>
      <c r="AG18" s="70" t="str">
        <f>IF(AF18=$D$4,AF18,IF(OR(IFERROR(VLOOKUP(VLOOKUP($B18, Dependencies!$B$2:$G$230, 2,FALSE),$B$14:AG$73, AG$74,FALSE),"o")=$D$4,IFERROR(VLOOKUP(VLOOKUP($B18, Dependencies!$B$2:$G$230, 3,FALSE),$B$14:AG$73, AG$74,FALSE),"o")=$D$4,IFERROR(VLOOKUP(VLOOKUP($B18, Dependencies!$B$2:$G$230, 4,FALSE),$B$14:AG$73, AG$74,FALSE),"o")=$D$4,IFERROR(VLOOKUP(VLOOKUP($B18, Dependencies!$B$2:$G$230, 5,FALSE),$B$14:AG$73, AG$74,FALSE),"o")=$D$4,IFERROR(VLOOKUP(VLOOKUP($B18, Dependencies!$B$2:$G$230, 6,FALSE),$B$14:AG$73, AG$74,FALSE),"o")=$D$4),$D$4,IF(OR(IFERROR(VLOOKUP(VLOOKUP($B18, Dependencies!$B$2:$G$230, 2,FALSE), $B$14:AG$73, AG$74,FALSE),"o")=$D$5,IFERROR(VLOOKUP(VLOOKUP($B18, Dependencies!$B$2:$G$230, 3,FALSE), $B$14:AG$73, AG$74,FALSE),"o")=$D$5,IFERROR(VLOOKUP(VLOOKUP($B18, Dependencies!$B$2:$G$230, 4,FALSE), $B$14:AG$73, AG$74,FALSE),"o")=$D$5,IFERROR(VLOOKUP(VLOOKUP($B18, Dependencies!$B$2:$G$230, 5,FALSE), $B$14:AG$73, AG$74,FALSE),"o")=$D$5,IFERROR(VLOOKUP(VLOOKUP($B18, Dependencies!$B$2:$G$230, 6,FALSE), $B$14:AG$73, AG$74,FALSE),"o")=$D$5),$D$5,AF18)))</f>
        <v>o</v>
      </c>
      <c r="AH18" s="93" t="s">
        <v>323</v>
      </c>
      <c r="AI18" s="70" t="str">
        <f>IF(AH18=$D$4,AH18,IF(OR(IFERROR(VLOOKUP(VLOOKUP($B18, Dependencies!$B$2:$G$230, 2,FALSE),$B$14:AI$73, AI$74,FALSE),"o")=$D$4,IFERROR(VLOOKUP(VLOOKUP($B18, Dependencies!$B$2:$G$230, 3,FALSE),$B$14:AI$73, AI$74,FALSE),"o")=$D$4,IFERROR(VLOOKUP(VLOOKUP($B18, Dependencies!$B$2:$G$230, 4,FALSE),$B$14:AI$73, AI$74,FALSE),"o")=$D$4,IFERROR(VLOOKUP(VLOOKUP($B18, Dependencies!$B$2:$G$230, 5,FALSE),$B$14:AI$73, AI$74,FALSE),"o")=$D$4,IFERROR(VLOOKUP(VLOOKUP($B18, Dependencies!$B$2:$G$230, 6,FALSE),$B$14:AI$73, AI$74,FALSE),"o")=$D$4),$D$4,IF(OR(IFERROR(VLOOKUP(VLOOKUP($B18, Dependencies!$B$2:$G$230, 2,FALSE), $B$14:AI$73, AI$74,FALSE),"o")=$D$5,IFERROR(VLOOKUP(VLOOKUP($B18, Dependencies!$B$2:$G$230, 3,FALSE), $B$14:AI$73, AI$74,FALSE),"o")=$D$5,IFERROR(VLOOKUP(VLOOKUP($B18, Dependencies!$B$2:$G$230, 4,FALSE), $B$14:AI$73, AI$74,FALSE),"o")=$D$5,IFERROR(VLOOKUP(VLOOKUP($B18, Dependencies!$B$2:$G$230, 5,FALSE), $B$14:AI$73, AI$74,FALSE),"o")=$D$5,IFERROR(VLOOKUP(VLOOKUP($B18, Dependencies!$B$2:$G$230, 6,FALSE), $B$14:AI$73, AI$74,FALSE),"o")=$D$5),$D$5,AH18)))</f>
        <v>o</v>
      </c>
      <c r="AJ18" s="93" t="s">
        <v>323</v>
      </c>
      <c r="AK18" s="70" t="str">
        <f>IF(AJ18=$D$4,AJ18,IF(OR(IFERROR(VLOOKUP(VLOOKUP($B18, Dependencies!$B$2:$G$230, 2,FALSE),$B$14:AK$73, AK$74,FALSE),"o")=$D$4,IFERROR(VLOOKUP(VLOOKUP($B18, Dependencies!$B$2:$G$230, 3,FALSE),$B$14:AK$73, AK$74,FALSE),"o")=$D$4,IFERROR(VLOOKUP(VLOOKUP($B18, Dependencies!$B$2:$G$230, 4,FALSE),$B$14:AK$73, AK$74,FALSE),"o")=$D$4,IFERROR(VLOOKUP(VLOOKUP($B18, Dependencies!$B$2:$G$230, 5,FALSE),$B$14:AK$73, AK$74,FALSE),"o")=$D$4,IFERROR(VLOOKUP(VLOOKUP($B18, Dependencies!$B$2:$G$230, 6,FALSE),$B$14:AK$73, AK$74,FALSE),"o")=$D$4),$D$4,IF(OR(IFERROR(VLOOKUP(VLOOKUP($B18, Dependencies!$B$2:$G$230, 2,FALSE), $B$14:AK$73, AK$74,FALSE),"o")=$D$5,IFERROR(VLOOKUP(VLOOKUP($B18, Dependencies!$B$2:$G$230, 3,FALSE), $B$14:AK$73, AK$74,FALSE),"o")=$D$5,IFERROR(VLOOKUP(VLOOKUP($B18, Dependencies!$B$2:$G$230, 4,FALSE), $B$14:AK$73, AK$74,FALSE),"o")=$D$5,IFERROR(VLOOKUP(VLOOKUP($B18, Dependencies!$B$2:$G$230, 5,FALSE), $B$14:AK$73, AK$74,FALSE),"o")=$D$5,IFERROR(VLOOKUP(VLOOKUP($B18, Dependencies!$B$2:$G$230, 6,FALSE), $B$14:AK$73, AK$74,FALSE),"o")=$D$5),$D$5,AJ18)))</f>
        <v>o</v>
      </c>
      <c r="AL18" s="93" t="s">
        <v>323</v>
      </c>
      <c r="AM18" s="70" t="str">
        <f>IF(AL18=$D$4,AL18,IF(OR(IFERROR(VLOOKUP(VLOOKUP($B18, Dependencies!$B$2:$G$230, 2,FALSE),$B$14:AM$73, AM$74,FALSE),"o")=$D$4,IFERROR(VLOOKUP(VLOOKUP($B18, Dependencies!$B$2:$G$230, 3,FALSE),$B$14:AM$73, AM$74,FALSE),"o")=$D$4,IFERROR(VLOOKUP(VLOOKUP($B18, Dependencies!$B$2:$G$230, 4,FALSE),$B$14:AM$73, AM$74,FALSE),"o")=$D$4,IFERROR(VLOOKUP(VLOOKUP($B18, Dependencies!$B$2:$G$230, 5,FALSE),$B$14:AM$73, AM$74,FALSE),"o")=$D$4,IFERROR(VLOOKUP(VLOOKUP($B18, Dependencies!$B$2:$G$230, 6,FALSE),$B$14:AM$73, AM$74,FALSE),"o")=$D$4),$D$4,IF(OR(IFERROR(VLOOKUP(VLOOKUP($B18, Dependencies!$B$2:$G$230, 2,FALSE), $B$14:AM$73, AM$74,FALSE),"o")=$D$5,IFERROR(VLOOKUP(VLOOKUP($B18, Dependencies!$B$2:$G$230, 3,FALSE), $B$14:AM$73, AM$74,FALSE),"o")=$D$5,IFERROR(VLOOKUP(VLOOKUP($B18, Dependencies!$B$2:$G$230, 4,FALSE), $B$14:AM$73, AM$74,FALSE),"o")=$D$5,IFERROR(VLOOKUP(VLOOKUP($B18, Dependencies!$B$2:$G$230, 5,FALSE), $B$14:AM$73, AM$74,FALSE),"o")=$D$5,IFERROR(VLOOKUP(VLOOKUP($B18, Dependencies!$B$2:$G$230, 6,FALSE), $B$14:AM$73, AM$74,FALSE),"o")=$D$5),$D$5,AL18)))</f>
        <v>o</v>
      </c>
      <c r="AN18" s="93" t="s">
        <v>323</v>
      </c>
      <c r="AO18" s="70" t="str">
        <f>IF(AN18=$D$4,AN18,IF(OR(IFERROR(VLOOKUP(VLOOKUP($B18, Dependencies!$B$2:$G$230, 2,FALSE),$B$14:AO$73, AO$74,FALSE),"o")=$D$4,IFERROR(VLOOKUP(VLOOKUP($B18, Dependencies!$B$2:$G$230, 3,FALSE),$B$14:AO$73, AO$74,FALSE),"o")=$D$4,IFERROR(VLOOKUP(VLOOKUP($B18, Dependencies!$B$2:$G$230, 4,FALSE),$B$14:AO$73, AO$74,FALSE),"o")=$D$4,IFERROR(VLOOKUP(VLOOKUP($B18, Dependencies!$B$2:$G$230, 5,FALSE),$B$14:AO$73, AO$74,FALSE),"o")=$D$4,IFERROR(VLOOKUP(VLOOKUP($B18, Dependencies!$B$2:$G$230, 6,FALSE),$B$14:AO$73, AO$74,FALSE),"o")=$D$4),$D$4,IF(OR(IFERROR(VLOOKUP(VLOOKUP($B18, Dependencies!$B$2:$G$230, 2,FALSE), $B$14:AO$73, AO$74,FALSE),"o")=$D$5,IFERROR(VLOOKUP(VLOOKUP($B18, Dependencies!$B$2:$G$230, 3,FALSE), $B$14:AO$73, AO$74,FALSE),"o")=$D$5,IFERROR(VLOOKUP(VLOOKUP($B18, Dependencies!$B$2:$G$230, 4,FALSE), $B$14:AO$73, AO$74,FALSE),"o")=$D$5,IFERROR(VLOOKUP(VLOOKUP($B18, Dependencies!$B$2:$G$230, 5,FALSE), $B$14:AO$73, AO$74,FALSE),"o")=$D$5,IFERROR(VLOOKUP(VLOOKUP($B18, Dependencies!$B$2:$G$230, 6,FALSE), $B$14:AO$73, AO$74,FALSE),"o")=$D$5),$D$5,AN18)))</f>
        <v>o</v>
      </c>
      <c r="AP18" s="93" t="s">
        <v>323</v>
      </c>
      <c r="AQ18" s="70" t="str">
        <f>IF(AP18=$D$4,AP18,IF(OR(IFERROR(VLOOKUP(VLOOKUP($B18, Dependencies!$B$2:$G$230, 2,FALSE),$B$14:AQ$73, AQ$74,FALSE),"o")=$D$4,IFERROR(VLOOKUP(VLOOKUP($B18, Dependencies!$B$2:$G$230, 3,FALSE),$B$14:AQ$73, AQ$74,FALSE),"o")=$D$4,IFERROR(VLOOKUP(VLOOKUP($B18, Dependencies!$B$2:$G$230, 4,FALSE),$B$14:AQ$73, AQ$74,FALSE),"o")=$D$4,IFERROR(VLOOKUP(VLOOKUP($B18, Dependencies!$B$2:$G$230, 5,FALSE),$B$14:AQ$73, AQ$74,FALSE),"o")=$D$4,IFERROR(VLOOKUP(VLOOKUP($B18, Dependencies!$B$2:$G$230, 6,FALSE),$B$14:AQ$73, AQ$74,FALSE),"o")=$D$4),$D$4,IF(OR(IFERROR(VLOOKUP(VLOOKUP($B18, Dependencies!$B$2:$G$230, 2,FALSE), $B$14:AQ$73, AQ$74,FALSE),"o")=$D$5,IFERROR(VLOOKUP(VLOOKUP($B18, Dependencies!$B$2:$G$230, 3,FALSE), $B$14:AQ$73, AQ$74,FALSE),"o")=$D$5,IFERROR(VLOOKUP(VLOOKUP($B18, Dependencies!$B$2:$G$230, 4,FALSE), $B$14:AQ$73, AQ$74,FALSE),"o")=$D$5,IFERROR(VLOOKUP(VLOOKUP($B18, Dependencies!$B$2:$G$230, 5,FALSE), $B$14:AQ$73, AQ$74,FALSE),"o")=$D$5,IFERROR(VLOOKUP(VLOOKUP($B18, Dependencies!$B$2:$G$230, 6,FALSE), $B$14:AQ$73, AQ$74,FALSE),"o")=$D$5),$D$5,AP18)))</f>
        <v>o</v>
      </c>
      <c r="AR18" s="93" t="s">
        <v>323</v>
      </c>
      <c r="AS18" s="69" t="str">
        <f>IF(AR18=$D$4,AR18,IF(OR(IFERROR(VLOOKUP(VLOOKUP($B18, Dependencies!$B$2:$G$230, 2,FALSE),$B$14:AS$73, AS$74,FALSE),"o")=$D$4,IFERROR(VLOOKUP(VLOOKUP($B18, Dependencies!$B$2:$G$230, 3,FALSE),$B$14:AS$73, AS$74,FALSE),"o")=$D$4,IFERROR(VLOOKUP(VLOOKUP($B18, Dependencies!$B$2:$G$230, 4,FALSE),$B$14:AS$73, AS$74,FALSE),"o")=$D$4,IFERROR(VLOOKUP(VLOOKUP($B18, Dependencies!$B$2:$G$230, 5,FALSE),$B$14:AS$73, AS$74,FALSE),"o")=$D$4,IFERROR(VLOOKUP(VLOOKUP($B18, Dependencies!$B$2:$G$230, 6,FALSE),$B$14:AS$73, AS$74,FALSE),"o")=$D$4),$D$4,IF(OR(IFERROR(VLOOKUP(VLOOKUP($B18, Dependencies!$B$2:$G$230, 2,FALSE), $B$14:AS$73, AS$74,FALSE),"o")=$D$5,IFERROR(VLOOKUP(VLOOKUP($B18, Dependencies!$B$2:$G$230, 3,FALSE), $B$14:AS$73, AS$74,FALSE),"o")=$D$5,IFERROR(VLOOKUP(VLOOKUP($B18, Dependencies!$B$2:$G$230, 4,FALSE), $B$14:AS$73, AS$74,FALSE),"o")=$D$5,IFERROR(VLOOKUP(VLOOKUP($B18, Dependencies!$B$2:$G$230, 5,FALSE), $B$14:AS$73, AS$74,FALSE),"o")=$D$5,IFERROR(VLOOKUP(VLOOKUP($B18, Dependencies!$B$2:$G$230, 6,FALSE), $B$14:AS$73, AS$74,FALSE),"o")=$D$5),$D$5,AR18)))</f>
        <v>o</v>
      </c>
    </row>
    <row r="19" spans="1:47" x14ac:dyDescent="0.2">
      <c r="A19" s="40"/>
      <c r="B19" s="74" t="str">
        <f>MLEOsv2!A7</f>
        <v>MLEO_00_06</v>
      </c>
      <c r="C19" s="74">
        <f>MLEOsv2!C7</f>
        <v>1</v>
      </c>
      <c r="D19" s="44" t="str">
        <f>MLEOsv2!G7</f>
        <v>implement a general setter for a primitive type member observing class invariants.</v>
      </c>
      <c r="E19" s="68" t="b">
        <f>MLEOsv2!H7</f>
        <v>1</v>
      </c>
      <c r="F19" s="94" t="s">
        <v>320</v>
      </c>
      <c r="G19" s="72" t="str">
        <f>IF(F19=$D$4,F19,IF(OR(IFERROR(VLOOKUP(VLOOKUP($B19, Dependencies!$B$2:$G$230, 2,FALSE),$B$14:G$73, G$74,FALSE),"o")=$D$4,IFERROR(VLOOKUP(VLOOKUP($B19, Dependencies!$B$2:$G$230, 3,FALSE),$B$14:G$73, G$74,FALSE),"o")=$D$4,IFERROR(VLOOKUP(VLOOKUP($B19, Dependencies!$B$2:$G$230, 4,FALSE),$B$14:G$73, G$74,FALSE),"o")=$D$4,IFERROR(VLOOKUP(VLOOKUP($B19, Dependencies!$B$2:$G$230, 5,FALSE),$B$14:G$73, G$74,FALSE),"o")=$D$4,IFERROR(VLOOKUP(VLOOKUP($B19, Dependencies!$B$2:$G$230, 6,FALSE),$B$14:G$73, G$74,FALSE),"o")=$D$4),$D$4,IF(OR(IFERROR(VLOOKUP(VLOOKUP($B19, Dependencies!$B$2:$G$230, 2,FALSE), $B$14:G$73, G$74,FALSE),"o")=$D$5,IFERROR(VLOOKUP(VLOOKUP($B19, Dependencies!$B$2:$G$230, 3,FALSE), $B$14:G$73, G$74,FALSE),"o")=$D$5,IFERROR(VLOOKUP(VLOOKUP($B19, Dependencies!$B$2:$G$230, 4,FALSE), $B$14:G$73, G$74,FALSE),"o")=$D$5,IFERROR(VLOOKUP(VLOOKUP($B19, Dependencies!$B$2:$G$230, 5,FALSE), $B$14:G$73, G$74,FALSE),"o")=$D$5,IFERROR(VLOOKUP(VLOOKUP($B19, Dependencies!$B$2:$G$230, 6,FALSE), $B$14:G$73, G$74,FALSE),"o")=$D$5),$D$5,F19)))</f>
        <v>r</v>
      </c>
      <c r="H19" s="94" t="s">
        <v>321</v>
      </c>
      <c r="I19" s="72" t="str">
        <f>IF(H19=$D$4,H19,IF(OR(IFERROR(VLOOKUP(VLOOKUP($B19, Dependencies!$B$2:$G$230, 2,FALSE),$B$14:I$73, I$74,FALSE),"o")=$D$4,IFERROR(VLOOKUP(VLOOKUP($B19, Dependencies!$B$2:$G$230, 3,FALSE),$B$14:I$73, I$74,FALSE),"o")=$D$4,IFERROR(VLOOKUP(VLOOKUP($B19, Dependencies!$B$2:$G$230, 4,FALSE),$B$14:I$73, I$74,FALSE),"o")=$D$4,IFERROR(VLOOKUP(VLOOKUP($B19, Dependencies!$B$2:$G$230, 5,FALSE),$B$14:I$73, I$74,FALSE),"o")=$D$4,IFERROR(VLOOKUP(VLOOKUP($B19, Dependencies!$B$2:$G$230, 6,FALSE),$B$14:I$73, I$74,FALSE),"o")=$D$4),$D$4,IF(OR(IFERROR(VLOOKUP(VLOOKUP($B19, Dependencies!$B$2:$G$230, 2,FALSE), $B$14:I$73, I$74,FALSE),"o")=$D$5,IFERROR(VLOOKUP(VLOOKUP($B19, Dependencies!$B$2:$G$230, 3,FALSE), $B$14:I$73, I$74,FALSE),"o")=$D$5,IFERROR(VLOOKUP(VLOOKUP($B19, Dependencies!$B$2:$G$230, 4,FALSE), $B$14:I$73, I$74,FALSE),"o")=$D$5,IFERROR(VLOOKUP(VLOOKUP($B19, Dependencies!$B$2:$G$230, 5,FALSE), $B$14:I$73, I$74,FALSE),"o")=$D$5,IFERROR(VLOOKUP(VLOOKUP($B19, Dependencies!$B$2:$G$230, 6,FALSE), $B$14:I$73, I$74,FALSE),"o")=$D$5),$D$5,H19)))</f>
        <v>pr</v>
      </c>
      <c r="J19" s="94" t="s">
        <v>323</v>
      </c>
      <c r="K19" s="72" t="str">
        <f>IF(J19=$D$4,J19,IF(OR(IFERROR(VLOOKUP(VLOOKUP($B19, Dependencies!$B$2:$G$230, 2,FALSE),$B$14:K$73, K$74,FALSE),"o")=$D$4,IFERROR(VLOOKUP(VLOOKUP($B19, Dependencies!$B$2:$G$230, 3,FALSE),$B$14:K$73, K$74,FALSE),"o")=$D$4,IFERROR(VLOOKUP(VLOOKUP($B19, Dependencies!$B$2:$G$230, 4,FALSE),$B$14:K$73, K$74,FALSE),"o")=$D$4,IFERROR(VLOOKUP(VLOOKUP($B19, Dependencies!$B$2:$G$230, 5,FALSE),$B$14:K$73, K$74,FALSE),"o")=$D$4,IFERROR(VLOOKUP(VLOOKUP($B19, Dependencies!$B$2:$G$230, 6,FALSE),$B$14:K$73, K$74,FALSE),"o")=$D$4),$D$4,IF(OR(IFERROR(VLOOKUP(VLOOKUP($B19, Dependencies!$B$2:$G$230, 2,FALSE), $B$14:K$73, K$74,FALSE),"o")=$D$5,IFERROR(VLOOKUP(VLOOKUP($B19, Dependencies!$B$2:$G$230, 3,FALSE), $B$14:K$73, K$74,FALSE),"o")=$D$5,IFERROR(VLOOKUP(VLOOKUP($B19, Dependencies!$B$2:$G$230, 4,FALSE), $B$14:K$73, K$74,FALSE),"o")=$D$5,IFERROR(VLOOKUP(VLOOKUP($B19, Dependencies!$B$2:$G$230, 5,FALSE), $B$14:K$73, K$74,FALSE),"o")=$D$5,IFERROR(VLOOKUP(VLOOKUP($B19, Dependencies!$B$2:$G$230, 6,FALSE), $B$14:K$73, K$74,FALSE),"o")=$D$5),$D$5,J19)))</f>
        <v>r</v>
      </c>
      <c r="L19" s="94" t="s">
        <v>323</v>
      </c>
      <c r="M19" s="72" t="str">
        <f>IF(L19=$D$4,L19,IF(OR(IFERROR(VLOOKUP(VLOOKUP($B19, Dependencies!$B$2:$G$230, 2,FALSE),$B$14:M$73, M$74,FALSE),"o")=$D$4,IFERROR(VLOOKUP(VLOOKUP($B19, Dependencies!$B$2:$G$230, 3,FALSE),$B$14:M$73, M$74,FALSE),"o")=$D$4,IFERROR(VLOOKUP(VLOOKUP($B19, Dependencies!$B$2:$G$230, 4,FALSE),$B$14:M$73, M$74,FALSE),"o")=$D$4,IFERROR(VLOOKUP(VLOOKUP($B19, Dependencies!$B$2:$G$230, 5,FALSE),$B$14:M$73, M$74,FALSE),"o")=$D$4,IFERROR(VLOOKUP(VLOOKUP($B19, Dependencies!$B$2:$G$230, 6,FALSE),$B$14:M$73, M$74,FALSE),"o")=$D$4),$D$4,IF(OR(IFERROR(VLOOKUP(VLOOKUP($B19, Dependencies!$B$2:$G$230, 2,FALSE), $B$14:M$73, M$74,FALSE),"o")=$D$5,IFERROR(VLOOKUP(VLOOKUP($B19, Dependencies!$B$2:$G$230, 3,FALSE), $B$14:M$73, M$74,FALSE),"o")=$D$5,IFERROR(VLOOKUP(VLOOKUP($B19, Dependencies!$B$2:$G$230, 4,FALSE), $B$14:M$73, M$74,FALSE),"o")=$D$5,IFERROR(VLOOKUP(VLOOKUP($B19, Dependencies!$B$2:$G$230, 5,FALSE), $B$14:M$73, M$74,FALSE),"o")=$D$5,IFERROR(VLOOKUP(VLOOKUP($B19, Dependencies!$B$2:$G$230, 6,FALSE), $B$14:M$73, M$74,FALSE),"o")=$D$5),$D$5,L19)))</f>
        <v>o</v>
      </c>
      <c r="N19" s="94" t="s">
        <v>323</v>
      </c>
      <c r="O19" s="72" t="str">
        <f>IF(N19=$D$4,N19,IF(OR(IFERROR(VLOOKUP(VLOOKUP($B19, Dependencies!$B$2:$G$230, 2,FALSE),$B$14:O$73, O$74,FALSE),"o")=$D$4,IFERROR(VLOOKUP(VLOOKUP($B19, Dependencies!$B$2:$G$230, 3,FALSE),$B$14:O$73, O$74,FALSE),"o")=$D$4,IFERROR(VLOOKUP(VLOOKUP($B19, Dependencies!$B$2:$G$230, 4,FALSE),$B$14:O$73, O$74,FALSE),"o")=$D$4,IFERROR(VLOOKUP(VLOOKUP($B19, Dependencies!$B$2:$G$230, 5,FALSE),$B$14:O$73, O$74,FALSE),"o")=$D$4,IFERROR(VLOOKUP(VLOOKUP($B19, Dependencies!$B$2:$G$230, 6,FALSE),$B$14:O$73, O$74,FALSE),"o")=$D$4),$D$4,IF(OR(IFERROR(VLOOKUP(VLOOKUP($B19, Dependencies!$B$2:$G$230, 2,FALSE), $B$14:O$73, O$74,FALSE),"o")=$D$5,IFERROR(VLOOKUP(VLOOKUP($B19, Dependencies!$B$2:$G$230, 3,FALSE), $B$14:O$73, O$74,FALSE),"o")=$D$5,IFERROR(VLOOKUP(VLOOKUP($B19, Dependencies!$B$2:$G$230, 4,FALSE), $B$14:O$73, O$74,FALSE),"o")=$D$5,IFERROR(VLOOKUP(VLOOKUP($B19, Dependencies!$B$2:$G$230, 5,FALSE), $B$14:O$73, O$74,FALSE),"o")=$D$5,IFERROR(VLOOKUP(VLOOKUP($B19, Dependencies!$B$2:$G$230, 6,FALSE), $B$14:O$73, O$74,FALSE),"o")=$D$5),$D$5,N19)))</f>
        <v>o</v>
      </c>
      <c r="P19" s="94" t="s">
        <v>323</v>
      </c>
      <c r="Q19" s="72" t="str">
        <f>IF(P19=$D$4,P19,IF(OR(IFERROR(VLOOKUP(VLOOKUP($B19, Dependencies!$B$2:$G$230, 2,FALSE),$B$14:Q$73, Q$74,FALSE),"o")=$D$4,IFERROR(VLOOKUP(VLOOKUP($B19, Dependencies!$B$2:$G$230, 3,FALSE),$B$14:Q$73, Q$74,FALSE),"o")=$D$4,IFERROR(VLOOKUP(VLOOKUP($B19, Dependencies!$B$2:$G$230, 4,FALSE),$B$14:Q$73, Q$74,FALSE),"o")=$D$4,IFERROR(VLOOKUP(VLOOKUP($B19, Dependencies!$B$2:$G$230, 5,FALSE),$B$14:Q$73, Q$74,FALSE),"o")=$D$4,IFERROR(VLOOKUP(VLOOKUP($B19, Dependencies!$B$2:$G$230, 6,FALSE),$B$14:Q$73, Q$74,FALSE),"o")=$D$4),$D$4,IF(OR(IFERROR(VLOOKUP(VLOOKUP($B19, Dependencies!$B$2:$G$230, 2,FALSE), $B$14:Q$73, Q$74,FALSE),"o")=$D$5,IFERROR(VLOOKUP(VLOOKUP($B19, Dependencies!$B$2:$G$230, 3,FALSE), $B$14:Q$73, Q$74,FALSE),"o")=$D$5,IFERROR(VLOOKUP(VLOOKUP($B19, Dependencies!$B$2:$G$230, 4,FALSE), $B$14:Q$73, Q$74,FALSE),"o")=$D$5,IFERROR(VLOOKUP(VLOOKUP($B19, Dependencies!$B$2:$G$230, 5,FALSE), $B$14:Q$73, Q$74,FALSE),"o")=$D$5,IFERROR(VLOOKUP(VLOOKUP($B19, Dependencies!$B$2:$G$230, 6,FALSE), $B$14:Q$73, Q$74,FALSE),"o")=$D$5),$D$5,P19)))</f>
        <v>o</v>
      </c>
      <c r="R19" s="94" t="s">
        <v>323</v>
      </c>
      <c r="S19" s="72" t="str">
        <f>IF(R19=$D$4,R19,IF(OR(IFERROR(VLOOKUP(VLOOKUP($B19, Dependencies!$B$2:$G$230, 2,FALSE),$B$14:S$73, S$74,FALSE),"o")=$D$4,IFERROR(VLOOKUP(VLOOKUP($B19, Dependencies!$B$2:$G$230, 3,FALSE),$B$14:S$73, S$74,FALSE),"o")=$D$4,IFERROR(VLOOKUP(VLOOKUP($B19, Dependencies!$B$2:$G$230, 4,FALSE),$B$14:S$73, S$74,FALSE),"o")=$D$4,IFERROR(VLOOKUP(VLOOKUP($B19, Dependencies!$B$2:$G$230, 5,FALSE),$B$14:S$73, S$74,FALSE),"o")=$D$4,IFERROR(VLOOKUP(VLOOKUP($B19, Dependencies!$B$2:$G$230, 6,FALSE),$B$14:S$73, S$74,FALSE),"o")=$D$4),$D$4,IF(OR(IFERROR(VLOOKUP(VLOOKUP($B19, Dependencies!$B$2:$G$230, 2,FALSE), $B$14:S$73, S$74,FALSE),"o")=$D$5,IFERROR(VLOOKUP(VLOOKUP($B19, Dependencies!$B$2:$G$230, 3,FALSE), $B$14:S$73, S$74,FALSE),"o")=$D$5,IFERROR(VLOOKUP(VLOOKUP($B19, Dependencies!$B$2:$G$230, 4,FALSE), $B$14:S$73, S$74,FALSE),"o")=$D$5,IFERROR(VLOOKUP(VLOOKUP($B19, Dependencies!$B$2:$G$230, 5,FALSE), $B$14:S$73, S$74,FALSE),"o")=$D$5,IFERROR(VLOOKUP(VLOOKUP($B19, Dependencies!$B$2:$G$230, 6,FALSE), $B$14:S$73, S$74,FALSE),"o")=$D$5),$D$5,R19)))</f>
        <v>o</v>
      </c>
      <c r="T19" s="94" t="s">
        <v>323</v>
      </c>
      <c r="U19" s="72" t="str">
        <f>IF(T19=$D$4,T19,IF(OR(IFERROR(VLOOKUP(VLOOKUP($B19, Dependencies!$B$2:$G$230, 2,FALSE),$B$14:U$73, U$74,FALSE),"o")=$D$4,IFERROR(VLOOKUP(VLOOKUP($B19, Dependencies!$B$2:$G$230, 3,FALSE),$B$14:U$73, U$74,FALSE),"o")=$D$4,IFERROR(VLOOKUP(VLOOKUP($B19, Dependencies!$B$2:$G$230, 4,FALSE),$B$14:U$73, U$74,FALSE),"o")=$D$4,IFERROR(VLOOKUP(VLOOKUP($B19, Dependencies!$B$2:$G$230, 5,FALSE),$B$14:U$73, U$74,FALSE),"o")=$D$4,IFERROR(VLOOKUP(VLOOKUP($B19, Dependencies!$B$2:$G$230, 6,FALSE),$B$14:U$73, U$74,FALSE),"o")=$D$4),$D$4,IF(OR(IFERROR(VLOOKUP(VLOOKUP($B19, Dependencies!$B$2:$G$230, 2,FALSE), $B$14:U$73, U$74,FALSE),"o")=$D$5,IFERROR(VLOOKUP(VLOOKUP($B19, Dependencies!$B$2:$G$230, 3,FALSE), $B$14:U$73, U$74,FALSE),"o")=$D$5,IFERROR(VLOOKUP(VLOOKUP($B19, Dependencies!$B$2:$G$230, 4,FALSE), $B$14:U$73, U$74,FALSE),"o")=$D$5,IFERROR(VLOOKUP(VLOOKUP($B19, Dependencies!$B$2:$G$230, 5,FALSE), $B$14:U$73, U$74,FALSE),"o")=$D$5,IFERROR(VLOOKUP(VLOOKUP($B19, Dependencies!$B$2:$G$230, 6,FALSE), $B$14:U$73, U$74,FALSE),"o")=$D$5),$D$5,T19)))</f>
        <v>o</v>
      </c>
      <c r="V19" s="94" t="s">
        <v>323</v>
      </c>
      <c r="W19" s="72" t="str">
        <f>IF(V19=$D$4,V19,IF(OR(IFERROR(VLOOKUP(VLOOKUP($B19, Dependencies!$B$2:$G$230, 2,FALSE),$B$14:W$73, W$74,FALSE),"o")=$D$4,IFERROR(VLOOKUP(VLOOKUP($B19, Dependencies!$B$2:$G$230, 3,FALSE),$B$14:W$73, W$74,FALSE),"o")=$D$4,IFERROR(VLOOKUP(VLOOKUP($B19, Dependencies!$B$2:$G$230, 4,FALSE),$B$14:W$73, W$74,FALSE),"o")=$D$4,IFERROR(VLOOKUP(VLOOKUP($B19, Dependencies!$B$2:$G$230, 5,FALSE),$B$14:W$73, W$74,FALSE),"o")=$D$4,IFERROR(VLOOKUP(VLOOKUP($B19, Dependencies!$B$2:$G$230, 6,FALSE),$B$14:W$73, W$74,FALSE),"o")=$D$4),$D$4,IF(OR(IFERROR(VLOOKUP(VLOOKUP($B19, Dependencies!$B$2:$G$230, 2,FALSE), $B$14:W$73, W$74,FALSE),"o")=$D$5,IFERROR(VLOOKUP(VLOOKUP($B19, Dependencies!$B$2:$G$230, 3,FALSE), $B$14:W$73, W$74,FALSE),"o")=$D$5,IFERROR(VLOOKUP(VLOOKUP($B19, Dependencies!$B$2:$G$230, 4,FALSE), $B$14:W$73, W$74,FALSE),"o")=$D$5,IFERROR(VLOOKUP(VLOOKUP($B19, Dependencies!$B$2:$G$230, 5,FALSE), $B$14:W$73, W$74,FALSE),"o")=$D$5,IFERROR(VLOOKUP(VLOOKUP($B19, Dependencies!$B$2:$G$230, 6,FALSE), $B$14:W$73, W$74,FALSE),"o")=$D$5),$D$5,V19)))</f>
        <v>o</v>
      </c>
      <c r="X19" s="94" t="s">
        <v>323</v>
      </c>
      <c r="Y19" s="72" t="str">
        <f>IF(X19=$D$4,X19,IF(OR(IFERROR(VLOOKUP(VLOOKUP($B19, Dependencies!$B$2:$G$230, 2,FALSE),$B$14:Y$73, Y$74,FALSE),"o")=$D$4,IFERROR(VLOOKUP(VLOOKUP($B19, Dependencies!$B$2:$G$230, 3,FALSE),$B$14:Y$73, Y$74,FALSE),"o")=$D$4,IFERROR(VLOOKUP(VLOOKUP($B19, Dependencies!$B$2:$G$230, 4,FALSE),$B$14:Y$73, Y$74,FALSE),"o")=$D$4,IFERROR(VLOOKUP(VLOOKUP($B19, Dependencies!$B$2:$G$230, 5,FALSE),$B$14:Y$73, Y$74,FALSE),"o")=$D$4,IFERROR(VLOOKUP(VLOOKUP($B19, Dependencies!$B$2:$G$230, 6,FALSE),$B$14:Y$73, Y$74,FALSE),"o")=$D$4),$D$4,IF(OR(IFERROR(VLOOKUP(VLOOKUP($B19, Dependencies!$B$2:$G$230, 2,FALSE), $B$14:Y$73, Y$74,FALSE),"o")=$D$5,IFERROR(VLOOKUP(VLOOKUP($B19, Dependencies!$B$2:$G$230, 3,FALSE), $B$14:Y$73, Y$74,FALSE),"o")=$D$5,IFERROR(VLOOKUP(VLOOKUP($B19, Dependencies!$B$2:$G$230, 4,FALSE), $B$14:Y$73, Y$74,FALSE),"o")=$D$5,IFERROR(VLOOKUP(VLOOKUP($B19, Dependencies!$B$2:$G$230, 5,FALSE), $B$14:Y$73, Y$74,FALSE),"o")=$D$5,IFERROR(VLOOKUP(VLOOKUP($B19, Dependencies!$B$2:$G$230, 6,FALSE), $B$14:Y$73, Y$74,FALSE),"o")=$D$5),$D$5,X19)))</f>
        <v>o</v>
      </c>
      <c r="Z19" s="94" t="s">
        <v>323</v>
      </c>
      <c r="AA19" s="72" t="str">
        <f>IF(Z19=$D$4,Z19,IF(OR(IFERROR(VLOOKUP(VLOOKUP($B19, Dependencies!$B$2:$G$230, 2,FALSE),$B$14:AA$73, AA$74,FALSE),"o")=$D$4,IFERROR(VLOOKUP(VLOOKUP($B19, Dependencies!$B$2:$G$230, 3,FALSE),$B$14:AA$73, AA$74,FALSE),"o")=$D$4,IFERROR(VLOOKUP(VLOOKUP($B19, Dependencies!$B$2:$G$230, 4,FALSE),$B$14:AA$73, AA$74,FALSE),"o")=$D$4,IFERROR(VLOOKUP(VLOOKUP($B19, Dependencies!$B$2:$G$230, 5,FALSE),$B$14:AA$73, AA$74,FALSE),"o")=$D$4,IFERROR(VLOOKUP(VLOOKUP($B19, Dependencies!$B$2:$G$230, 6,FALSE),$B$14:AA$73, AA$74,FALSE),"o")=$D$4),$D$4,IF(OR(IFERROR(VLOOKUP(VLOOKUP($B19, Dependencies!$B$2:$G$230, 2,FALSE), $B$14:AA$73, AA$74,FALSE),"o")=$D$5,IFERROR(VLOOKUP(VLOOKUP($B19, Dependencies!$B$2:$G$230, 3,FALSE), $B$14:AA$73, AA$74,FALSE),"o")=$D$5,IFERROR(VLOOKUP(VLOOKUP($B19, Dependencies!$B$2:$G$230, 4,FALSE), $B$14:AA$73, AA$74,FALSE),"o")=$D$5,IFERROR(VLOOKUP(VLOOKUP($B19, Dependencies!$B$2:$G$230, 5,FALSE), $B$14:AA$73, AA$74,FALSE),"o")=$D$5,IFERROR(VLOOKUP(VLOOKUP($B19, Dependencies!$B$2:$G$230, 6,FALSE), $B$14:AA$73, AA$74,FALSE),"o")=$D$5),$D$5,Z19)))</f>
        <v>o</v>
      </c>
      <c r="AB19" s="94" t="s">
        <v>323</v>
      </c>
      <c r="AC19" s="72" t="str">
        <f>IF(AB19=$D$4,AB19,IF(OR(IFERROR(VLOOKUP(VLOOKUP($B19, Dependencies!$B$2:$G$230, 2,FALSE),$B$14:AC$73, AC$74,FALSE),"o")=$D$4,IFERROR(VLOOKUP(VLOOKUP($B19, Dependencies!$B$2:$G$230, 3,FALSE),$B$14:AC$73, AC$74,FALSE),"o")=$D$4,IFERROR(VLOOKUP(VLOOKUP($B19, Dependencies!$B$2:$G$230, 4,FALSE),$B$14:AC$73, AC$74,FALSE),"o")=$D$4,IFERROR(VLOOKUP(VLOOKUP($B19, Dependencies!$B$2:$G$230, 5,FALSE),$B$14:AC$73, AC$74,FALSE),"o")=$D$4,IFERROR(VLOOKUP(VLOOKUP($B19, Dependencies!$B$2:$G$230, 6,FALSE),$B$14:AC$73, AC$74,FALSE),"o")=$D$4),$D$4,IF(OR(IFERROR(VLOOKUP(VLOOKUP($B19, Dependencies!$B$2:$G$230, 2,FALSE), $B$14:AC$73, AC$74,FALSE),"o")=$D$5,IFERROR(VLOOKUP(VLOOKUP($B19, Dependencies!$B$2:$G$230, 3,FALSE), $B$14:AC$73, AC$74,FALSE),"o")=$D$5,IFERROR(VLOOKUP(VLOOKUP($B19, Dependencies!$B$2:$G$230, 4,FALSE), $B$14:AC$73, AC$74,FALSE),"o")=$D$5,IFERROR(VLOOKUP(VLOOKUP($B19, Dependencies!$B$2:$G$230, 5,FALSE), $B$14:AC$73, AC$74,FALSE),"o")=$D$5,IFERROR(VLOOKUP(VLOOKUP($B19, Dependencies!$B$2:$G$230, 6,FALSE), $B$14:AC$73, AC$74,FALSE),"o")=$D$5),$D$5,AB19)))</f>
        <v>o</v>
      </c>
      <c r="AD19" s="94" t="s">
        <v>323</v>
      </c>
      <c r="AE19" s="72" t="str">
        <f>IF(AD19=$D$4,AD19,IF(OR(IFERROR(VLOOKUP(VLOOKUP($B19, Dependencies!$B$2:$G$230, 2,FALSE),$B$14:AE$73, AE$74,FALSE),"o")=$D$4,IFERROR(VLOOKUP(VLOOKUP($B19, Dependencies!$B$2:$G$230, 3,FALSE),$B$14:AE$73, AE$74,FALSE),"o")=$D$4,IFERROR(VLOOKUP(VLOOKUP($B19, Dependencies!$B$2:$G$230, 4,FALSE),$B$14:AE$73, AE$74,FALSE),"o")=$D$4,IFERROR(VLOOKUP(VLOOKUP($B19, Dependencies!$B$2:$G$230, 5,FALSE),$B$14:AE$73, AE$74,FALSE),"o")=$D$4,IFERROR(VLOOKUP(VLOOKUP($B19, Dependencies!$B$2:$G$230, 6,FALSE),$B$14:AE$73, AE$74,FALSE),"o")=$D$4),$D$4,IF(OR(IFERROR(VLOOKUP(VLOOKUP($B19, Dependencies!$B$2:$G$230, 2,FALSE), $B$14:AE$73, AE$74,FALSE),"o")=$D$5,IFERROR(VLOOKUP(VLOOKUP($B19, Dependencies!$B$2:$G$230, 3,FALSE), $B$14:AE$73, AE$74,FALSE),"o")=$D$5,IFERROR(VLOOKUP(VLOOKUP($B19, Dependencies!$B$2:$G$230, 4,FALSE), $B$14:AE$73, AE$74,FALSE),"o")=$D$5,IFERROR(VLOOKUP(VLOOKUP($B19, Dependencies!$B$2:$G$230, 5,FALSE), $B$14:AE$73, AE$74,FALSE),"o")=$D$5,IFERROR(VLOOKUP(VLOOKUP($B19, Dependencies!$B$2:$G$230, 6,FALSE), $B$14:AE$73, AE$74,FALSE),"o")=$D$5),$D$5,AD19)))</f>
        <v>o</v>
      </c>
      <c r="AF19" s="94" t="s">
        <v>323</v>
      </c>
      <c r="AG19" s="72" t="str">
        <f>IF(AF19=$D$4,AF19,IF(OR(IFERROR(VLOOKUP(VLOOKUP($B19, Dependencies!$B$2:$G$230, 2,FALSE),$B$14:AG$73, AG$74,FALSE),"o")=$D$4,IFERROR(VLOOKUP(VLOOKUP($B19, Dependencies!$B$2:$G$230, 3,FALSE),$B$14:AG$73, AG$74,FALSE),"o")=$D$4,IFERROR(VLOOKUP(VLOOKUP($B19, Dependencies!$B$2:$G$230, 4,FALSE),$B$14:AG$73, AG$74,FALSE),"o")=$D$4,IFERROR(VLOOKUP(VLOOKUP($B19, Dependencies!$B$2:$G$230, 5,FALSE),$B$14:AG$73, AG$74,FALSE),"o")=$D$4,IFERROR(VLOOKUP(VLOOKUP($B19, Dependencies!$B$2:$G$230, 6,FALSE),$B$14:AG$73, AG$74,FALSE),"o")=$D$4),$D$4,IF(OR(IFERROR(VLOOKUP(VLOOKUP($B19, Dependencies!$B$2:$G$230, 2,FALSE), $B$14:AG$73, AG$74,FALSE),"o")=$D$5,IFERROR(VLOOKUP(VLOOKUP($B19, Dependencies!$B$2:$G$230, 3,FALSE), $B$14:AG$73, AG$74,FALSE),"o")=$D$5,IFERROR(VLOOKUP(VLOOKUP($B19, Dependencies!$B$2:$G$230, 4,FALSE), $B$14:AG$73, AG$74,FALSE),"o")=$D$5,IFERROR(VLOOKUP(VLOOKUP($B19, Dependencies!$B$2:$G$230, 5,FALSE), $B$14:AG$73, AG$74,FALSE),"o")=$D$5,IFERROR(VLOOKUP(VLOOKUP($B19, Dependencies!$B$2:$G$230, 6,FALSE), $B$14:AG$73, AG$74,FALSE),"o")=$D$5),$D$5,AF19)))</f>
        <v>o</v>
      </c>
      <c r="AH19" s="94" t="s">
        <v>323</v>
      </c>
      <c r="AI19" s="72" t="str">
        <f>IF(AH19=$D$4,AH19,IF(OR(IFERROR(VLOOKUP(VLOOKUP($B19, Dependencies!$B$2:$G$230, 2,FALSE),$B$14:AI$73, AI$74,FALSE),"o")=$D$4,IFERROR(VLOOKUP(VLOOKUP($B19, Dependencies!$B$2:$G$230, 3,FALSE),$B$14:AI$73, AI$74,FALSE),"o")=$D$4,IFERROR(VLOOKUP(VLOOKUP($B19, Dependencies!$B$2:$G$230, 4,FALSE),$B$14:AI$73, AI$74,FALSE),"o")=$D$4,IFERROR(VLOOKUP(VLOOKUP($B19, Dependencies!$B$2:$G$230, 5,FALSE),$B$14:AI$73, AI$74,FALSE),"o")=$D$4,IFERROR(VLOOKUP(VLOOKUP($B19, Dependencies!$B$2:$G$230, 6,FALSE),$B$14:AI$73, AI$74,FALSE),"o")=$D$4),$D$4,IF(OR(IFERROR(VLOOKUP(VLOOKUP($B19, Dependencies!$B$2:$G$230, 2,FALSE), $B$14:AI$73, AI$74,FALSE),"o")=$D$5,IFERROR(VLOOKUP(VLOOKUP($B19, Dependencies!$B$2:$G$230, 3,FALSE), $B$14:AI$73, AI$74,FALSE),"o")=$D$5,IFERROR(VLOOKUP(VLOOKUP($B19, Dependencies!$B$2:$G$230, 4,FALSE), $B$14:AI$73, AI$74,FALSE),"o")=$D$5,IFERROR(VLOOKUP(VLOOKUP($B19, Dependencies!$B$2:$G$230, 5,FALSE), $B$14:AI$73, AI$74,FALSE),"o")=$D$5,IFERROR(VLOOKUP(VLOOKUP($B19, Dependencies!$B$2:$G$230, 6,FALSE), $B$14:AI$73, AI$74,FALSE),"o")=$D$5),$D$5,AH19)))</f>
        <v>o</v>
      </c>
      <c r="AJ19" s="94" t="s">
        <v>323</v>
      </c>
      <c r="AK19" s="72" t="str">
        <f>IF(AJ19=$D$4,AJ19,IF(OR(IFERROR(VLOOKUP(VLOOKUP($B19, Dependencies!$B$2:$G$230, 2,FALSE),$B$14:AK$73, AK$74,FALSE),"o")=$D$4,IFERROR(VLOOKUP(VLOOKUP($B19, Dependencies!$B$2:$G$230, 3,FALSE),$B$14:AK$73, AK$74,FALSE),"o")=$D$4,IFERROR(VLOOKUP(VLOOKUP($B19, Dependencies!$B$2:$G$230, 4,FALSE),$B$14:AK$73, AK$74,FALSE),"o")=$D$4,IFERROR(VLOOKUP(VLOOKUP($B19, Dependencies!$B$2:$G$230, 5,FALSE),$B$14:AK$73, AK$74,FALSE),"o")=$D$4,IFERROR(VLOOKUP(VLOOKUP($B19, Dependencies!$B$2:$G$230, 6,FALSE),$B$14:AK$73, AK$74,FALSE),"o")=$D$4),$D$4,IF(OR(IFERROR(VLOOKUP(VLOOKUP($B19, Dependencies!$B$2:$G$230, 2,FALSE), $B$14:AK$73, AK$74,FALSE),"o")=$D$5,IFERROR(VLOOKUP(VLOOKUP($B19, Dependencies!$B$2:$G$230, 3,FALSE), $B$14:AK$73, AK$74,FALSE),"o")=$D$5,IFERROR(VLOOKUP(VLOOKUP($B19, Dependencies!$B$2:$G$230, 4,FALSE), $B$14:AK$73, AK$74,FALSE),"o")=$D$5,IFERROR(VLOOKUP(VLOOKUP($B19, Dependencies!$B$2:$G$230, 5,FALSE), $B$14:AK$73, AK$74,FALSE),"o")=$D$5,IFERROR(VLOOKUP(VLOOKUP($B19, Dependencies!$B$2:$G$230, 6,FALSE), $B$14:AK$73, AK$74,FALSE),"o")=$D$5),$D$5,AJ19)))</f>
        <v>o</v>
      </c>
      <c r="AL19" s="94" t="s">
        <v>323</v>
      </c>
      <c r="AM19" s="72" t="str">
        <f>IF(AL19=$D$4,AL19,IF(OR(IFERROR(VLOOKUP(VLOOKUP($B19, Dependencies!$B$2:$G$230, 2,FALSE),$B$14:AM$73, AM$74,FALSE),"o")=$D$4,IFERROR(VLOOKUP(VLOOKUP($B19, Dependencies!$B$2:$G$230, 3,FALSE),$B$14:AM$73, AM$74,FALSE),"o")=$D$4,IFERROR(VLOOKUP(VLOOKUP($B19, Dependencies!$B$2:$G$230, 4,FALSE),$B$14:AM$73, AM$74,FALSE),"o")=$D$4,IFERROR(VLOOKUP(VLOOKUP($B19, Dependencies!$B$2:$G$230, 5,FALSE),$B$14:AM$73, AM$74,FALSE),"o")=$D$4,IFERROR(VLOOKUP(VLOOKUP($B19, Dependencies!$B$2:$G$230, 6,FALSE),$B$14:AM$73, AM$74,FALSE),"o")=$D$4),$D$4,IF(OR(IFERROR(VLOOKUP(VLOOKUP($B19, Dependencies!$B$2:$G$230, 2,FALSE), $B$14:AM$73, AM$74,FALSE),"o")=$D$5,IFERROR(VLOOKUP(VLOOKUP($B19, Dependencies!$B$2:$G$230, 3,FALSE), $B$14:AM$73, AM$74,FALSE),"o")=$D$5,IFERROR(VLOOKUP(VLOOKUP($B19, Dependencies!$B$2:$G$230, 4,FALSE), $B$14:AM$73, AM$74,FALSE),"o")=$D$5,IFERROR(VLOOKUP(VLOOKUP($B19, Dependencies!$B$2:$G$230, 5,FALSE), $B$14:AM$73, AM$74,FALSE),"o")=$D$5,IFERROR(VLOOKUP(VLOOKUP($B19, Dependencies!$B$2:$G$230, 6,FALSE), $B$14:AM$73, AM$74,FALSE),"o")=$D$5),$D$5,AL19)))</f>
        <v>o</v>
      </c>
      <c r="AN19" s="94" t="s">
        <v>323</v>
      </c>
      <c r="AO19" s="72" t="str">
        <f>IF(AN19=$D$4,AN19,IF(OR(IFERROR(VLOOKUP(VLOOKUP($B19, Dependencies!$B$2:$G$230, 2,FALSE),$B$14:AO$73, AO$74,FALSE),"o")=$D$4,IFERROR(VLOOKUP(VLOOKUP($B19, Dependencies!$B$2:$G$230, 3,FALSE),$B$14:AO$73, AO$74,FALSE),"o")=$D$4,IFERROR(VLOOKUP(VLOOKUP($B19, Dependencies!$B$2:$G$230, 4,FALSE),$B$14:AO$73, AO$74,FALSE),"o")=$D$4,IFERROR(VLOOKUP(VLOOKUP($B19, Dependencies!$B$2:$G$230, 5,FALSE),$B$14:AO$73, AO$74,FALSE),"o")=$D$4,IFERROR(VLOOKUP(VLOOKUP($B19, Dependencies!$B$2:$G$230, 6,FALSE),$B$14:AO$73, AO$74,FALSE),"o")=$D$4),$D$4,IF(OR(IFERROR(VLOOKUP(VLOOKUP($B19, Dependencies!$B$2:$G$230, 2,FALSE), $B$14:AO$73, AO$74,FALSE),"o")=$D$5,IFERROR(VLOOKUP(VLOOKUP($B19, Dependencies!$B$2:$G$230, 3,FALSE), $B$14:AO$73, AO$74,FALSE),"o")=$D$5,IFERROR(VLOOKUP(VLOOKUP($B19, Dependencies!$B$2:$G$230, 4,FALSE), $B$14:AO$73, AO$74,FALSE),"o")=$D$5,IFERROR(VLOOKUP(VLOOKUP($B19, Dependencies!$B$2:$G$230, 5,FALSE), $B$14:AO$73, AO$74,FALSE),"o")=$D$5,IFERROR(VLOOKUP(VLOOKUP($B19, Dependencies!$B$2:$G$230, 6,FALSE), $B$14:AO$73, AO$74,FALSE),"o")=$D$5),$D$5,AN19)))</f>
        <v>o</v>
      </c>
      <c r="AP19" s="94" t="s">
        <v>323</v>
      </c>
      <c r="AQ19" s="72" t="str">
        <f>IF(AP19=$D$4,AP19,IF(OR(IFERROR(VLOOKUP(VLOOKUP($B19, Dependencies!$B$2:$G$230, 2,FALSE),$B$14:AQ$73, AQ$74,FALSE),"o")=$D$4,IFERROR(VLOOKUP(VLOOKUP($B19, Dependencies!$B$2:$G$230, 3,FALSE),$B$14:AQ$73, AQ$74,FALSE),"o")=$D$4,IFERROR(VLOOKUP(VLOOKUP($B19, Dependencies!$B$2:$G$230, 4,FALSE),$B$14:AQ$73, AQ$74,FALSE),"o")=$D$4,IFERROR(VLOOKUP(VLOOKUP($B19, Dependencies!$B$2:$G$230, 5,FALSE),$B$14:AQ$73, AQ$74,FALSE),"o")=$D$4,IFERROR(VLOOKUP(VLOOKUP($B19, Dependencies!$B$2:$G$230, 6,FALSE),$B$14:AQ$73, AQ$74,FALSE),"o")=$D$4),$D$4,IF(OR(IFERROR(VLOOKUP(VLOOKUP($B19, Dependencies!$B$2:$G$230, 2,FALSE), $B$14:AQ$73, AQ$74,FALSE),"o")=$D$5,IFERROR(VLOOKUP(VLOOKUP($B19, Dependencies!$B$2:$G$230, 3,FALSE), $B$14:AQ$73, AQ$74,FALSE),"o")=$D$5,IFERROR(VLOOKUP(VLOOKUP($B19, Dependencies!$B$2:$G$230, 4,FALSE), $B$14:AQ$73, AQ$74,FALSE),"o")=$D$5,IFERROR(VLOOKUP(VLOOKUP($B19, Dependencies!$B$2:$G$230, 5,FALSE), $B$14:AQ$73, AQ$74,FALSE),"o")=$D$5,IFERROR(VLOOKUP(VLOOKUP($B19, Dependencies!$B$2:$G$230, 6,FALSE), $B$14:AQ$73, AQ$74,FALSE),"o")=$D$5),$D$5,AP19)))</f>
        <v>o</v>
      </c>
      <c r="AR19" s="94" t="s">
        <v>323</v>
      </c>
      <c r="AS19" s="71" t="str">
        <f>IF(AR19=$D$4,AR19,IF(OR(IFERROR(VLOOKUP(VLOOKUP($B19, Dependencies!$B$2:$G$230, 2,FALSE),$B$14:AS$73, AS$74,FALSE),"o")=$D$4,IFERROR(VLOOKUP(VLOOKUP($B19, Dependencies!$B$2:$G$230, 3,FALSE),$B$14:AS$73, AS$74,FALSE),"o")=$D$4,IFERROR(VLOOKUP(VLOOKUP($B19, Dependencies!$B$2:$G$230, 4,FALSE),$B$14:AS$73, AS$74,FALSE),"o")=$D$4,IFERROR(VLOOKUP(VLOOKUP($B19, Dependencies!$B$2:$G$230, 5,FALSE),$B$14:AS$73, AS$74,FALSE),"o")=$D$4,IFERROR(VLOOKUP(VLOOKUP($B19, Dependencies!$B$2:$G$230, 6,FALSE),$B$14:AS$73, AS$74,FALSE),"o")=$D$4),$D$4,IF(OR(IFERROR(VLOOKUP(VLOOKUP($B19, Dependencies!$B$2:$G$230, 2,FALSE), $B$14:AS$73, AS$74,FALSE),"o")=$D$5,IFERROR(VLOOKUP(VLOOKUP($B19, Dependencies!$B$2:$G$230, 3,FALSE), $B$14:AS$73, AS$74,FALSE),"o")=$D$5,IFERROR(VLOOKUP(VLOOKUP($B19, Dependencies!$B$2:$G$230, 4,FALSE), $B$14:AS$73, AS$74,FALSE),"o")=$D$5,IFERROR(VLOOKUP(VLOOKUP($B19, Dependencies!$B$2:$G$230, 5,FALSE), $B$14:AS$73, AS$74,FALSE),"o")=$D$5,IFERROR(VLOOKUP(VLOOKUP($B19, Dependencies!$B$2:$G$230, 6,FALSE), $B$14:AS$73, AS$74,FALSE),"o")=$D$5),$D$5,AR19)))</f>
        <v>o</v>
      </c>
    </row>
    <row r="20" spans="1:47" x14ac:dyDescent="0.2">
      <c r="A20" s="40"/>
      <c r="B20" s="73" t="str">
        <f>MLEOsv2!A8</f>
        <v>MLEO_00_07</v>
      </c>
      <c r="C20" s="73">
        <f>MLEOsv2!C8</f>
        <v>1</v>
      </c>
      <c r="D20" s="42" t="str">
        <f>MLEOsv2!G8</f>
        <v>implement reference type attributes.</v>
      </c>
      <c r="E20" s="51" t="b">
        <f>MLEOsv2!H8</f>
        <v>1</v>
      </c>
      <c r="F20" s="93" t="s">
        <v>320</v>
      </c>
      <c r="G20" s="70" t="str">
        <f>IF(F20=$D$4,F20,IF(OR(IFERROR(VLOOKUP(VLOOKUP($B20, Dependencies!$B$2:$G$230, 2,FALSE),$B$14:G$73, G$74,FALSE),"o")=$D$4,IFERROR(VLOOKUP(VLOOKUP($B20, Dependencies!$B$2:$G$230, 3,FALSE),$B$14:G$73, G$74,FALSE),"o")=$D$4,IFERROR(VLOOKUP(VLOOKUP($B20, Dependencies!$B$2:$G$230, 4,FALSE),$B$14:G$73, G$74,FALSE),"o")=$D$4,IFERROR(VLOOKUP(VLOOKUP($B20, Dependencies!$B$2:$G$230, 5,FALSE),$B$14:G$73, G$74,FALSE),"o")=$D$4,IFERROR(VLOOKUP(VLOOKUP($B20, Dependencies!$B$2:$G$230, 6,FALSE),$B$14:G$73, G$74,FALSE),"o")=$D$4),$D$4,IF(OR(IFERROR(VLOOKUP(VLOOKUP($B20, Dependencies!$B$2:$G$230, 2,FALSE), $B$14:G$73, G$74,FALSE),"o")=$D$5,IFERROR(VLOOKUP(VLOOKUP($B20, Dependencies!$B$2:$G$230, 3,FALSE), $B$14:G$73, G$74,FALSE),"o")=$D$5,IFERROR(VLOOKUP(VLOOKUP($B20, Dependencies!$B$2:$G$230, 4,FALSE), $B$14:G$73, G$74,FALSE),"o")=$D$5,IFERROR(VLOOKUP(VLOOKUP($B20, Dependencies!$B$2:$G$230, 5,FALSE), $B$14:G$73, G$74,FALSE),"o")=$D$5,IFERROR(VLOOKUP(VLOOKUP($B20, Dependencies!$B$2:$G$230, 6,FALSE), $B$14:G$73, G$74,FALSE),"o")=$D$5),$D$5,F20)))</f>
        <v>r</v>
      </c>
      <c r="H20" s="93" t="s">
        <v>321</v>
      </c>
      <c r="I20" s="70" t="str">
        <f>IF(H20=$D$4,H20,IF(OR(IFERROR(VLOOKUP(VLOOKUP($B20, Dependencies!$B$2:$G$230, 2,FALSE),$B$14:I$73, I$74,FALSE),"o")=$D$4,IFERROR(VLOOKUP(VLOOKUP($B20, Dependencies!$B$2:$G$230, 3,FALSE),$B$14:I$73, I$74,FALSE),"o")=$D$4,IFERROR(VLOOKUP(VLOOKUP($B20, Dependencies!$B$2:$G$230, 4,FALSE),$B$14:I$73, I$74,FALSE),"o")=$D$4,IFERROR(VLOOKUP(VLOOKUP($B20, Dependencies!$B$2:$G$230, 5,FALSE),$B$14:I$73, I$74,FALSE),"o")=$D$4,IFERROR(VLOOKUP(VLOOKUP($B20, Dependencies!$B$2:$G$230, 6,FALSE),$B$14:I$73, I$74,FALSE),"o")=$D$4),$D$4,IF(OR(IFERROR(VLOOKUP(VLOOKUP($B20, Dependencies!$B$2:$G$230, 2,FALSE), $B$14:I$73, I$74,FALSE),"o")=$D$5,IFERROR(VLOOKUP(VLOOKUP($B20, Dependencies!$B$2:$G$230, 3,FALSE), $B$14:I$73, I$74,FALSE),"o")=$D$5,IFERROR(VLOOKUP(VLOOKUP($B20, Dependencies!$B$2:$G$230, 4,FALSE), $B$14:I$73, I$74,FALSE),"o")=$D$5,IFERROR(VLOOKUP(VLOOKUP($B20, Dependencies!$B$2:$G$230, 5,FALSE), $B$14:I$73, I$74,FALSE),"o")=$D$5,IFERROR(VLOOKUP(VLOOKUP($B20, Dependencies!$B$2:$G$230, 6,FALSE), $B$14:I$73, I$74,FALSE),"o")=$D$5),$D$5,H20)))</f>
        <v>pr</v>
      </c>
      <c r="J20" s="93" t="s">
        <v>320</v>
      </c>
      <c r="K20" s="70" t="str">
        <f>IF(J20=$D$4,J20,IF(OR(IFERROR(VLOOKUP(VLOOKUP($B20, Dependencies!$B$2:$G$230, 2,FALSE),$B$14:K$73, K$74,FALSE),"o")=$D$4,IFERROR(VLOOKUP(VLOOKUP($B20, Dependencies!$B$2:$G$230, 3,FALSE),$B$14:K$73, K$74,FALSE),"o")=$D$4,IFERROR(VLOOKUP(VLOOKUP($B20, Dependencies!$B$2:$G$230, 4,FALSE),$B$14:K$73, K$74,FALSE),"o")=$D$4,IFERROR(VLOOKUP(VLOOKUP($B20, Dependencies!$B$2:$G$230, 5,FALSE),$B$14:K$73, K$74,FALSE),"o")=$D$4,IFERROR(VLOOKUP(VLOOKUP($B20, Dependencies!$B$2:$G$230, 6,FALSE),$B$14:K$73, K$74,FALSE),"o")=$D$4),$D$4,IF(OR(IFERROR(VLOOKUP(VLOOKUP($B20, Dependencies!$B$2:$G$230, 2,FALSE), $B$14:K$73, K$74,FALSE),"o")=$D$5,IFERROR(VLOOKUP(VLOOKUP($B20, Dependencies!$B$2:$G$230, 3,FALSE), $B$14:K$73, K$74,FALSE),"o")=$D$5,IFERROR(VLOOKUP(VLOOKUP($B20, Dependencies!$B$2:$G$230, 4,FALSE), $B$14:K$73, K$74,FALSE),"o")=$D$5,IFERROR(VLOOKUP(VLOOKUP($B20, Dependencies!$B$2:$G$230, 5,FALSE), $B$14:K$73, K$74,FALSE),"o")=$D$5,IFERROR(VLOOKUP(VLOOKUP($B20, Dependencies!$B$2:$G$230, 6,FALSE), $B$14:K$73, K$74,FALSE),"o")=$D$5),$D$5,J20)))</f>
        <v>r</v>
      </c>
      <c r="L20" s="93" t="s">
        <v>323</v>
      </c>
      <c r="M20" s="70" t="str">
        <f>IF(L20=$D$4,L20,IF(OR(IFERROR(VLOOKUP(VLOOKUP($B20, Dependencies!$B$2:$G$230, 2,FALSE),$B$14:M$73, M$74,FALSE),"o")=$D$4,IFERROR(VLOOKUP(VLOOKUP($B20, Dependencies!$B$2:$G$230, 3,FALSE),$B$14:M$73, M$74,FALSE),"o")=$D$4,IFERROR(VLOOKUP(VLOOKUP($B20, Dependencies!$B$2:$G$230, 4,FALSE),$B$14:M$73, M$74,FALSE),"o")=$D$4,IFERROR(VLOOKUP(VLOOKUP($B20, Dependencies!$B$2:$G$230, 5,FALSE),$B$14:M$73, M$74,FALSE),"o")=$D$4,IFERROR(VLOOKUP(VLOOKUP($B20, Dependencies!$B$2:$G$230, 6,FALSE),$B$14:M$73, M$74,FALSE),"o")=$D$4),$D$4,IF(OR(IFERROR(VLOOKUP(VLOOKUP($B20, Dependencies!$B$2:$G$230, 2,FALSE), $B$14:M$73, M$74,FALSE),"o")=$D$5,IFERROR(VLOOKUP(VLOOKUP($B20, Dependencies!$B$2:$G$230, 3,FALSE), $B$14:M$73, M$74,FALSE),"o")=$D$5,IFERROR(VLOOKUP(VLOOKUP($B20, Dependencies!$B$2:$G$230, 4,FALSE), $B$14:M$73, M$74,FALSE),"o")=$D$5,IFERROR(VLOOKUP(VLOOKUP($B20, Dependencies!$B$2:$G$230, 5,FALSE), $B$14:M$73, M$74,FALSE),"o")=$D$5,IFERROR(VLOOKUP(VLOOKUP($B20, Dependencies!$B$2:$G$230, 6,FALSE), $B$14:M$73, M$74,FALSE),"o")=$D$5),$D$5,L20)))</f>
        <v>o</v>
      </c>
      <c r="N20" s="93" t="s">
        <v>323</v>
      </c>
      <c r="O20" s="70" t="str">
        <f>IF(N20=$D$4,N20,IF(OR(IFERROR(VLOOKUP(VLOOKUP($B20, Dependencies!$B$2:$G$230, 2,FALSE),$B$14:O$73, O$74,FALSE),"o")=$D$4,IFERROR(VLOOKUP(VLOOKUP($B20, Dependencies!$B$2:$G$230, 3,FALSE),$B$14:O$73, O$74,FALSE),"o")=$D$4,IFERROR(VLOOKUP(VLOOKUP($B20, Dependencies!$B$2:$G$230, 4,FALSE),$B$14:O$73, O$74,FALSE),"o")=$D$4,IFERROR(VLOOKUP(VLOOKUP($B20, Dependencies!$B$2:$G$230, 5,FALSE),$B$14:O$73, O$74,FALSE),"o")=$D$4,IFERROR(VLOOKUP(VLOOKUP($B20, Dependencies!$B$2:$G$230, 6,FALSE),$B$14:O$73, O$74,FALSE),"o")=$D$4),$D$4,IF(OR(IFERROR(VLOOKUP(VLOOKUP($B20, Dependencies!$B$2:$G$230, 2,FALSE), $B$14:O$73, O$74,FALSE),"o")=$D$5,IFERROR(VLOOKUP(VLOOKUP($B20, Dependencies!$B$2:$G$230, 3,FALSE), $B$14:O$73, O$74,FALSE),"o")=$D$5,IFERROR(VLOOKUP(VLOOKUP($B20, Dependencies!$B$2:$G$230, 4,FALSE), $B$14:O$73, O$74,FALSE),"o")=$D$5,IFERROR(VLOOKUP(VLOOKUP($B20, Dependencies!$B$2:$G$230, 5,FALSE), $B$14:O$73, O$74,FALSE),"o")=$D$5,IFERROR(VLOOKUP(VLOOKUP($B20, Dependencies!$B$2:$G$230, 6,FALSE), $B$14:O$73, O$74,FALSE),"o")=$D$5),$D$5,N20)))</f>
        <v>o</v>
      </c>
      <c r="P20" s="93" t="s">
        <v>323</v>
      </c>
      <c r="Q20" s="70" t="str">
        <f>IF(P20=$D$4,P20,IF(OR(IFERROR(VLOOKUP(VLOOKUP($B20, Dependencies!$B$2:$G$230, 2,FALSE),$B$14:Q$73, Q$74,FALSE),"o")=$D$4,IFERROR(VLOOKUP(VLOOKUP($B20, Dependencies!$B$2:$G$230, 3,FALSE),$B$14:Q$73, Q$74,FALSE),"o")=$D$4,IFERROR(VLOOKUP(VLOOKUP($B20, Dependencies!$B$2:$G$230, 4,FALSE),$B$14:Q$73, Q$74,FALSE),"o")=$D$4,IFERROR(VLOOKUP(VLOOKUP($B20, Dependencies!$B$2:$G$230, 5,FALSE),$B$14:Q$73, Q$74,FALSE),"o")=$D$4,IFERROR(VLOOKUP(VLOOKUP($B20, Dependencies!$B$2:$G$230, 6,FALSE),$B$14:Q$73, Q$74,FALSE),"o")=$D$4),$D$4,IF(OR(IFERROR(VLOOKUP(VLOOKUP($B20, Dependencies!$B$2:$G$230, 2,FALSE), $B$14:Q$73, Q$74,FALSE),"o")=$D$5,IFERROR(VLOOKUP(VLOOKUP($B20, Dependencies!$B$2:$G$230, 3,FALSE), $B$14:Q$73, Q$74,FALSE),"o")=$D$5,IFERROR(VLOOKUP(VLOOKUP($B20, Dependencies!$B$2:$G$230, 4,FALSE), $B$14:Q$73, Q$74,FALSE),"o")=$D$5,IFERROR(VLOOKUP(VLOOKUP($B20, Dependencies!$B$2:$G$230, 5,FALSE), $B$14:Q$73, Q$74,FALSE),"o")=$D$5,IFERROR(VLOOKUP(VLOOKUP($B20, Dependencies!$B$2:$G$230, 6,FALSE), $B$14:Q$73, Q$74,FALSE),"o")=$D$5),$D$5,P20)))</f>
        <v>o</v>
      </c>
      <c r="R20" s="93" t="s">
        <v>323</v>
      </c>
      <c r="S20" s="70" t="str">
        <f>IF(R20=$D$4,R20,IF(OR(IFERROR(VLOOKUP(VLOOKUP($B20, Dependencies!$B$2:$G$230, 2,FALSE),$B$14:S$73, S$74,FALSE),"o")=$D$4,IFERROR(VLOOKUP(VLOOKUP($B20, Dependencies!$B$2:$G$230, 3,FALSE),$B$14:S$73, S$74,FALSE),"o")=$D$4,IFERROR(VLOOKUP(VLOOKUP($B20, Dependencies!$B$2:$G$230, 4,FALSE),$B$14:S$73, S$74,FALSE),"o")=$D$4,IFERROR(VLOOKUP(VLOOKUP($B20, Dependencies!$B$2:$G$230, 5,FALSE),$B$14:S$73, S$74,FALSE),"o")=$D$4,IFERROR(VLOOKUP(VLOOKUP($B20, Dependencies!$B$2:$G$230, 6,FALSE),$B$14:S$73, S$74,FALSE),"o")=$D$4),$D$4,IF(OR(IFERROR(VLOOKUP(VLOOKUP($B20, Dependencies!$B$2:$G$230, 2,FALSE), $B$14:S$73, S$74,FALSE),"o")=$D$5,IFERROR(VLOOKUP(VLOOKUP($B20, Dependencies!$B$2:$G$230, 3,FALSE), $B$14:S$73, S$74,FALSE),"o")=$D$5,IFERROR(VLOOKUP(VLOOKUP($B20, Dependencies!$B$2:$G$230, 4,FALSE), $B$14:S$73, S$74,FALSE),"o")=$D$5,IFERROR(VLOOKUP(VLOOKUP($B20, Dependencies!$B$2:$G$230, 5,FALSE), $B$14:S$73, S$74,FALSE),"o")=$D$5,IFERROR(VLOOKUP(VLOOKUP($B20, Dependencies!$B$2:$G$230, 6,FALSE), $B$14:S$73, S$74,FALSE),"o")=$D$5),$D$5,R20)))</f>
        <v>o</v>
      </c>
      <c r="T20" s="93" t="s">
        <v>323</v>
      </c>
      <c r="U20" s="70" t="str">
        <f>IF(T20=$D$4,T20,IF(OR(IFERROR(VLOOKUP(VLOOKUP($B20, Dependencies!$B$2:$G$230, 2,FALSE),$B$14:U$73, U$74,FALSE),"o")=$D$4,IFERROR(VLOOKUP(VLOOKUP($B20, Dependencies!$B$2:$G$230, 3,FALSE),$B$14:U$73, U$74,FALSE),"o")=$D$4,IFERROR(VLOOKUP(VLOOKUP($B20, Dependencies!$B$2:$G$230, 4,FALSE),$B$14:U$73, U$74,FALSE),"o")=$D$4,IFERROR(VLOOKUP(VLOOKUP($B20, Dependencies!$B$2:$G$230, 5,FALSE),$B$14:U$73, U$74,FALSE),"o")=$D$4,IFERROR(VLOOKUP(VLOOKUP($B20, Dependencies!$B$2:$G$230, 6,FALSE),$B$14:U$73, U$74,FALSE),"o")=$D$4),$D$4,IF(OR(IFERROR(VLOOKUP(VLOOKUP($B20, Dependencies!$B$2:$G$230, 2,FALSE), $B$14:U$73, U$74,FALSE),"o")=$D$5,IFERROR(VLOOKUP(VLOOKUP($B20, Dependencies!$B$2:$G$230, 3,FALSE), $B$14:U$73, U$74,FALSE),"o")=$D$5,IFERROR(VLOOKUP(VLOOKUP($B20, Dependencies!$B$2:$G$230, 4,FALSE), $B$14:U$73, U$74,FALSE),"o")=$D$5,IFERROR(VLOOKUP(VLOOKUP($B20, Dependencies!$B$2:$G$230, 5,FALSE), $B$14:U$73, U$74,FALSE),"o")=$D$5,IFERROR(VLOOKUP(VLOOKUP($B20, Dependencies!$B$2:$G$230, 6,FALSE), $B$14:U$73, U$74,FALSE),"o")=$D$5),$D$5,T20)))</f>
        <v>o</v>
      </c>
      <c r="V20" s="93" t="s">
        <v>323</v>
      </c>
      <c r="W20" s="70" t="str">
        <f>IF(V20=$D$4,V20,IF(OR(IFERROR(VLOOKUP(VLOOKUP($B20, Dependencies!$B$2:$G$230, 2,FALSE),$B$14:W$73, W$74,FALSE),"o")=$D$4,IFERROR(VLOOKUP(VLOOKUP($B20, Dependencies!$B$2:$G$230, 3,FALSE),$B$14:W$73, W$74,FALSE),"o")=$D$4,IFERROR(VLOOKUP(VLOOKUP($B20, Dependencies!$B$2:$G$230, 4,FALSE),$B$14:W$73, W$74,FALSE),"o")=$D$4,IFERROR(VLOOKUP(VLOOKUP($B20, Dependencies!$B$2:$G$230, 5,FALSE),$B$14:W$73, W$74,FALSE),"o")=$D$4,IFERROR(VLOOKUP(VLOOKUP($B20, Dependencies!$B$2:$G$230, 6,FALSE),$B$14:W$73, W$74,FALSE),"o")=$D$4),$D$4,IF(OR(IFERROR(VLOOKUP(VLOOKUP($B20, Dependencies!$B$2:$G$230, 2,FALSE), $B$14:W$73, W$74,FALSE),"o")=$D$5,IFERROR(VLOOKUP(VLOOKUP($B20, Dependencies!$B$2:$G$230, 3,FALSE), $B$14:W$73, W$74,FALSE),"o")=$D$5,IFERROR(VLOOKUP(VLOOKUP($B20, Dependencies!$B$2:$G$230, 4,FALSE), $B$14:W$73, W$74,FALSE),"o")=$D$5,IFERROR(VLOOKUP(VLOOKUP($B20, Dependencies!$B$2:$G$230, 5,FALSE), $B$14:W$73, W$74,FALSE),"o")=$D$5,IFERROR(VLOOKUP(VLOOKUP($B20, Dependencies!$B$2:$G$230, 6,FALSE), $B$14:W$73, W$74,FALSE),"o")=$D$5),$D$5,V20)))</f>
        <v>o</v>
      </c>
      <c r="X20" s="93" t="s">
        <v>323</v>
      </c>
      <c r="Y20" s="70" t="str">
        <f>IF(X20=$D$4,X20,IF(OR(IFERROR(VLOOKUP(VLOOKUP($B20, Dependencies!$B$2:$G$230, 2,FALSE),$B$14:Y$73, Y$74,FALSE),"o")=$D$4,IFERROR(VLOOKUP(VLOOKUP($B20, Dependencies!$B$2:$G$230, 3,FALSE),$B$14:Y$73, Y$74,FALSE),"o")=$D$4,IFERROR(VLOOKUP(VLOOKUP($B20, Dependencies!$B$2:$G$230, 4,FALSE),$B$14:Y$73, Y$74,FALSE),"o")=$D$4,IFERROR(VLOOKUP(VLOOKUP($B20, Dependencies!$B$2:$G$230, 5,FALSE),$B$14:Y$73, Y$74,FALSE),"o")=$D$4,IFERROR(VLOOKUP(VLOOKUP($B20, Dependencies!$B$2:$G$230, 6,FALSE),$B$14:Y$73, Y$74,FALSE),"o")=$D$4),$D$4,IF(OR(IFERROR(VLOOKUP(VLOOKUP($B20, Dependencies!$B$2:$G$230, 2,FALSE), $B$14:Y$73, Y$74,FALSE),"o")=$D$5,IFERROR(VLOOKUP(VLOOKUP($B20, Dependencies!$B$2:$G$230, 3,FALSE), $B$14:Y$73, Y$74,FALSE),"o")=$D$5,IFERROR(VLOOKUP(VLOOKUP($B20, Dependencies!$B$2:$G$230, 4,FALSE), $B$14:Y$73, Y$74,FALSE),"o")=$D$5,IFERROR(VLOOKUP(VLOOKUP($B20, Dependencies!$B$2:$G$230, 5,FALSE), $B$14:Y$73, Y$74,FALSE),"o")=$D$5,IFERROR(VLOOKUP(VLOOKUP($B20, Dependencies!$B$2:$G$230, 6,FALSE), $B$14:Y$73, Y$74,FALSE),"o")=$D$5),$D$5,X20)))</f>
        <v>o</v>
      </c>
      <c r="Z20" s="93" t="s">
        <v>323</v>
      </c>
      <c r="AA20" s="70" t="str">
        <f>IF(Z20=$D$4,Z20,IF(OR(IFERROR(VLOOKUP(VLOOKUP($B20, Dependencies!$B$2:$G$230, 2,FALSE),$B$14:AA$73, AA$74,FALSE),"o")=$D$4,IFERROR(VLOOKUP(VLOOKUP($B20, Dependencies!$B$2:$G$230, 3,FALSE),$B$14:AA$73, AA$74,FALSE),"o")=$D$4,IFERROR(VLOOKUP(VLOOKUP($B20, Dependencies!$B$2:$G$230, 4,FALSE),$B$14:AA$73, AA$74,FALSE),"o")=$D$4,IFERROR(VLOOKUP(VLOOKUP($B20, Dependencies!$B$2:$G$230, 5,FALSE),$B$14:AA$73, AA$74,FALSE),"o")=$D$4,IFERROR(VLOOKUP(VLOOKUP($B20, Dependencies!$B$2:$G$230, 6,FALSE),$B$14:AA$73, AA$74,FALSE),"o")=$D$4),$D$4,IF(OR(IFERROR(VLOOKUP(VLOOKUP($B20, Dependencies!$B$2:$G$230, 2,FALSE), $B$14:AA$73, AA$74,FALSE),"o")=$D$5,IFERROR(VLOOKUP(VLOOKUP($B20, Dependencies!$B$2:$G$230, 3,FALSE), $B$14:AA$73, AA$74,FALSE),"o")=$D$5,IFERROR(VLOOKUP(VLOOKUP($B20, Dependencies!$B$2:$G$230, 4,FALSE), $B$14:AA$73, AA$74,FALSE),"o")=$D$5,IFERROR(VLOOKUP(VLOOKUP($B20, Dependencies!$B$2:$G$230, 5,FALSE), $B$14:AA$73, AA$74,FALSE),"o")=$D$5,IFERROR(VLOOKUP(VLOOKUP($B20, Dependencies!$B$2:$G$230, 6,FALSE), $B$14:AA$73, AA$74,FALSE),"o")=$D$5),$D$5,Z20)))</f>
        <v>o</v>
      </c>
      <c r="AB20" s="93" t="s">
        <v>323</v>
      </c>
      <c r="AC20" s="70" t="str">
        <f>IF(AB20=$D$4,AB20,IF(OR(IFERROR(VLOOKUP(VLOOKUP($B20, Dependencies!$B$2:$G$230, 2,FALSE),$B$14:AC$73, AC$74,FALSE),"o")=$D$4,IFERROR(VLOOKUP(VLOOKUP($B20, Dependencies!$B$2:$G$230, 3,FALSE),$B$14:AC$73, AC$74,FALSE),"o")=$D$4,IFERROR(VLOOKUP(VLOOKUP($B20, Dependencies!$B$2:$G$230, 4,FALSE),$B$14:AC$73, AC$74,FALSE),"o")=$D$4,IFERROR(VLOOKUP(VLOOKUP($B20, Dependencies!$B$2:$G$230, 5,FALSE),$B$14:AC$73, AC$74,FALSE),"o")=$D$4,IFERROR(VLOOKUP(VLOOKUP($B20, Dependencies!$B$2:$G$230, 6,FALSE),$B$14:AC$73, AC$74,FALSE),"o")=$D$4),$D$4,IF(OR(IFERROR(VLOOKUP(VLOOKUP($B20, Dependencies!$B$2:$G$230, 2,FALSE), $B$14:AC$73, AC$74,FALSE),"o")=$D$5,IFERROR(VLOOKUP(VLOOKUP($B20, Dependencies!$B$2:$G$230, 3,FALSE), $B$14:AC$73, AC$74,FALSE),"o")=$D$5,IFERROR(VLOOKUP(VLOOKUP($B20, Dependencies!$B$2:$G$230, 4,FALSE), $B$14:AC$73, AC$74,FALSE),"o")=$D$5,IFERROR(VLOOKUP(VLOOKUP($B20, Dependencies!$B$2:$G$230, 5,FALSE), $B$14:AC$73, AC$74,FALSE),"o")=$D$5,IFERROR(VLOOKUP(VLOOKUP($B20, Dependencies!$B$2:$G$230, 6,FALSE), $B$14:AC$73, AC$74,FALSE),"o")=$D$5),$D$5,AB20)))</f>
        <v>o</v>
      </c>
      <c r="AD20" s="93" t="s">
        <v>323</v>
      </c>
      <c r="AE20" s="70" t="str">
        <f>IF(AD20=$D$4,AD20,IF(OR(IFERROR(VLOOKUP(VLOOKUP($B20, Dependencies!$B$2:$G$230, 2,FALSE),$B$14:AE$73, AE$74,FALSE),"o")=$D$4,IFERROR(VLOOKUP(VLOOKUP($B20, Dependencies!$B$2:$G$230, 3,FALSE),$B$14:AE$73, AE$74,FALSE),"o")=$D$4,IFERROR(VLOOKUP(VLOOKUP($B20, Dependencies!$B$2:$G$230, 4,FALSE),$B$14:AE$73, AE$74,FALSE),"o")=$D$4,IFERROR(VLOOKUP(VLOOKUP($B20, Dependencies!$B$2:$G$230, 5,FALSE),$B$14:AE$73, AE$74,FALSE),"o")=$D$4,IFERROR(VLOOKUP(VLOOKUP($B20, Dependencies!$B$2:$G$230, 6,FALSE),$B$14:AE$73, AE$74,FALSE),"o")=$D$4),$D$4,IF(OR(IFERROR(VLOOKUP(VLOOKUP($B20, Dependencies!$B$2:$G$230, 2,FALSE), $B$14:AE$73, AE$74,FALSE),"o")=$D$5,IFERROR(VLOOKUP(VLOOKUP($B20, Dependencies!$B$2:$G$230, 3,FALSE), $B$14:AE$73, AE$74,FALSE),"o")=$D$5,IFERROR(VLOOKUP(VLOOKUP($B20, Dependencies!$B$2:$G$230, 4,FALSE), $B$14:AE$73, AE$74,FALSE),"o")=$D$5,IFERROR(VLOOKUP(VLOOKUP($B20, Dependencies!$B$2:$G$230, 5,FALSE), $B$14:AE$73, AE$74,FALSE),"o")=$D$5,IFERROR(VLOOKUP(VLOOKUP($B20, Dependencies!$B$2:$G$230, 6,FALSE), $B$14:AE$73, AE$74,FALSE),"o")=$D$5),$D$5,AD20)))</f>
        <v>o</v>
      </c>
      <c r="AF20" s="93" t="s">
        <v>323</v>
      </c>
      <c r="AG20" s="70" t="str">
        <f>IF(AF20=$D$4,AF20,IF(OR(IFERROR(VLOOKUP(VLOOKUP($B20, Dependencies!$B$2:$G$230, 2,FALSE),$B$14:AG$73, AG$74,FALSE),"o")=$D$4,IFERROR(VLOOKUP(VLOOKUP($B20, Dependencies!$B$2:$G$230, 3,FALSE),$B$14:AG$73, AG$74,FALSE),"o")=$D$4,IFERROR(VLOOKUP(VLOOKUP($B20, Dependencies!$B$2:$G$230, 4,FALSE),$B$14:AG$73, AG$74,FALSE),"o")=$D$4,IFERROR(VLOOKUP(VLOOKUP($B20, Dependencies!$B$2:$G$230, 5,FALSE),$B$14:AG$73, AG$74,FALSE),"o")=$D$4,IFERROR(VLOOKUP(VLOOKUP($B20, Dependencies!$B$2:$G$230, 6,FALSE),$B$14:AG$73, AG$74,FALSE),"o")=$D$4),$D$4,IF(OR(IFERROR(VLOOKUP(VLOOKUP($B20, Dependencies!$B$2:$G$230, 2,FALSE), $B$14:AG$73, AG$74,FALSE),"o")=$D$5,IFERROR(VLOOKUP(VLOOKUP($B20, Dependencies!$B$2:$G$230, 3,FALSE), $B$14:AG$73, AG$74,FALSE),"o")=$D$5,IFERROR(VLOOKUP(VLOOKUP($B20, Dependencies!$B$2:$G$230, 4,FALSE), $B$14:AG$73, AG$74,FALSE),"o")=$D$5,IFERROR(VLOOKUP(VLOOKUP($B20, Dependencies!$B$2:$G$230, 5,FALSE), $B$14:AG$73, AG$74,FALSE),"o")=$D$5,IFERROR(VLOOKUP(VLOOKUP($B20, Dependencies!$B$2:$G$230, 6,FALSE), $B$14:AG$73, AG$74,FALSE),"o")=$D$5),$D$5,AF20)))</f>
        <v>o</v>
      </c>
      <c r="AH20" s="93" t="s">
        <v>323</v>
      </c>
      <c r="AI20" s="70" t="str">
        <f>IF(AH20=$D$4,AH20,IF(OR(IFERROR(VLOOKUP(VLOOKUP($B20, Dependencies!$B$2:$G$230, 2,FALSE),$B$14:AI$73, AI$74,FALSE),"o")=$D$4,IFERROR(VLOOKUP(VLOOKUP($B20, Dependencies!$B$2:$G$230, 3,FALSE),$B$14:AI$73, AI$74,FALSE),"o")=$D$4,IFERROR(VLOOKUP(VLOOKUP($B20, Dependencies!$B$2:$G$230, 4,FALSE),$B$14:AI$73, AI$74,FALSE),"o")=$D$4,IFERROR(VLOOKUP(VLOOKUP($B20, Dependencies!$B$2:$G$230, 5,FALSE),$B$14:AI$73, AI$74,FALSE),"o")=$D$4,IFERROR(VLOOKUP(VLOOKUP($B20, Dependencies!$B$2:$G$230, 6,FALSE),$B$14:AI$73, AI$74,FALSE),"o")=$D$4),$D$4,IF(OR(IFERROR(VLOOKUP(VLOOKUP($B20, Dependencies!$B$2:$G$230, 2,FALSE), $B$14:AI$73, AI$74,FALSE),"o")=$D$5,IFERROR(VLOOKUP(VLOOKUP($B20, Dependencies!$B$2:$G$230, 3,FALSE), $B$14:AI$73, AI$74,FALSE),"o")=$D$5,IFERROR(VLOOKUP(VLOOKUP($B20, Dependencies!$B$2:$G$230, 4,FALSE), $B$14:AI$73, AI$74,FALSE),"o")=$D$5,IFERROR(VLOOKUP(VLOOKUP($B20, Dependencies!$B$2:$G$230, 5,FALSE), $B$14:AI$73, AI$74,FALSE),"o")=$D$5,IFERROR(VLOOKUP(VLOOKUP($B20, Dependencies!$B$2:$G$230, 6,FALSE), $B$14:AI$73, AI$74,FALSE),"o")=$D$5),$D$5,AH20)))</f>
        <v>o</v>
      </c>
      <c r="AJ20" s="93" t="s">
        <v>323</v>
      </c>
      <c r="AK20" s="70" t="str">
        <f>IF(AJ20=$D$4,AJ20,IF(OR(IFERROR(VLOOKUP(VLOOKUP($B20, Dependencies!$B$2:$G$230, 2,FALSE),$B$14:AK$73, AK$74,FALSE),"o")=$D$4,IFERROR(VLOOKUP(VLOOKUP($B20, Dependencies!$B$2:$G$230, 3,FALSE),$B$14:AK$73, AK$74,FALSE),"o")=$D$4,IFERROR(VLOOKUP(VLOOKUP($B20, Dependencies!$B$2:$G$230, 4,FALSE),$B$14:AK$73, AK$74,FALSE),"o")=$D$4,IFERROR(VLOOKUP(VLOOKUP($B20, Dependencies!$B$2:$G$230, 5,FALSE),$B$14:AK$73, AK$74,FALSE),"o")=$D$4,IFERROR(VLOOKUP(VLOOKUP($B20, Dependencies!$B$2:$G$230, 6,FALSE),$B$14:AK$73, AK$74,FALSE),"o")=$D$4),$D$4,IF(OR(IFERROR(VLOOKUP(VLOOKUP($B20, Dependencies!$B$2:$G$230, 2,FALSE), $B$14:AK$73, AK$74,FALSE),"o")=$D$5,IFERROR(VLOOKUP(VLOOKUP($B20, Dependencies!$B$2:$G$230, 3,FALSE), $B$14:AK$73, AK$74,FALSE),"o")=$D$5,IFERROR(VLOOKUP(VLOOKUP($B20, Dependencies!$B$2:$G$230, 4,FALSE), $B$14:AK$73, AK$74,FALSE),"o")=$D$5,IFERROR(VLOOKUP(VLOOKUP($B20, Dependencies!$B$2:$G$230, 5,FALSE), $B$14:AK$73, AK$74,FALSE),"o")=$D$5,IFERROR(VLOOKUP(VLOOKUP($B20, Dependencies!$B$2:$G$230, 6,FALSE), $B$14:AK$73, AK$74,FALSE),"o")=$D$5),$D$5,AJ20)))</f>
        <v>o</v>
      </c>
      <c r="AL20" s="93" t="s">
        <v>323</v>
      </c>
      <c r="AM20" s="70" t="str">
        <f>IF(AL20=$D$4,AL20,IF(OR(IFERROR(VLOOKUP(VLOOKUP($B20, Dependencies!$B$2:$G$230, 2,FALSE),$B$14:AM$73, AM$74,FALSE),"o")=$D$4,IFERROR(VLOOKUP(VLOOKUP($B20, Dependencies!$B$2:$G$230, 3,FALSE),$B$14:AM$73, AM$74,FALSE),"o")=$D$4,IFERROR(VLOOKUP(VLOOKUP($B20, Dependencies!$B$2:$G$230, 4,FALSE),$B$14:AM$73, AM$74,FALSE),"o")=$D$4,IFERROR(VLOOKUP(VLOOKUP($B20, Dependencies!$B$2:$G$230, 5,FALSE),$B$14:AM$73, AM$74,FALSE),"o")=$D$4,IFERROR(VLOOKUP(VLOOKUP($B20, Dependencies!$B$2:$G$230, 6,FALSE),$B$14:AM$73, AM$74,FALSE),"o")=$D$4),$D$4,IF(OR(IFERROR(VLOOKUP(VLOOKUP($B20, Dependencies!$B$2:$G$230, 2,FALSE), $B$14:AM$73, AM$74,FALSE),"o")=$D$5,IFERROR(VLOOKUP(VLOOKUP($B20, Dependencies!$B$2:$G$230, 3,FALSE), $B$14:AM$73, AM$74,FALSE),"o")=$D$5,IFERROR(VLOOKUP(VLOOKUP($B20, Dependencies!$B$2:$G$230, 4,FALSE), $B$14:AM$73, AM$74,FALSE),"o")=$D$5,IFERROR(VLOOKUP(VLOOKUP($B20, Dependencies!$B$2:$G$230, 5,FALSE), $B$14:AM$73, AM$74,FALSE),"o")=$D$5,IFERROR(VLOOKUP(VLOOKUP($B20, Dependencies!$B$2:$G$230, 6,FALSE), $B$14:AM$73, AM$74,FALSE),"o")=$D$5),$D$5,AL20)))</f>
        <v>o</v>
      </c>
      <c r="AN20" s="93" t="s">
        <v>323</v>
      </c>
      <c r="AO20" s="70" t="str">
        <f>IF(AN20=$D$4,AN20,IF(OR(IFERROR(VLOOKUP(VLOOKUP($B20, Dependencies!$B$2:$G$230, 2,FALSE),$B$14:AO$73, AO$74,FALSE),"o")=$D$4,IFERROR(VLOOKUP(VLOOKUP($B20, Dependencies!$B$2:$G$230, 3,FALSE),$B$14:AO$73, AO$74,FALSE),"o")=$D$4,IFERROR(VLOOKUP(VLOOKUP($B20, Dependencies!$B$2:$G$230, 4,FALSE),$B$14:AO$73, AO$74,FALSE),"o")=$D$4,IFERROR(VLOOKUP(VLOOKUP($B20, Dependencies!$B$2:$G$230, 5,FALSE),$B$14:AO$73, AO$74,FALSE),"o")=$D$4,IFERROR(VLOOKUP(VLOOKUP($B20, Dependencies!$B$2:$G$230, 6,FALSE),$B$14:AO$73, AO$74,FALSE),"o")=$D$4),$D$4,IF(OR(IFERROR(VLOOKUP(VLOOKUP($B20, Dependencies!$B$2:$G$230, 2,FALSE), $B$14:AO$73, AO$74,FALSE),"o")=$D$5,IFERROR(VLOOKUP(VLOOKUP($B20, Dependencies!$B$2:$G$230, 3,FALSE), $B$14:AO$73, AO$74,FALSE),"o")=$D$5,IFERROR(VLOOKUP(VLOOKUP($B20, Dependencies!$B$2:$G$230, 4,FALSE), $B$14:AO$73, AO$74,FALSE),"o")=$D$5,IFERROR(VLOOKUP(VLOOKUP($B20, Dependencies!$B$2:$G$230, 5,FALSE), $B$14:AO$73, AO$74,FALSE),"o")=$D$5,IFERROR(VLOOKUP(VLOOKUP($B20, Dependencies!$B$2:$G$230, 6,FALSE), $B$14:AO$73, AO$74,FALSE),"o")=$D$5),$D$5,AN20)))</f>
        <v>o</v>
      </c>
      <c r="AP20" s="93" t="s">
        <v>323</v>
      </c>
      <c r="AQ20" s="70" t="str">
        <f>IF(AP20=$D$4,AP20,IF(OR(IFERROR(VLOOKUP(VLOOKUP($B20, Dependencies!$B$2:$G$230, 2,FALSE),$B$14:AQ$73, AQ$74,FALSE),"o")=$D$4,IFERROR(VLOOKUP(VLOOKUP($B20, Dependencies!$B$2:$G$230, 3,FALSE),$B$14:AQ$73, AQ$74,FALSE),"o")=$D$4,IFERROR(VLOOKUP(VLOOKUP($B20, Dependencies!$B$2:$G$230, 4,FALSE),$B$14:AQ$73, AQ$74,FALSE),"o")=$D$4,IFERROR(VLOOKUP(VLOOKUP($B20, Dependencies!$B$2:$G$230, 5,FALSE),$B$14:AQ$73, AQ$74,FALSE),"o")=$D$4,IFERROR(VLOOKUP(VLOOKUP($B20, Dependencies!$B$2:$G$230, 6,FALSE),$B$14:AQ$73, AQ$74,FALSE),"o")=$D$4),$D$4,IF(OR(IFERROR(VLOOKUP(VLOOKUP($B20, Dependencies!$B$2:$G$230, 2,FALSE), $B$14:AQ$73, AQ$74,FALSE),"o")=$D$5,IFERROR(VLOOKUP(VLOOKUP($B20, Dependencies!$B$2:$G$230, 3,FALSE), $B$14:AQ$73, AQ$74,FALSE),"o")=$D$5,IFERROR(VLOOKUP(VLOOKUP($B20, Dependencies!$B$2:$G$230, 4,FALSE), $B$14:AQ$73, AQ$74,FALSE),"o")=$D$5,IFERROR(VLOOKUP(VLOOKUP($B20, Dependencies!$B$2:$G$230, 5,FALSE), $B$14:AQ$73, AQ$74,FALSE),"o")=$D$5,IFERROR(VLOOKUP(VLOOKUP($B20, Dependencies!$B$2:$G$230, 6,FALSE), $B$14:AQ$73, AQ$74,FALSE),"o")=$D$5),$D$5,AP20)))</f>
        <v>o</v>
      </c>
      <c r="AR20" s="93" t="s">
        <v>323</v>
      </c>
      <c r="AS20" s="69" t="str">
        <f>IF(AR20=$D$4,AR20,IF(OR(IFERROR(VLOOKUP(VLOOKUP($B20, Dependencies!$B$2:$G$230, 2,FALSE),$B$14:AS$73, AS$74,FALSE),"o")=$D$4,IFERROR(VLOOKUP(VLOOKUP($B20, Dependencies!$B$2:$G$230, 3,FALSE),$B$14:AS$73, AS$74,FALSE),"o")=$D$4,IFERROR(VLOOKUP(VLOOKUP($B20, Dependencies!$B$2:$G$230, 4,FALSE),$B$14:AS$73, AS$74,FALSE),"o")=$D$4,IFERROR(VLOOKUP(VLOOKUP($B20, Dependencies!$B$2:$G$230, 5,FALSE),$B$14:AS$73, AS$74,FALSE),"o")=$D$4,IFERROR(VLOOKUP(VLOOKUP($B20, Dependencies!$B$2:$G$230, 6,FALSE),$B$14:AS$73, AS$74,FALSE),"o")=$D$4),$D$4,IF(OR(IFERROR(VLOOKUP(VLOOKUP($B20, Dependencies!$B$2:$G$230, 2,FALSE), $B$14:AS$73, AS$74,FALSE),"o")=$D$5,IFERROR(VLOOKUP(VLOOKUP($B20, Dependencies!$B$2:$G$230, 3,FALSE), $B$14:AS$73, AS$74,FALSE),"o")=$D$5,IFERROR(VLOOKUP(VLOOKUP($B20, Dependencies!$B$2:$G$230, 4,FALSE), $B$14:AS$73, AS$74,FALSE),"o")=$D$5,IFERROR(VLOOKUP(VLOOKUP($B20, Dependencies!$B$2:$G$230, 5,FALSE), $B$14:AS$73, AS$74,FALSE),"o")=$D$5,IFERROR(VLOOKUP(VLOOKUP($B20, Dependencies!$B$2:$G$230, 6,FALSE), $B$14:AS$73, AS$74,FALSE),"o")=$D$5),$D$5,AR20)))</f>
        <v>o</v>
      </c>
    </row>
    <row r="21" spans="1:47" x14ac:dyDescent="0.2">
      <c r="A21" s="40" t="s">
        <v>332</v>
      </c>
      <c r="B21" s="74" t="str">
        <f>MLEOsv2!A9</f>
        <v>MLEO_00_08</v>
      </c>
      <c r="C21" s="74">
        <f>MLEOsv2!C9</f>
        <v>1</v>
      </c>
      <c r="D21" s="44" t="str">
        <f>MLEOsv2!G9</f>
        <v>implement simple methods of a class.</v>
      </c>
      <c r="E21" s="68" t="b">
        <f>MLEOsv2!H9</f>
        <v>1</v>
      </c>
      <c r="F21" s="94" t="s">
        <v>320</v>
      </c>
      <c r="G21" s="72" t="str">
        <f>IF(F21=$D$4,F21,IF(OR(IFERROR(VLOOKUP(VLOOKUP($B21, Dependencies!$B$2:$G$230, 2,FALSE),$B$14:G$73, G$74,FALSE),"o")=$D$4,IFERROR(VLOOKUP(VLOOKUP($B21, Dependencies!$B$2:$G$230, 3,FALSE),$B$14:G$73, G$74,FALSE),"o")=$D$4,IFERROR(VLOOKUP(VLOOKUP($B21, Dependencies!$B$2:$G$230, 4,FALSE),$B$14:G$73, G$74,FALSE),"o")=$D$4,IFERROR(VLOOKUP(VLOOKUP($B21, Dependencies!$B$2:$G$230, 5,FALSE),$B$14:G$73, G$74,FALSE),"o")=$D$4,IFERROR(VLOOKUP(VLOOKUP($B21, Dependencies!$B$2:$G$230, 6,FALSE),$B$14:G$73, G$74,FALSE),"o")=$D$4),$D$4,IF(OR(IFERROR(VLOOKUP(VLOOKUP($B21, Dependencies!$B$2:$G$230, 2,FALSE), $B$14:G$73, G$74,FALSE),"o")=$D$5,IFERROR(VLOOKUP(VLOOKUP($B21, Dependencies!$B$2:$G$230, 3,FALSE), $B$14:G$73, G$74,FALSE),"o")=$D$5,IFERROR(VLOOKUP(VLOOKUP($B21, Dependencies!$B$2:$G$230, 4,FALSE), $B$14:G$73, G$74,FALSE),"o")=$D$5,IFERROR(VLOOKUP(VLOOKUP($B21, Dependencies!$B$2:$G$230, 5,FALSE), $B$14:G$73, G$74,FALSE),"o")=$D$5,IFERROR(VLOOKUP(VLOOKUP($B21, Dependencies!$B$2:$G$230, 6,FALSE), $B$14:G$73, G$74,FALSE),"o")=$D$5),$D$5,F21)))</f>
        <v>r</v>
      </c>
      <c r="H21" s="94" t="s">
        <v>321</v>
      </c>
      <c r="I21" s="72" t="str">
        <f>IF(H21=$D$4,H21,IF(OR(IFERROR(VLOOKUP(VLOOKUP($B21, Dependencies!$B$2:$G$230, 2,FALSE),$B$14:I$73, I$74,FALSE),"o")=$D$4,IFERROR(VLOOKUP(VLOOKUP($B21, Dependencies!$B$2:$G$230, 3,FALSE),$B$14:I$73, I$74,FALSE),"o")=$D$4,IFERROR(VLOOKUP(VLOOKUP($B21, Dependencies!$B$2:$G$230, 4,FALSE),$B$14:I$73, I$74,FALSE),"o")=$D$4,IFERROR(VLOOKUP(VLOOKUP($B21, Dependencies!$B$2:$G$230, 5,FALSE),$B$14:I$73, I$74,FALSE),"o")=$D$4,IFERROR(VLOOKUP(VLOOKUP($B21, Dependencies!$B$2:$G$230, 6,FALSE),$B$14:I$73, I$74,FALSE),"o")=$D$4),$D$4,IF(OR(IFERROR(VLOOKUP(VLOOKUP($B21, Dependencies!$B$2:$G$230, 2,FALSE), $B$14:I$73, I$74,FALSE),"o")=$D$5,IFERROR(VLOOKUP(VLOOKUP($B21, Dependencies!$B$2:$G$230, 3,FALSE), $B$14:I$73, I$74,FALSE),"o")=$D$5,IFERROR(VLOOKUP(VLOOKUP($B21, Dependencies!$B$2:$G$230, 4,FALSE), $B$14:I$73, I$74,FALSE),"o")=$D$5,IFERROR(VLOOKUP(VLOOKUP($B21, Dependencies!$B$2:$G$230, 5,FALSE), $B$14:I$73, I$74,FALSE),"o")=$D$5,IFERROR(VLOOKUP(VLOOKUP($B21, Dependencies!$B$2:$G$230, 6,FALSE), $B$14:I$73, I$74,FALSE),"o")=$D$5),$D$5,H21)))</f>
        <v>pr</v>
      </c>
      <c r="J21" s="94" t="s">
        <v>323</v>
      </c>
      <c r="K21" s="72" t="str">
        <f>IF(J21=$D$4,J21,IF(OR(IFERROR(VLOOKUP(VLOOKUP($B21, Dependencies!$B$2:$G$230, 2,FALSE),$B$14:K$73, K$74,FALSE),"o")=$D$4,IFERROR(VLOOKUP(VLOOKUP($B21, Dependencies!$B$2:$G$230, 3,FALSE),$B$14:K$73, K$74,FALSE),"o")=$D$4,IFERROR(VLOOKUP(VLOOKUP($B21, Dependencies!$B$2:$G$230, 4,FALSE),$B$14:K$73, K$74,FALSE),"o")=$D$4,IFERROR(VLOOKUP(VLOOKUP($B21, Dependencies!$B$2:$G$230, 5,FALSE),$B$14:K$73, K$74,FALSE),"o")=$D$4,IFERROR(VLOOKUP(VLOOKUP($B21, Dependencies!$B$2:$G$230, 6,FALSE),$B$14:K$73, K$74,FALSE),"o")=$D$4),$D$4,IF(OR(IFERROR(VLOOKUP(VLOOKUP($B21, Dependencies!$B$2:$G$230, 2,FALSE), $B$14:K$73, K$74,FALSE),"o")=$D$5,IFERROR(VLOOKUP(VLOOKUP($B21, Dependencies!$B$2:$G$230, 3,FALSE), $B$14:K$73, K$74,FALSE),"o")=$D$5,IFERROR(VLOOKUP(VLOOKUP($B21, Dependencies!$B$2:$G$230, 4,FALSE), $B$14:K$73, K$74,FALSE),"o")=$D$5,IFERROR(VLOOKUP(VLOOKUP($B21, Dependencies!$B$2:$G$230, 5,FALSE), $B$14:K$73, K$74,FALSE),"o")=$D$5,IFERROR(VLOOKUP(VLOOKUP($B21, Dependencies!$B$2:$G$230, 6,FALSE), $B$14:K$73, K$74,FALSE),"o")=$D$5),$D$5,J21)))</f>
        <v>r</v>
      </c>
      <c r="L21" s="94" t="s">
        <v>323</v>
      </c>
      <c r="M21" s="72" t="str">
        <f>IF(L21=$D$4,L21,IF(OR(IFERROR(VLOOKUP(VLOOKUP($B21, Dependencies!$B$2:$G$230, 2,FALSE),$B$14:M$73, M$74,FALSE),"o")=$D$4,IFERROR(VLOOKUP(VLOOKUP($B21, Dependencies!$B$2:$G$230, 3,FALSE),$B$14:M$73, M$74,FALSE),"o")=$D$4,IFERROR(VLOOKUP(VLOOKUP($B21, Dependencies!$B$2:$G$230, 4,FALSE),$B$14:M$73, M$74,FALSE),"o")=$D$4,IFERROR(VLOOKUP(VLOOKUP($B21, Dependencies!$B$2:$G$230, 5,FALSE),$B$14:M$73, M$74,FALSE),"o")=$D$4,IFERROR(VLOOKUP(VLOOKUP($B21, Dependencies!$B$2:$G$230, 6,FALSE),$B$14:M$73, M$74,FALSE),"o")=$D$4),$D$4,IF(OR(IFERROR(VLOOKUP(VLOOKUP($B21, Dependencies!$B$2:$G$230, 2,FALSE), $B$14:M$73, M$74,FALSE),"o")=$D$5,IFERROR(VLOOKUP(VLOOKUP($B21, Dependencies!$B$2:$G$230, 3,FALSE), $B$14:M$73, M$74,FALSE),"o")=$D$5,IFERROR(VLOOKUP(VLOOKUP($B21, Dependencies!$B$2:$G$230, 4,FALSE), $B$14:M$73, M$74,FALSE),"o")=$D$5,IFERROR(VLOOKUP(VLOOKUP($B21, Dependencies!$B$2:$G$230, 5,FALSE), $B$14:M$73, M$74,FALSE),"o")=$D$5,IFERROR(VLOOKUP(VLOOKUP($B21, Dependencies!$B$2:$G$230, 6,FALSE), $B$14:M$73, M$74,FALSE),"o")=$D$5),$D$5,L21)))</f>
        <v>o</v>
      </c>
      <c r="N21" s="94" t="s">
        <v>323</v>
      </c>
      <c r="O21" s="72" t="str">
        <f>IF(N21=$D$4,N21,IF(OR(IFERROR(VLOOKUP(VLOOKUP($B21, Dependencies!$B$2:$G$230, 2,FALSE),$B$14:O$73, O$74,FALSE),"o")=$D$4,IFERROR(VLOOKUP(VLOOKUP($B21, Dependencies!$B$2:$G$230, 3,FALSE),$B$14:O$73, O$74,FALSE),"o")=$D$4,IFERROR(VLOOKUP(VLOOKUP($B21, Dependencies!$B$2:$G$230, 4,FALSE),$B$14:O$73, O$74,FALSE),"o")=$D$4,IFERROR(VLOOKUP(VLOOKUP($B21, Dependencies!$B$2:$G$230, 5,FALSE),$B$14:O$73, O$74,FALSE),"o")=$D$4,IFERROR(VLOOKUP(VLOOKUP($B21, Dependencies!$B$2:$G$230, 6,FALSE),$B$14:O$73, O$74,FALSE),"o")=$D$4),$D$4,IF(OR(IFERROR(VLOOKUP(VLOOKUP($B21, Dependencies!$B$2:$G$230, 2,FALSE), $B$14:O$73, O$74,FALSE),"o")=$D$5,IFERROR(VLOOKUP(VLOOKUP($B21, Dependencies!$B$2:$G$230, 3,FALSE), $B$14:O$73, O$74,FALSE),"o")=$D$5,IFERROR(VLOOKUP(VLOOKUP($B21, Dependencies!$B$2:$G$230, 4,FALSE), $B$14:O$73, O$74,FALSE),"o")=$D$5,IFERROR(VLOOKUP(VLOOKUP($B21, Dependencies!$B$2:$G$230, 5,FALSE), $B$14:O$73, O$74,FALSE),"o")=$D$5,IFERROR(VLOOKUP(VLOOKUP($B21, Dependencies!$B$2:$G$230, 6,FALSE), $B$14:O$73, O$74,FALSE),"o")=$D$5),$D$5,N21)))</f>
        <v>o</v>
      </c>
      <c r="P21" s="94" t="s">
        <v>323</v>
      </c>
      <c r="Q21" s="72" t="str">
        <f>IF(P21=$D$4,P21,IF(OR(IFERROR(VLOOKUP(VLOOKUP($B21, Dependencies!$B$2:$G$230, 2,FALSE),$B$14:Q$73, Q$74,FALSE),"o")=$D$4,IFERROR(VLOOKUP(VLOOKUP($B21, Dependencies!$B$2:$G$230, 3,FALSE),$B$14:Q$73, Q$74,FALSE),"o")=$D$4,IFERROR(VLOOKUP(VLOOKUP($B21, Dependencies!$B$2:$G$230, 4,FALSE),$B$14:Q$73, Q$74,FALSE),"o")=$D$4,IFERROR(VLOOKUP(VLOOKUP($B21, Dependencies!$B$2:$G$230, 5,FALSE),$B$14:Q$73, Q$74,FALSE),"o")=$D$4,IFERROR(VLOOKUP(VLOOKUP($B21, Dependencies!$B$2:$G$230, 6,FALSE),$B$14:Q$73, Q$74,FALSE),"o")=$D$4),$D$4,IF(OR(IFERROR(VLOOKUP(VLOOKUP($B21, Dependencies!$B$2:$G$230, 2,FALSE), $B$14:Q$73, Q$74,FALSE),"o")=$D$5,IFERROR(VLOOKUP(VLOOKUP($B21, Dependencies!$B$2:$G$230, 3,FALSE), $B$14:Q$73, Q$74,FALSE),"o")=$D$5,IFERROR(VLOOKUP(VLOOKUP($B21, Dependencies!$B$2:$G$230, 4,FALSE), $B$14:Q$73, Q$74,FALSE),"o")=$D$5,IFERROR(VLOOKUP(VLOOKUP($B21, Dependencies!$B$2:$G$230, 5,FALSE), $B$14:Q$73, Q$74,FALSE),"o")=$D$5,IFERROR(VLOOKUP(VLOOKUP($B21, Dependencies!$B$2:$G$230, 6,FALSE), $B$14:Q$73, Q$74,FALSE),"o")=$D$5),$D$5,P21)))</f>
        <v>o</v>
      </c>
      <c r="R21" s="94" t="s">
        <v>323</v>
      </c>
      <c r="S21" s="72" t="str">
        <f>IF(R21=$D$4,R21,IF(OR(IFERROR(VLOOKUP(VLOOKUP($B21, Dependencies!$B$2:$G$230, 2,FALSE),$B$14:S$73, S$74,FALSE),"o")=$D$4,IFERROR(VLOOKUP(VLOOKUP($B21, Dependencies!$B$2:$G$230, 3,FALSE),$B$14:S$73, S$74,FALSE),"o")=$D$4,IFERROR(VLOOKUP(VLOOKUP($B21, Dependencies!$B$2:$G$230, 4,FALSE),$B$14:S$73, S$74,FALSE),"o")=$D$4,IFERROR(VLOOKUP(VLOOKUP($B21, Dependencies!$B$2:$G$230, 5,FALSE),$B$14:S$73, S$74,FALSE),"o")=$D$4,IFERROR(VLOOKUP(VLOOKUP($B21, Dependencies!$B$2:$G$230, 6,FALSE),$B$14:S$73, S$74,FALSE),"o")=$D$4),$D$4,IF(OR(IFERROR(VLOOKUP(VLOOKUP($B21, Dependencies!$B$2:$G$230, 2,FALSE), $B$14:S$73, S$74,FALSE),"o")=$D$5,IFERROR(VLOOKUP(VLOOKUP($B21, Dependencies!$B$2:$G$230, 3,FALSE), $B$14:S$73, S$74,FALSE),"o")=$D$5,IFERROR(VLOOKUP(VLOOKUP($B21, Dependencies!$B$2:$G$230, 4,FALSE), $B$14:S$73, S$74,FALSE),"o")=$D$5,IFERROR(VLOOKUP(VLOOKUP($B21, Dependencies!$B$2:$G$230, 5,FALSE), $B$14:S$73, S$74,FALSE),"o")=$D$5,IFERROR(VLOOKUP(VLOOKUP($B21, Dependencies!$B$2:$G$230, 6,FALSE), $B$14:S$73, S$74,FALSE),"o")=$D$5),$D$5,R21)))</f>
        <v>o</v>
      </c>
      <c r="T21" s="94" t="s">
        <v>323</v>
      </c>
      <c r="U21" s="72" t="str">
        <f>IF(T21=$D$4,T21,IF(OR(IFERROR(VLOOKUP(VLOOKUP($B21, Dependencies!$B$2:$G$230, 2,FALSE),$B$14:U$73, U$74,FALSE),"o")=$D$4,IFERROR(VLOOKUP(VLOOKUP($B21, Dependencies!$B$2:$G$230, 3,FALSE),$B$14:U$73, U$74,FALSE),"o")=$D$4,IFERROR(VLOOKUP(VLOOKUP($B21, Dependencies!$B$2:$G$230, 4,FALSE),$B$14:U$73, U$74,FALSE),"o")=$D$4,IFERROR(VLOOKUP(VLOOKUP($B21, Dependencies!$B$2:$G$230, 5,FALSE),$B$14:U$73, U$74,FALSE),"o")=$D$4,IFERROR(VLOOKUP(VLOOKUP($B21, Dependencies!$B$2:$G$230, 6,FALSE),$B$14:U$73, U$74,FALSE),"o")=$D$4),$D$4,IF(OR(IFERROR(VLOOKUP(VLOOKUP($B21, Dependencies!$B$2:$G$230, 2,FALSE), $B$14:U$73, U$74,FALSE),"o")=$D$5,IFERROR(VLOOKUP(VLOOKUP($B21, Dependencies!$B$2:$G$230, 3,FALSE), $B$14:U$73, U$74,FALSE),"o")=$D$5,IFERROR(VLOOKUP(VLOOKUP($B21, Dependencies!$B$2:$G$230, 4,FALSE), $B$14:U$73, U$74,FALSE),"o")=$D$5,IFERROR(VLOOKUP(VLOOKUP($B21, Dependencies!$B$2:$G$230, 5,FALSE), $B$14:U$73, U$74,FALSE),"o")=$D$5,IFERROR(VLOOKUP(VLOOKUP($B21, Dependencies!$B$2:$G$230, 6,FALSE), $B$14:U$73, U$74,FALSE),"o")=$D$5),$D$5,T21)))</f>
        <v>o</v>
      </c>
      <c r="V21" s="94" t="s">
        <v>323</v>
      </c>
      <c r="W21" s="72" t="str">
        <f>IF(V21=$D$4,V21,IF(OR(IFERROR(VLOOKUP(VLOOKUP($B21, Dependencies!$B$2:$G$230, 2,FALSE),$B$14:W$73, W$74,FALSE),"o")=$D$4,IFERROR(VLOOKUP(VLOOKUP($B21, Dependencies!$B$2:$G$230, 3,FALSE),$B$14:W$73, W$74,FALSE),"o")=$D$4,IFERROR(VLOOKUP(VLOOKUP($B21, Dependencies!$B$2:$G$230, 4,FALSE),$B$14:W$73, W$74,FALSE),"o")=$D$4,IFERROR(VLOOKUP(VLOOKUP($B21, Dependencies!$B$2:$G$230, 5,FALSE),$B$14:W$73, W$74,FALSE),"o")=$D$4,IFERROR(VLOOKUP(VLOOKUP($B21, Dependencies!$B$2:$G$230, 6,FALSE),$B$14:W$73, W$74,FALSE),"o")=$D$4),$D$4,IF(OR(IFERROR(VLOOKUP(VLOOKUP($B21, Dependencies!$B$2:$G$230, 2,FALSE), $B$14:W$73, W$74,FALSE),"o")=$D$5,IFERROR(VLOOKUP(VLOOKUP($B21, Dependencies!$B$2:$G$230, 3,FALSE), $B$14:W$73, W$74,FALSE),"o")=$D$5,IFERROR(VLOOKUP(VLOOKUP($B21, Dependencies!$B$2:$G$230, 4,FALSE), $B$14:W$73, W$74,FALSE),"o")=$D$5,IFERROR(VLOOKUP(VLOOKUP($B21, Dependencies!$B$2:$G$230, 5,FALSE), $B$14:W$73, W$74,FALSE),"o")=$D$5,IFERROR(VLOOKUP(VLOOKUP($B21, Dependencies!$B$2:$G$230, 6,FALSE), $B$14:W$73, W$74,FALSE),"o")=$D$5),$D$5,V21)))</f>
        <v>o</v>
      </c>
      <c r="X21" s="94" t="s">
        <v>323</v>
      </c>
      <c r="Y21" s="72" t="str">
        <f>IF(X21=$D$4,X21,IF(OR(IFERROR(VLOOKUP(VLOOKUP($B21, Dependencies!$B$2:$G$230, 2,FALSE),$B$14:Y$73, Y$74,FALSE),"o")=$D$4,IFERROR(VLOOKUP(VLOOKUP($B21, Dependencies!$B$2:$G$230, 3,FALSE),$B$14:Y$73, Y$74,FALSE),"o")=$D$4,IFERROR(VLOOKUP(VLOOKUP($B21, Dependencies!$B$2:$G$230, 4,FALSE),$B$14:Y$73, Y$74,FALSE),"o")=$D$4,IFERROR(VLOOKUP(VLOOKUP($B21, Dependencies!$B$2:$G$230, 5,FALSE),$B$14:Y$73, Y$74,FALSE),"o")=$D$4,IFERROR(VLOOKUP(VLOOKUP($B21, Dependencies!$B$2:$G$230, 6,FALSE),$B$14:Y$73, Y$74,FALSE),"o")=$D$4),$D$4,IF(OR(IFERROR(VLOOKUP(VLOOKUP($B21, Dependencies!$B$2:$G$230, 2,FALSE), $B$14:Y$73, Y$74,FALSE),"o")=$D$5,IFERROR(VLOOKUP(VLOOKUP($B21, Dependencies!$B$2:$G$230, 3,FALSE), $B$14:Y$73, Y$74,FALSE),"o")=$D$5,IFERROR(VLOOKUP(VLOOKUP($B21, Dependencies!$B$2:$G$230, 4,FALSE), $B$14:Y$73, Y$74,FALSE),"o")=$D$5,IFERROR(VLOOKUP(VLOOKUP($B21, Dependencies!$B$2:$G$230, 5,FALSE), $B$14:Y$73, Y$74,FALSE),"o")=$D$5,IFERROR(VLOOKUP(VLOOKUP($B21, Dependencies!$B$2:$G$230, 6,FALSE), $B$14:Y$73, Y$74,FALSE),"o")=$D$5),$D$5,X21)))</f>
        <v>o</v>
      </c>
      <c r="Z21" s="94" t="s">
        <v>323</v>
      </c>
      <c r="AA21" s="72" t="str">
        <f>IF(Z21=$D$4,Z21,IF(OR(IFERROR(VLOOKUP(VLOOKUP($B21, Dependencies!$B$2:$G$230, 2,FALSE),$B$14:AA$73, AA$74,FALSE),"o")=$D$4,IFERROR(VLOOKUP(VLOOKUP($B21, Dependencies!$B$2:$G$230, 3,FALSE),$B$14:AA$73, AA$74,FALSE),"o")=$D$4,IFERROR(VLOOKUP(VLOOKUP($B21, Dependencies!$B$2:$G$230, 4,FALSE),$B$14:AA$73, AA$74,FALSE),"o")=$D$4,IFERROR(VLOOKUP(VLOOKUP($B21, Dependencies!$B$2:$G$230, 5,FALSE),$B$14:AA$73, AA$74,FALSE),"o")=$D$4,IFERROR(VLOOKUP(VLOOKUP($B21, Dependencies!$B$2:$G$230, 6,FALSE),$B$14:AA$73, AA$74,FALSE),"o")=$D$4),$D$4,IF(OR(IFERROR(VLOOKUP(VLOOKUP($B21, Dependencies!$B$2:$G$230, 2,FALSE), $B$14:AA$73, AA$74,FALSE),"o")=$D$5,IFERROR(VLOOKUP(VLOOKUP($B21, Dependencies!$B$2:$G$230, 3,FALSE), $B$14:AA$73, AA$74,FALSE),"o")=$D$5,IFERROR(VLOOKUP(VLOOKUP($B21, Dependencies!$B$2:$G$230, 4,FALSE), $B$14:AA$73, AA$74,FALSE),"o")=$D$5,IFERROR(VLOOKUP(VLOOKUP($B21, Dependencies!$B$2:$G$230, 5,FALSE), $B$14:AA$73, AA$74,FALSE),"o")=$D$5,IFERROR(VLOOKUP(VLOOKUP($B21, Dependencies!$B$2:$G$230, 6,FALSE), $B$14:AA$73, AA$74,FALSE),"o")=$D$5),$D$5,Z21)))</f>
        <v>o</v>
      </c>
      <c r="AB21" s="94" t="s">
        <v>323</v>
      </c>
      <c r="AC21" s="72" t="str">
        <f>IF(AB21=$D$4,AB21,IF(OR(IFERROR(VLOOKUP(VLOOKUP($B21, Dependencies!$B$2:$G$230, 2,FALSE),$B$14:AC$73, AC$74,FALSE),"o")=$D$4,IFERROR(VLOOKUP(VLOOKUP($B21, Dependencies!$B$2:$G$230, 3,FALSE),$B$14:AC$73, AC$74,FALSE),"o")=$D$4,IFERROR(VLOOKUP(VLOOKUP($B21, Dependencies!$B$2:$G$230, 4,FALSE),$B$14:AC$73, AC$74,FALSE),"o")=$D$4,IFERROR(VLOOKUP(VLOOKUP($B21, Dependencies!$B$2:$G$230, 5,FALSE),$B$14:AC$73, AC$74,FALSE),"o")=$D$4,IFERROR(VLOOKUP(VLOOKUP($B21, Dependencies!$B$2:$G$230, 6,FALSE),$B$14:AC$73, AC$74,FALSE),"o")=$D$4),$D$4,IF(OR(IFERROR(VLOOKUP(VLOOKUP($B21, Dependencies!$B$2:$G$230, 2,FALSE), $B$14:AC$73, AC$74,FALSE),"o")=$D$5,IFERROR(VLOOKUP(VLOOKUP($B21, Dependencies!$B$2:$G$230, 3,FALSE), $B$14:AC$73, AC$74,FALSE),"o")=$D$5,IFERROR(VLOOKUP(VLOOKUP($B21, Dependencies!$B$2:$G$230, 4,FALSE), $B$14:AC$73, AC$74,FALSE),"o")=$D$5,IFERROR(VLOOKUP(VLOOKUP($B21, Dependencies!$B$2:$G$230, 5,FALSE), $B$14:AC$73, AC$74,FALSE),"o")=$D$5,IFERROR(VLOOKUP(VLOOKUP($B21, Dependencies!$B$2:$G$230, 6,FALSE), $B$14:AC$73, AC$74,FALSE),"o")=$D$5),$D$5,AB21)))</f>
        <v>o</v>
      </c>
      <c r="AD21" s="94" t="s">
        <v>323</v>
      </c>
      <c r="AE21" s="72" t="str">
        <f>IF(AD21=$D$4,AD21,IF(OR(IFERROR(VLOOKUP(VLOOKUP($B21, Dependencies!$B$2:$G$230, 2,FALSE),$B$14:AE$73, AE$74,FALSE),"o")=$D$4,IFERROR(VLOOKUP(VLOOKUP($B21, Dependencies!$B$2:$G$230, 3,FALSE),$B$14:AE$73, AE$74,FALSE),"o")=$D$4,IFERROR(VLOOKUP(VLOOKUP($B21, Dependencies!$B$2:$G$230, 4,FALSE),$B$14:AE$73, AE$74,FALSE),"o")=$D$4,IFERROR(VLOOKUP(VLOOKUP($B21, Dependencies!$B$2:$G$230, 5,FALSE),$B$14:AE$73, AE$74,FALSE),"o")=$D$4,IFERROR(VLOOKUP(VLOOKUP($B21, Dependencies!$B$2:$G$230, 6,FALSE),$B$14:AE$73, AE$74,FALSE),"o")=$D$4),$D$4,IF(OR(IFERROR(VLOOKUP(VLOOKUP($B21, Dependencies!$B$2:$G$230, 2,FALSE), $B$14:AE$73, AE$74,FALSE),"o")=$D$5,IFERROR(VLOOKUP(VLOOKUP($B21, Dependencies!$B$2:$G$230, 3,FALSE), $B$14:AE$73, AE$74,FALSE),"o")=$D$5,IFERROR(VLOOKUP(VLOOKUP($B21, Dependencies!$B$2:$G$230, 4,FALSE), $B$14:AE$73, AE$74,FALSE),"o")=$D$5,IFERROR(VLOOKUP(VLOOKUP($B21, Dependencies!$B$2:$G$230, 5,FALSE), $B$14:AE$73, AE$74,FALSE),"o")=$D$5,IFERROR(VLOOKUP(VLOOKUP($B21, Dependencies!$B$2:$G$230, 6,FALSE), $B$14:AE$73, AE$74,FALSE),"o")=$D$5),$D$5,AD21)))</f>
        <v>o</v>
      </c>
      <c r="AF21" s="94" t="s">
        <v>323</v>
      </c>
      <c r="AG21" s="72" t="str">
        <f>IF(AF21=$D$4,AF21,IF(OR(IFERROR(VLOOKUP(VLOOKUP($B21, Dependencies!$B$2:$G$230, 2,FALSE),$B$14:AG$73, AG$74,FALSE),"o")=$D$4,IFERROR(VLOOKUP(VLOOKUP($B21, Dependencies!$B$2:$G$230, 3,FALSE),$B$14:AG$73, AG$74,FALSE),"o")=$D$4,IFERROR(VLOOKUP(VLOOKUP($B21, Dependencies!$B$2:$G$230, 4,FALSE),$B$14:AG$73, AG$74,FALSE),"o")=$D$4,IFERROR(VLOOKUP(VLOOKUP($B21, Dependencies!$B$2:$G$230, 5,FALSE),$B$14:AG$73, AG$74,FALSE),"o")=$D$4,IFERROR(VLOOKUP(VLOOKUP($B21, Dependencies!$B$2:$G$230, 6,FALSE),$B$14:AG$73, AG$74,FALSE),"o")=$D$4),$D$4,IF(OR(IFERROR(VLOOKUP(VLOOKUP($B21, Dependencies!$B$2:$G$230, 2,FALSE), $B$14:AG$73, AG$74,FALSE),"o")=$D$5,IFERROR(VLOOKUP(VLOOKUP($B21, Dependencies!$B$2:$G$230, 3,FALSE), $B$14:AG$73, AG$74,FALSE),"o")=$D$5,IFERROR(VLOOKUP(VLOOKUP($B21, Dependencies!$B$2:$G$230, 4,FALSE), $B$14:AG$73, AG$74,FALSE),"o")=$D$5,IFERROR(VLOOKUP(VLOOKUP($B21, Dependencies!$B$2:$G$230, 5,FALSE), $B$14:AG$73, AG$74,FALSE),"o")=$D$5,IFERROR(VLOOKUP(VLOOKUP($B21, Dependencies!$B$2:$G$230, 6,FALSE), $B$14:AG$73, AG$74,FALSE),"o")=$D$5),$D$5,AF21)))</f>
        <v>o</v>
      </c>
      <c r="AH21" s="94" t="s">
        <v>323</v>
      </c>
      <c r="AI21" s="72" t="str">
        <f>IF(AH21=$D$4,AH21,IF(OR(IFERROR(VLOOKUP(VLOOKUP($B21, Dependencies!$B$2:$G$230, 2,FALSE),$B$14:AI$73, AI$74,FALSE),"o")=$D$4,IFERROR(VLOOKUP(VLOOKUP($B21, Dependencies!$B$2:$G$230, 3,FALSE),$B$14:AI$73, AI$74,FALSE),"o")=$D$4,IFERROR(VLOOKUP(VLOOKUP($B21, Dependencies!$B$2:$G$230, 4,FALSE),$B$14:AI$73, AI$74,FALSE),"o")=$D$4,IFERROR(VLOOKUP(VLOOKUP($B21, Dependencies!$B$2:$G$230, 5,FALSE),$B$14:AI$73, AI$74,FALSE),"o")=$D$4,IFERROR(VLOOKUP(VLOOKUP($B21, Dependencies!$B$2:$G$230, 6,FALSE),$B$14:AI$73, AI$74,FALSE),"o")=$D$4),$D$4,IF(OR(IFERROR(VLOOKUP(VLOOKUP($B21, Dependencies!$B$2:$G$230, 2,FALSE), $B$14:AI$73, AI$74,FALSE),"o")=$D$5,IFERROR(VLOOKUP(VLOOKUP($B21, Dependencies!$B$2:$G$230, 3,FALSE), $B$14:AI$73, AI$74,FALSE),"o")=$D$5,IFERROR(VLOOKUP(VLOOKUP($B21, Dependencies!$B$2:$G$230, 4,FALSE), $B$14:AI$73, AI$74,FALSE),"o")=$D$5,IFERROR(VLOOKUP(VLOOKUP($B21, Dependencies!$B$2:$G$230, 5,FALSE), $B$14:AI$73, AI$74,FALSE),"o")=$D$5,IFERROR(VLOOKUP(VLOOKUP($B21, Dependencies!$B$2:$G$230, 6,FALSE), $B$14:AI$73, AI$74,FALSE),"o")=$D$5),$D$5,AH21)))</f>
        <v>o</v>
      </c>
      <c r="AJ21" s="94" t="s">
        <v>323</v>
      </c>
      <c r="AK21" s="72" t="str">
        <f>IF(AJ21=$D$4,AJ21,IF(OR(IFERROR(VLOOKUP(VLOOKUP($B21, Dependencies!$B$2:$G$230, 2,FALSE),$B$14:AK$73, AK$74,FALSE),"o")=$D$4,IFERROR(VLOOKUP(VLOOKUP($B21, Dependencies!$B$2:$G$230, 3,FALSE),$B$14:AK$73, AK$74,FALSE),"o")=$D$4,IFERROR(VLOOKUP(VLOOKUP($B21, Dependencies!$B$2:$G$230, 4,FALSE),$B$14:AK$73, AK$74,FALSE),"o")=$D$4,IFERROR(VLOOKUP(VLOOKUP($B21, Dependencies!$B$2:$G$230, 5,FALSE),$B$14:AK$73, AK$74,FALSE),"o")=$D$4,IFERROR(VLOOKUP(VLOOKUP($B21, Dependencies!$B$2:$G$230, 6,FALSE),$B$14:AK$73, AK$74,FALSE),"o")=$D$4),$D$4,IF(OR(IFERROR(VLOOKUP(VLOOKUP($B21, Dependencies!$B$2:$G$230, 2,FALSE), $B$14:AK$73, AK$74,FALSE),"o")=$D$5,IFERROR(VLOOKUP(VLOOKUP($B21, Dependencies!$B$2:$G$230, 3,FALSE), $B$14:AK$73, AK$74,FALSE),"o")=$D$5,IFERROR(VLOOKUP(VLOOKUP($B21, Dependencies!$B$2:$G$230, 4,FALSE), $B$14:AK$73, AK$74,FALSE),"o")=$D$5,IFERROR(VLOOKUP(VLOOKUP($B21, Dependencies!$B$2:$G$230, 5,FALSE), $B$14:AK$73, AK$74,FALSE),"o")=$D$5,IFERROR(VLOOKUP(VLOOKUP($B21, Dependencies!$B$2:$G$230, 6,FALSE), $B$14:AK$73, AK$74,FALSE),"o")=$D$5),$D$5,AJ21)))</f>
        <v>o</v>
      </c>
      <c r="AL21" s="94" t="s">
        <v>323</v>
      </c>
      <c r="AM21" s="72" t="str">
        <f>IF(AL21=$D$4,AL21,IF(OR(IFERROR(VLOOKUP(VLOOKUP($B21, Dependencies!$B$2:$G$230, 2,FALSE),$B$14:AM$73, AM$74,FALSE),"o")=$D$4,IFERROR(VLOOKUP(VLOOKUP($B21, Dependencies!$B$2:$G$230, 3,FALSE),$B$14:AM$73, AM$74,FALSE),"o")=$D$4,IFERROR(VLOOKUP(VLOOKUP($B21, Dependencies!$B$2:$G$230, 4,FALSE),$B$14:AM$73, AM$74,FALSE),"o")=$D$4,IFERROR(VLOOKUP(VLOOKUP($B21, Dependencies!$B$2:$G$230, 5,FALSE),$B$14:AM$73, AM$74,FALSE),"o")=$D$4,IFERROR(VLOOKUP(VLOOKUP($B21, Dependencies!$B$2:$G$230, 6,FALSE),$B$14:AM$73, AM$74,FALSE),"o")=$D$4),$D$4,IF(OR(IFERROR(VLOOKUP(VLOOKUP($B21, Dependencies!$B$2:$G$230, 2,FALSE), $B$14:AM$73, AM$74,FALSE),"o")=$D$5,IFERROR(VLOOKUP(VLOOKUP($B21, Dependencies!$B$2:$G$230, 3,FALSE), $B$14:AM$73, AM$74,FALSE),"o")=$D$5,IFERROR(VLOOKUP(VLOOKUP($B21, Dependencies!$B$2:$G$230, 4,FALSE), $B$14:AM$73, AM$74,FALSE),"o")=$D$5,IFERROR(VLOOKUP(VLOOKUP($B21, Dependencies!$B$2:$G$230, 5,FALSE), $B$14:AM$73, AM$74,FALSE),"o")=$D$5,IFERROR(VLOOKUP(VLOOKUP($B21, Dependencies!$B$2:$G$230, 6,FALSE), $B$14:AM$73, AM$74,FALSE),"o")=$D$5),$D$5,AL21)))</f>
        <v>o</v>
      </c>
      <c r="AN21" s="94" t="s">
        <v>323</v>
      </c>
      <c r="AO21" s="72" t="str">
        <f>IF(AN21=$D$4,AN21,IF(OR(IFERROR(VLOOKUP(VLOOKUP($B21, Dependencies!$B$2:$G$230, 2,FALSE),$B$14:AO$73, AO$74,FALSE),"o")=$D$4,IFERROR(VLOOKUP(VLOOKUP($B21, Dependencies!$B$2:$G$230, 3,FALSE),$B$14:AO$73, AO$74,FALSE),"o")=$D$4,IFERROR(VLOOKUP(VLOOKUP($B21, Dependencies!$B$2:$G$230, 4,FALSE),$B$14:AO$73, AO$74,FALSE),"o")=$D$4,IFERROR(VLOOKUP(VLOOKUP($B21, Dependencies!$B$2:$G$230, 5,FALSE),$B$14:AO$73, AO$74,FALSE),"o")=$D$4,IFERROR(VLOOKUP(VLOOKUP($B21, Dependencies!$B$2:$G$230, 6,FALSE),$B$14:AO$73, AO$74,FALSE),"o")=$D$4),$D$4,IF(OR(IFERROR(VLOOKUP(VLOOKUP($B21, Dependencies!$B$2:$G$230, 2,FALSE), $B$14:AO$73, AO$74,FALSE),"o")=$D$5,IFERROR(VLOOKUP(VLOOKUP($B21, Dependencies!$B$2:$G$230, 3,FALSE), $B$14:AO$73, AO$74,FALSE),"o")=$D$5,IFERROR(VLOOKUP(VLOOKUP($B21, Dependencies!$B$2:$G$230, 4,FALSE), $B$14:AO$73, AO$74,FALSE),"o")=$D$5,IFERROR(VLOOKUP(VLOOKUP($B21, Dependencies!$B$2:$G$230, 5,FALSE), $B$14:AO$73, AO$74,FALSE),"o")=$D$5,IFERROR(VLOOKUP(VLOOKUP($B21, Dependencies!$B$2:$G$230, 6,FALSE), $B$14:AO$73, AO$74,FALSE),"o")=$D$5),$D$5,AN21)))</f>
        <v>o</v>
      </c>
      <c r="AP21" s="94" t="s">
        <v>323</v>
      </c>
      <c r="AQ21" s="72" t="str">
        <f>IF(AP21=$D$4,AP21,IF(OR(IFERROR(VLOOKUP(VLOOKUP($B21, Dependencies!$B$2:$G$230, 2,FALSE),$B$14:AQ$73, AQ$74,FALSE),"o")=$D$4,IFERROR(VLOOKUP(VLOOKUP($B21, Dependencies!$B$2:$G$230, 3,FALSE),$B$14:AQ$73, AQ$74,FALSE),"o")=$D$4,IFERROR(VLOOKUP(VLOOKUP($B21, Dependencies!$B$2:$G$230, 4,FALSE),$B$14:AQ$73, AQ$74,FALSE),"o")=$D$4,IFERROR(VLOOKUP(VLOOKUP($B21, Dependencies!$B$2:$G$230, 5,FALSE),$B$14:AQ$73, AQ$74,FALSE),"o")=$D$4,IFERROR(VLOOKUP(VLOOKUP($B21, Dependencies!$B$2:$G$230, 6,FALSE),$B$14:AQ$73, AQ$74,FALSE),"o")=$D$4),$D$4,IF(OR(IFERROR(VLOOKUP(VLOOKUP($B21, Dependencies!$B$2:$G$230, 2,FALSE), $B$14:AQ$73, AQ$74,FALSE),"o")=$D$5,IFERROR(VLOOKUP(VLOOKUP($B21, Dependencies!$B$2:$G$230, 3,FALSE), $B$14:AQ$73, AQ$74,FALSE),"o")=$D$5,IFERROR(VLOOKUP(VLOOKUP($B21, Dependencies!$B$2:$G$230, 4,FALSE), $B$14:AQ$73, AQ$74,FALSE),"o")=$D$5,IFERROR(VLOOKUP(VLOOKUP($B21, Dependencies!$B$2:$G$230, 5,FALSE), $B$14:AQ$73, AQ$74,FALSE),"o")=$D$5,IFERROR(VLOOKUP(VLOOKUP($B21, Dependencies!$B$2:$G$230, 6,FALSE), $B$14:AQ$73, AQ$74,FALSE),"o")=$D$5),$D$5,AP21)))</f>
        <v>o</v>
      </c>
      <c r="AR21" s="94" t="s">
        <v>323</v>
      </c>
      <c r="AS21" s="71" t="str">
        <f>IF(AR21=$D$4,AR21,IF(OR(IFERROR(VLOOKUP(VLOOKUP($B21, Dependencies!$B$2:$G$230, 2,FALSE),$B$14:AS$73, AS$74,FALSE),"o")=$D$4,IFERROR(VLOOKUP(VLOOKUP($B21, Dependencies!$B$2:$G$230, 3,FALSE),$B$14:AS$73, AS$74,FALSE),"o")=$D$4,IFERROR(VLOOKUP(VLOOKUP($B21, Dependencies!$B$2:$G$230, 4,FALSE),$B$14:AS$73, AS$74,FALSE),"o")=$D$4,IFERROR(VLOOKUP(VLOOKUP($B21, Dependencies!$B$2:$G$230, 5,FALSE),$B$14:AS$73, AS$74,FALSE),"o")=$D$4,IFERROR(VLOOKUP(VLOOKUP($B21, Dependencies!$B$2:$G$230, 6,FALSE),$B$14:AS$73, AS$74,FALSE),"o")=$D$4),$D$4,IF(OR(IFERROR(VLOOKUP(VLOOKUP($B21, Dependencies!$B$2:$G$230, 2,FALSE), $B$14:AS$73, AS$74,FALSE),"o")=$D$5,IFERROR(VLOOKUP(VLOOKUP($B21, Dependencies!$B$2:$G$230, 3,FALSE), $B$14:AS$73, AS$74,FALSE),"o")=$D$5,IFERROR(VLOOKUP(VLOOKUP($B21, Dependencies!$B$2:$G$230, 4,FALSE), $B$14:AS$73, AS$74,FALSE),"o")=$D$5,IFERROR(VLOOKUP(VLOOKUP($B21, Dependencies!$B$2:$G$230, 5,FALSE), $B$14:AS$73, AS$74,FALSE),"o")=$D$5,IFERROR(VLOOKUP(VLOOKUP($B21, Dependencies!$B$2:$G$230, 6,FALSE), $B$14:AS$73, AS$74,FALSE),"o")=$D$5),$D$5,AR21)))</f>
        <v>o</v>
      </c>
    </row>
    <row r="22" spans="1:47" x14ac:dyDescent="0.2">
      <c r="A22" s="40"/>
      <c r="B22" s="73" t="str">
        <f>MLEOsv2!A10</f>
        <v>MLEO_00_09</v>
      </c>
      <c r="C22" s="73">
        <f>MLEOsv2!C10</f>
        <v>1</v>
      </c>
      <c r="D22" s="42" t="str">
        <f>MLEOsv2!G10</f>
        <v>implement private helper methods.</v>
      </c>
      <c r="E22" s="51" t="b">
        <f>MLEOsv2!H10</f>
        <v>1</v>
      </c>
      <c r="F22" s="93" t="s">
        <v>320</v>
      </c>
      <c r="G22" s="70" t="str">
        <f>IF(F22=$D$4,F22,IF(OR(IFERROR(VLOOKUP(VLOOKUP($B22, Dependencies!$B$2:$G$230, 2,FALSE),$B$14:G$73, G$74,FALSE),"o")=$D$4,IFERROR(VLOOKUP(VLOOKUP($B22, Dependencies!$B$2:$G$230, 3,FALSE),$B$14:G$73, G$74,FALSE),"o")=$D$4,IFERROR(VLOOKUP(VLOOKUP($B22, Dependencies!$B$2:$G$230, 4,FALSE),$B$14:G$73, G$74,FALSE),"o")=$D$4,IFERROR(VLOOKUP(VLOOKUP($B22, Dependencies!$B$2:$G$230, 5,FALSE),$B$14:G$73, G$74,FALSE),"o")=$D$4,IFERROR(VLOOKUP(VLOOKUP($B22, Dependencies!$B$2:$G$230, 6,FALSE),$B$14:G$73, G$74,FALSE),"o")=$D$4),$D$4,IF(OR(IFERROR(VLOOKUP(VLOOKUP($B22, Dependencies!$B$2:$G$230, 2,FALSE), $B$14:G$73, G$74,FALSE),"o")=$D$5,IFERROR(VLOOKUP(VLOOKUP($B22, Dependencies!$B$2:$G$230, 3,FALSE), $B$14:G$73, G$74,FALSE),"o")=$D$5,IFERROR(VLOOKUP(VLOOKUP($B22, Dependencies!$B$2:$G$230, 4,FALSE), $B$14:G$73, G$74,FALSE),"o")=$D$5,IFERROR(VLOOKUP(VLOOKUP($B22, Dependencies!$B$2:$G$230, 5,FALSE), $B$14:G$73, G$74,FALSE),"o")=$D$5,IFERROR(VLOOKUP(VLOOKUP($B22, Dependencies!$B$2:$G$230, 6,FALSE), $B$14:G$73, G$74,FALSE),"o")=$D$5),$D$5,F22)))</f>
        <v>r</v>
      </c>
      <c r="H22" s="93" t="s">
        <v>321</v>
      </c>
      <c r="I22" s="70" t="str">
        <f>IF(H22=$D$4,H22,IF(OR(IFERROR(VLOOKUP(VLOOKUP($B22, Dependencies!$B$2:$G$230, 2,FALSE),$B$14:I$73, I$74,FALSE),"o")=$D$4,IFERROR(VLOOKUP(VLOOKUP($B22, Dependencies!$B$2:$G$230, 3,FALSE),$B$14:I$73, I$74,FALSE),"o")=$D$4,IFERROR(VLOOKUP(VLOOKUP($B22, Dependencies!$B$2:$G$230, 4,FALSE),$B$14:I$73, I$74,FALSE),"o")=$D$4,IFERROR(VLOOKUP(VLOOKUP($B22, Dependencies!$B$2:$G$230, 5,FALSE),$B$14:I$73, I$74,FALSE),"o")=$D$4,IFERROR(VLOOKUP(VLOOKUP($B22, Dependencies!$B$2:$G$230, 6,FALSE),$B$14:I$73, I$74,FALSE),"o")=$D$4),$D$4,IF(OR(IFERROR(VLOOKUP(VLOOKUP($B22, Dependencies!$B$2:$G$230, 2,FALSE), $B$14:I$73, I$74,FALSE),"o")=$D$5,IFERROR(VLOOKUP(VLOOKUP($B22, Dependencies!$B$2:$G$230, 3,FALSE), $B$14:I$73, I$74,FALSE),"o")=$D$5,IFERROR(VLOOKUP(VLOOKUP($B22, Dependencies!$B$2:$G$230, 4,FALSE), $B$14:I$73, I$74,FALSE),"o")=$D$5,IFERROR(VLOOKUP(VLOOKUP($B22, Dependencies!$B$2:$G$230, 5,FALSE), $B$14:I$73, I$74,FALSE),"o")=$D$5,IFERROR(VLOOKUP(VLOOKUP($B22, Dependencies!$B$2:$G$230, 6,FALSE), $B$14:I$73, I$74,FALSE),"o")=$D$5),$D$5,H22)))</f>
        <v>pr</v>
      </c>
      <c r="J22" s="93" t="s">
        <v>320</v>
      </c>
      <c r="K22" s="70" t="str">
        <f>IF(J22=$D$4,J22,IF(OR(IFERROR(VLOOKUP(VLOOKUP($B22, Dependencies!$B$2:$G$230, 2,FALSE),$B$14:K$73, K$74,FALSE),"o")=$D$4,IFERROR(VLOOKUP(VLOOKUP($B22, Dependencies!$B$2:$G$230, 3,FALSE),$B$14:K$73, K$74,FALSE),"o")=$D$4,IFERROR(VLOOKUP(VLOOKUP($B22, Dependencies!$B$2:$G$230, 4,FALSE),$B$14:K$73, K$74,FALSE),"o")=$D$4,IFERROR(VLOOKUP(VLOOKUP($B22, Dependencies!$B$2:$G$230, 5,FALSE),$B$14:K$73, K$74,FALSE),"o")=$D$4,IFERROR(VLOOKUP(VLOOKUP($B22, Dependencies!$B$2:$G$230, 6,FALSE),$B$14:K$73, K$74,FALSE),"o")=$D$4),$D$4,IF(OR(IFERROR(VLOOKUP(VLOOKUP($B22, Dependencies!$B$2:$G$230, 2,FALSE), $B$14:K$73, K$74,FALSE),"o")=$D$5,IFERROR(VLOOKUP(VLOOKUP($B22, Dependencies!$B$2:$G$230, 3,FALSE), $B$14:K$73, K$74,FALSE),"o")=$D$5,IFERROR(VLOOKUP(VLOOKUP($B22, Dependencies!$B$2:$G$230, 4,FALSE), $B$14:K$73, K$74,FALSE),"o")=$D$5,IFERROR(VLOOKUP(VLOOKUP($B22, Dependencies!$B$2:$G$230, 5,FALSE), $B$14:K$73, K$74,FALSE),"o")=$D$5,IFERROR(VLOOKUP(VLOOKUP($B22, Dependencies!$B$2:$G$230, 6,FALSE), $B$14:K$73, K$74,FALSE),"o")=$D$5),$D$5,J22)))</f>
        <v>r</v>
      </c>
      <c r="L22" s="93" t="s">
        <v>323</v>
      </c>
      <c r="M22" s="70" t="str">
        <f>IF(L22=$D$4,L22,IF(OR(IFERROR(VLOOKUP(VLOOKUP($B22, Dependencies!$B$2:$G$230, 2,FALSE),$B$14:M$73, M$74,FALSE),"o")=$D$4,IFERROR(VLOOKUP(VLOOKUP($B22, Dependencies!$B$2:$G$230, 3,FALSE),$B$14:M$73, M$74,FALSE),"o")=$D$4,IFERROR(VLOOKUP(VLOOKUP($B22, Dependencies!$B$2:$G$230, 4,FALSE),$B$14:M$73, M$74,FALSE),"o")=$D$4,IFERROR(VLOOKUP(VLOOKUP($B22, Dependencies!$B$2:$G$230, 5,FALSE),$B$14:M$73, M$74,FALSE),"o")=$D$4,IFERROR(VLOOKUP(VLOOKUP($B22, Dependencies!$B$2:$G$230, 6,FALSE),$B$14:M$73, M$74,FALSE),"o")=$D$4),$D$4,IF(OR(IFERROR(VLOOKUP(VLOOKUP($B22, Dependencies!$B$2:$G$230, 2,FALSE), $B$14:M$73, M$74,FALSE),"o")=$D$5,IFERROR(VLOOKUP(VLOOKUP($B22, Dependencies!$B$2:$G$230, 3,FALSE), $B$14:M$73, M$74,FALSE),"o")=$D$5,IFERROR(VLOOKUP(VLOOKUP($B22, Dependencies!$B$2:$G$230, 4,FALSE), $B$14:M$73, M$74,FALSE),"o")=$D$5,IFERROR(VLOOKUP(VLOOKUP($B22, Dependencies!$B$2:$G$230, 5,FALSE), $B$14:M$73, M$74,FALSE),"o")=$D$5,IFERROR(VLOOKUP(VLOOKUP($B22, Dependencies!$B$2:$G$230, 6,FALSE), $B$14:M$73, M$74,FALSE),"o")=$D$5),$D$5,L22)))</f>
        <v>o</v>
      </c>
      <c r="N22" s="93" t="s">
        <v>323</v>
      </c>
      <c r="O22" s="70" t="str">
        <f>IF(N22=$D$4,N22,IF(OR(IFERROR(VLOOKUP(VLOOKUP($B22, Dependencies!$B$2:$G$230, 2,FALSE),$B$14:O$73, O$74,FALSE),"o")=$D$4,IFERROR(VLOOKUP(VLOOKUP($B22, Dependencies!$B$2:$G$230, 3,FALSE),$B$14:O$73, O$74,FALSE),"o")=$D$4,IFERROR(VLOOKUP(VLOOKUP($B22, Dependencies!$B$2:$G$230, 4,FALSE),$B$14:O$73, O$74,FALSE),"o")=$D$4,IFERROR(VLOOKUP(VLOOKUP($B22, Dependencies!$B$2:$G$230, 5,FALSE),$B$14:O$73, O$74,FALSE),"o")=$D$4,IFERROR(VLOOKUP(VLOOKUP($B22, Dependencies!$B$2:$G$230, 6,FALSE),$B$14:O$73, O$74,FALSE),"o")=$D$4),$D$4,IF(OR(IFERROR(VLOOKUP(VLOOKUP($B22, Dependencies!$B$2:$G$230, 2,FALSE), $B$14:O$73, O$74,FALSE),"o")=$D$5,IFERROR(VLOOKUP(VLOOKUP($B22, Dependencies!$B$2:$G$230, 3,FALSE), $B$14:O$73, O$74,FALSE),"o")=$D$5,IFERROR(VLOOKUP(VLOOKUP($B22, Dependencies!$B$2:$G$230, 4,FALSE), $B$14:O$73, O$74,FALSE),"o")=$D$5,IFERROR(VLOOKUP(VLOOKUP($B22, Dependencies!$B$2:$G$230, 5,FALSE), $B$14:O$73, O$74,FALSE),"o")=$D$5,IFERROR(VLOOKUP(VLOOKUP($B22, Dependencies!$B$2:$G$230, 6,FALSE), $B$14:O$73, O$74,FALSE),"o")=$D$5),$D$5,N22)))</f>
        <v>o</v>
      </c>
      <c r="P22" s="93" t="s">
        <v>323</v>
      </c>
      <c r="Q22" s="70" t="str">
        <f>IF(P22=$D$4,P22,IF(OR(IFERROR(VLOOKUP(VLOOKUP($B22, Dependencies!$B$2:$G$230, 2,FALSE),$B$14:Q$73, Q$74,FALSE),"o")=$D$4,IFERROR(VLOOKUP(VLOOKUP($B22, Dependencies!$B$2:$G$230, 3,FALSE),$B$14:Q$73, Q$74,FALSE),"o")=$D$4,IFERROR(VLOOKUP(VLOOKUP($B22, Dependencies!$B$2:$G$230, 4,FALSE),$B$14:Q$73, Q$74,FALSE),"o")=$D$4,IFERROR(VLOOKUP(VLOOKUP($B22, Dependencies!$B$2:$G$230, 5,FALSE),$B$14:Q$73, Q$74,FALSE),"o")=$D$4,IFERROR(VLOOKUP(VLOOKUP($B22, Dependencies!$B$2:$G$230, 6,FALSE),$B$14:Q$73, Q$74,FALSE),"o")=$D$4),$D$4,IF(OR(IFERROR(VLOOKUP(VLOOKUP($B22, Dependencies!$B$2:$G$230, 2,FALSE), $B$14:Q$73, Q$74,FALSE),"o")=$D$5,IFERROR(VLOOKUP(VLOOKUP($B22, Dependencies!$B$2:$G$230, 3,FALSE), $B$14:Q$73, Q$74,FALSE),"o")=$D$5,IFERROR(VLOOKUP(VLOOKUP($B22, Dependencies!$B$2:$G$230, 4,FALSE), $B$14:Q$73, Q$74,FALSE),"o")=$D$5,IFERROR(VLOOKUP(VLOOKUP($B22, Dependencies!$B$2:$G$230, 5,FALSE), $B$14:Q$73, Q$74,FALSE),"o")=$D$5,IFERROR(VLOOKUP(VLOOKUP($B22, Dependencies!$B$2:$G$230, 6,FALSE), $B$14:Q$73, Q$74,FALSE),"o")=$D$5),$D$5,P22)))</f>
        <v>o</v>
      </c>
      <c r="R22" s="93" t="s">
        <v>323</v>
      </c>
      <c r="S22" s="70" t="str">
        <f>IF(R22=$D$4,R22,IF(OR(IFERROR(VLOOKUP(VLOOKUP($B22, Dependencies!$B$2:$G$230, 2,FALSE),$B$14:S$73, S$74,FALSE),"o")=$D$4,IFERROR(VLOOKUP(VLOOKUP($B22, Dependencies!$B$2:$G$230, 3,FALSE),$B$14:S$73, S$74,FALSE),"o")=$D$4,IFERROR(VLOOKUP(VLOOKUP($B22, Dependencies!$B$2:$G$230, 4,FALSE),$B$14:S$73, S$74,FALSE),"o")=$D$4,IFERROR(VLOOKUP(VLOOKUP($B22, Dependencies!$B$2:$G$230, 5,FALSE),$B$14:S$73, S$74,FALSE),"o")=$D$4,IFERROR(VLOOKUP(VLOOKUP($B22, Dependencies!$B$2:$G$230, 6,FALSE),$B$14:S$73, S$74,FALSE),"o")=$D$4),$D$4,IF(OR(IFERROR(VLOOKUP(VLOOKUP($B22, Dependencies!$B$2:$G$230, 2,FALSE), $B$14:S$73, S$74,FALSE),"o")=$D$5,IFERROR(VLOOKUP(VLOOKUP($B22, Dependencies!$B$2:$G$230, 3,FALSE), $B$14:S$73, S$74,FALSE),"o")=$D$5,IFERROR(VLOOKUP(VLOOKUP($B22, Dependencies!$B$2:$G$230, 4,FALSE), $B$14:S$73, S$74,FALSE),"o")=$D$5,IFERROR(VLOOKUP(VLOOKUP($B22, Dependencies!$B$2:$G$230, 5,FALSE), $B$14:S$73, S$74,FALSE),"o")=$D$5,IFERROR(VLOOKUP(VLOOKUP($B22, Dependencies!$B$2:$G$230, 6,FALSE), $B$14:S$73, S$74,FALSE),"o")=$D$5),$D$5,R22)))</f>
        <v>o</v>
      </c>
      <c r="T22" s="93" t="s">
        <v>323</v>
      </c>
      <c r="U22" s="70" t="str">
        <f>IF(T22=$D$4,T22,IF(OR(IFERROR(VLOOKUP(VLOOKUP($B22, Dependencies!$B$2:$G$230, 2,FALSE),$B$14:U$73, U$74,FALSE),"o")=$D$4,IFERROR(VLOOKUP(VLOOKUP($B22, Dependencies!$B$2:$G$230, 3,FALSE),$B$14:U$73, U$74,FALSE),"o")=$D$4,IFERROR(VLOOKUP(VLOOKUP($B22, Dependencies!$B$2:$G$230, 4,FALSE),$B$14:U$73, U$74,FALSE),"o")=$D$4,IFERROR(VLOOKUP(VLOOKUP($B22, Dependencies!$B$2:$G$230, 5,FALSE),$B$14:U$73, U$74,FALSE),"o")=$D$4,IFERROR(VLOOKUP(VLOOKUP($B22, Dependencies!$B$2:$G$230, 6,FALSE),$B$14:U$73, U$74,FALSE),"o")=$D$4),$D$4,IF(OR(IFERROR(VLOOKUP(VLOOKUP($B22, Dependencies!$B$2:$G$230, 2,FALSE), $B$14:U$73, U$74,FALSE),"o")=$D$5,IFERROR(VLOOKUP(VLOOKUP($B22, Dependencies!$B$2:$G$230, 3,FALSE), $B$14:U$73, U$74,FALSE),"o")=$D$5,IFERROR(VLOOKUP(VLOOKUP($B22, Dependencies!$B$2:$G$230, 4,FALSE), $B$14:U$73, U$74,FALSE),"o")=$D$5,IFERROR(VLOOKUP(VLOOKUP($B22, Dependencies!$B$2:$G$230, 5,FALSE), $B$14:U$73, U$74,FALSE),"o")=$D$5,IFERROR(VLOOKUP(VLOOKUP($B22, Dependencies!$B$2:$G$230, 6,FALSE), $B$14:U$73, U$74,FALSE),"o")=$D$5),$D$5,T22)))</f>
        <v>o</v>
      </c>
      <c r="V22" s="93" t="s">
        <v>323</v>
      </c>
      <c r="W22" s="70" t="str">
        <f>IF(V22=$D$4,V22,IF(OR(IFERROR(VLOOKUP(VLOOKUP($B22, Dependencies!$B$2:$G$230, 2,FALSE),$B$14:W$73, W$74,FALSE),"o")=$D$4,IFERROR(VLOOKUP(VLOOKUP($B22, Dependencies!$B$2:$G$230, 3,FALSE),$B$14:W$73, W$74,FALSE),"o")=$D$4,IFERROR(VLOOKUP(VLOOKUP($B22, Dependencies!$B$2:$G$230, 4,FALSE),$B$14:W$73, W$74,FALSE),"o")=$D$4,IFERROR(VLOOKUP(VLOOKUP($B22, Dependencies!$B$2:$G$230, 5,FALSE),$B$14:W$73, W$74,FALSE),"o")=$D$4,IFERROR(VLOOKUP(VLOOKUP($B22, Dependencies!$B$2:$G$230, 6,FALSE),$B$14:W$73, W$74,FALSE),"o")=$D$4),$D$4,IF(OR(IFERROR(VLOOKUP(VLOOKUP($B22, Dependencies!$B$2:$G$230, 2,FALSE), $B$14:W$73, W$74,FALSE),"o")=$D$5,IFERROR(VLOOKUP(VLOOKUP($B22, Dependencies!$B$2:$G$230, 3,FALSE), $B$14:W$73, W$74,FALSE),"o")=$D$5,IFERROR(VLOOKUP(VLOOKUP($B22, Dependencies!$B$2:$G$230, 4,FALSE), $B$14:W$73, W$74,FALSE),"o")=$D$5,IFERROR(VLOOKUP(VLOOKUP($B22, Dependencies!$B$2:$G$230, 5,FALSE), $B$14:W$73, W$74,FALSE),"o")=$D$5,IFERROR(VLOOKUP(VLOOKUP($B22, Dependencies!$B$2:$G$230, 6,FALSE), $B$14:W$73, W$74,FALSE),"o")=$D$5),$D$5,V22)))</f>
        <v>o</v>
      </c>
      <c r="X22" s="93" t="s">
        <v>323</v>
      </c>
      <c r="Y22" s="70" t="str">
        <f>IF(X22=$D$4,X22,IF(OR(IFERROR(VLOOKUP(VLOOKUP($B22, Dependencies!$B$2:$G$230, 2,FALSE),$B$14:Y$73, Y$74,FALSE),"o")=$D$4,IFERROR(VLOOKUP(VLOOKUP($B22, Dependencies!$B$2:$G$230, 3,FALSE),$B$14:Y$73, Y$74,FALSE),"o")=$D$4,IFERROR(VLOOKUP(VLOOKUP($B22, Dependencies!$B$2:$G$230, 4,FALSE),$B$14:Y$73, Y$74,FALSE),"o")=$D$4,IFERROR(VLOOKUP(VLOOKUP($B22, Dependencies!$B$2:$G$230, 5,FALSE),$B$14:Y$73, Y$74,FALSE),"o")=$D$4,IFERROR(VLOOKUP(VLOOKUP($B22, Dependencies!$B$2:$G$230, 6,FALSE),$B$14:Y$73, Y$74,FALSE),"o")=$D$4),$D$4,IF(OR(IFERROR(VLOOKUP(VLOOKUP($B22, Dependencies!$B$2:$G$230, 2,FALSE), $B$14:Y$73, Y$74,FALSE),"o")=$D$5,IFERROR(VLOOKUP(VLOOKUP($B22, Dependencies!$B$2:$G$230, 3,FALSE), $B$14:Y$73, Y$74,FALSE),"o")=$D$5,IFERROR(VLOOKUP(VLOOKUP($B22, Dependencies!$B$2:$G$230, 4,FALSE), $B$14:Y$73, Y$74,FALSE),"o")=$D$5,IFERROR(VLOOKUP(VLOOKUP($B22, Dependencies!$B$2:$G$230, 5,FALSE), $B$14:Y$73, Y$74,FALSE),"o")=$D$5,IFERROR(VLOOKUP(VLOOKUP($B22, Dependencies!$B$2:$G$230, 6,FALSE), $B$14:Y$73, Y$74,FALSE),"o")=$D$5),$D$5,X22)))</f>
        <v>o</v>
      </c>
      <c r="Z22" s="93" t="s">
        <v>323</v>
      </c>
      <c r="AA22" s="70" t="str">
        <f>IF(Z22=$D$4,Z22,IF(OR(IFERROR(VLOOKUP(VLOOKUP($B22, Dependencies!$B$2:$G$230, 2,FALSE),$B$14:AA$73, AA$74,FALSE),"o")=$D$4,IFERROR(VLOOKUP(VLOOKUP($B22, Dependencies!$B$2:$G$230, 3,FALSE),$B$14:AA$73, AA$74,FALSE),"o")=$D$4,IFERROR(VLOOKUP(VLOOKUP($B22, Dependencies!$B$2:$G$230, 4,FALSE),$B$14:AA$73, AA$74,FALSE),"o")=$D$4,IFERROR(VLOOKUP(VLOOKUP($B22, Dependencies!$B$2:$G$230, 5,FALSE),$B$14:AA$73, AA$74,FALSE),"o")=$D$4,IFERROR(VLOOKUP(VLOOKUP($B22, Dependencies!$B$2:$G$230, 6,FALSE),$B$14:AA$73, AA$74,FALSE),"o")=$D$4),$D$4,IF(OR(IFERROR(VLOOKUP(VLOOKUP($B22, Dependencies!$B$2:$G$230, 2,FALSE), $B$14:AA$73, AA$74,FALSE),"o")=$D$5,IFERROR(VLOOKUP(VLOOKUP($B22, Dependencies!$B$2:$G$230, 3,FALSE), $B$14:AA$73, AA$74,FALSE),"o")=$D$5,IFERROR(VLOOKUP(VLOOKUP($B22, Dependencies!$B$2:$G$230, 4,FALSE), $B$14:AA$73, AA$74,FALSE),"o")=$D$5,IFERROR(VLOOKUP(VLOOKUP($B22, Dependencies!$B$2:$G$230, 5,FALSE), $B$14:AA$73, AA$74,FALSE),"o")=$D$5,IFERROR(VLOOKUP(VLOOKUP($B22, Dependencies!$B$2:$G$230, 6,FALSE), $B$14:AA$73, AA$74,FALSE),"o")=$D$5),$D$5,Z22)))</f>
        <v>o</v>
      </c>
      <c r="AB22" s="93" t="s">
        <v>323</v>
      </c>
      <c r="AC22" s="70" t="str">
        <f>IF(AB22=$D$4,AB22,IF(OR(IFERROR(VLOOKUP(VLOOKUP($B22, Dependencies!$B$2:$G$230, 2,FALSE),$B$14:AC$73, AC$74,FALSE),"o")=$D$4,IFERROR(VLOOKUP(VLOOKUP($B22, Dependencies!$B$2:$G$230, 3,FALSE),$B$14:AC$73, AC$74,FALSE),"o")=$D$4,IFERROR(VLOOKUP(VLOOKUP($B22, Dependencies!$B$2:$G$230, 4,FALSE),$B$14:AC$73, AC$74,FALSE),"o")=$D$4,IFERROR(VLOOKUP(VLOOKUP($B22, Dependencies!$B$2:$G$230, 5,FALSE),$B$14:AC$73, AC$74,FALSE),"o")=$D$4,IFERROR(VLOOKUP(VLOOKUP($B22, Dependencies!$B$2:$G$230, 6,FALSE),$B$14:AC$73, AC$74,FALSE),"o")=$D$4),$D$4,IF(OR(IFERROR(VLOOKUP(VLOOKUP($B22, Dependencies!$B$2:$G$230, 2,FALSE), $B$14:AC$73, AC$74,FALSE),"o")=$D$5,IFERROR(VLOOKUP(VLOOKUP($B22, Dependencies!$B$2:$G$230, 3,FALSE), $B$14:AC$73, AC$74,FALSE),"o")=$D$5,IFERROR(VLOOKUP(VLOOKUP($B22, Dependencies!$B$2:$G$230, 4,FALSE), $B$14:AC$73, AC$74,FALSE),"o")=$D$5,IFERROR(VLOOKUP(VLOOKUP($B22, Dependencies!$B$2:$G$230, 5,FALSE), $B$14:AC$73, AC$74,FALSE),"o")=$D$5,IFERROR(VLOOKUP(VLOOKUP($B22, Dependencies!$B$2:$G$230, 6,FALSE), $B$14:AC$73, AC$74,FALSE),"o")=$D$5),$D$5,AB22)))</f>
        <v>o</v>
      </c>
      <c r="AD22" s="93" t="s">
        <v>323</v>
      </c>
      <c r="AE22" s="70" t="str">
        <f>IF(AD22=$D$4,AD22,IF(OR(IFERROR(VLOOKUP(VLOOKUP($B22, Dependencies!$B$2:$G$230, 2,FALSE),$B$14:AE$73, AE$74,FALSE),"o")=$D$4,IFERROR(VLOOKUP(VLOOKUP($B22, Dependencies!$B$2:$G$230, 3,FALSE),$B$14:AE$73, AE$74,FALSE),"o")=$D$4,IFERROR(VLOOKUP(VLOOKUP($B22, Dependencies!$B$2:$G$230, 4,FALSE),$B$14:AE$73, AE$74,FALSE),"o")=$D$4,IFERROR(VLOOKUP(VLOOKUP($B22, Dependencies!$B$2:$G$230, 5,FALSE),$B$14:AE$73, AE$74,FALSE),"o")=$D$4,IFERROR(VLOOKUP(VLOOKUP($B22, Dependencies!$B$2:$G$230, 6,FALSE),$B$14:AE$73, AE$74,FALSE),"o")=$D$4),$D$4,IF(OR(IFERROR(VLOOKUP(VLOOKUP($B22, Dependencies!$B$2:$G$230, 2,FALSE), $B$14:AE$73, AE$74,FALSE),"o")=$D$5,IFERROR(VLOOKUP(VLOOKUP($B22, Dependencies!$B$2:$G$230, 3,FALSE), $B$14:AE$73, AE$74,FALSE),"o")=$D$5,IFERROR(VLOOKUP(VLOOKUP($B22, Dependencies!$B$2:$G$230, 4,FALSE), $B$14:AE$73, AE$74,FALSE),"o")=$D$5,IFERROR(VLOOKUP(VLOOKUP($B22, Dependencies!$B$2:$G$230, 5,FALSE), $B$14:AE$73, AE$74,FALSE),"o")=$D$5,IFERROR(VLOOKUP(VLOOKUP($B22, Dependencies!$B$2:$G$230, 6,FALSE), $B$14:AE$73, AE$74,FALSE),"o")=$D$5),$D$5,AD22)))</f>
        <v>o</v>
      </c>
      <c r="AF22" s="93" t="s">
        <v>323</v>
      </c>
      <c r="AG22" s="70" t="str">
        <f>IF(AF22=$D$4,AF22,IF(OR(IFERROR(VLOOKUP(VLOOKUP($B22, Dependencies!$B$2:$G$230, 2,FALSE),$B$14:AG$73, AG$74,FALSE),"o")=$D$4,IFERROR(VLOOKUP(VLOOKUP($B22, Dependencies!$B$2:$G$230, 3,FALSE),$B$14:AG$73, AG$74,FALSE),"o")=$D$4,IFERROR(VLOOKUP(VLOOKUP($B22, Dependencies!$B$2:$G$230, 4,FALSE),$B$14:AG$73, AG$74,FALSE),"o")=$D$4,IFERROR(VLOOKUP(VLOOKUP($B22, Dependencies!$B$2:$G$230, 5,FALSE),$B$14:AG$73, AG$74,FALSE),"o")=$D$4,IFERROR(VLOOKUP(VLOOKUP($B22, Dependencies!$B$2:$G$230, 6,FALSE),$B$14:AG$73, AG$74,FALSE),"o")=$D$4),$D$4,IF(OR(IFERROR(VLOOKUP(VLOOKUP($B22, Dependencies!$B$2:$G$230, 2,FALSE), $B$14:AG$73, AG$74,FALSE),"o")=$D$5,IFERROR(VLOOKUP(VLOOKUP($B22, Dependencies!$B$2:$G$230, 3,FALSE), $B$14:AG$73, AG$74,FALSE),"o")=$D$5,IFERROR(VLOOKUP(VLOOKUP($B22, Dependencies!$B$2:$G$230, 4,FALSE), $B$14:AG$73, AG$74,FALSE),"o")=$D$5,IFERROR(VLOOKUP(VLOOKUP($B22, Dependencies!$B$2:$G$230, 5,FALSE), $B$14:AG$73, AG$74,FALSE),"o")=$D$5,IFERROR(VLOOKUP(VLOOKUP($B22, Dependencies!$B$2:$G$230, 6,FALSE), $B$14:AG$73, AG$74,FALSE),"o")=$D$5),$D$5,AF22)))</f>
        <v>o</v>
      </c>
      <c r="AH22" s="93" t="s">
        <v>323</v>
      </c>
      <c r="AI22" s="70" t="str">
        <f>IF(AH22=$D$4,AH22,IF(OR(IFERROR(VLOOKUP(VLOOKUP($B22, Dependencies!$B$2:$G$230, 2,FALSE),$B$14:AI$73, AI$74,FALSE),"o")=$D$4,IFERROR(VLOOKUP(VLOOKUP($B22, Dependencies!$B$2:$G$230, 3,FALSE),$B$14:AI$73, AI$74,FALSE),"o")=$D$4,IFERROR(VLOOKUP(VLOOKUP($B22, Dependencies!$B$2:$G$230, 4,FALSE),$B$14:AI$73, AI$74,FALSE),"o")=$D$4,IFERROR(VLOOKUP(VLOOKUP($B22, Dependencies!$B$2:$G$230, 5,FALSE),$B$14:AI$73, AI$74,FALSE),"o")=$D$4,IFERROR(VLOOKUP(VLOOKUP($B22, Dependencies!$B$2:$G$230, 6,FALSE),$B$14:AI$73, AI$74,FALSE),"o")=$D$4),$D$4,IF(OR(IFERROR(VLOOKUP(VLOOKUP($B22, Dependencies!$B$2:$G$230, 2,FALSE), $B$14:AI$73, AI$74,FALSE),"o")=$D$5,IFERROR(VLOOKUP(VLOOKUP($B22, Dependencies!$B$2:$G$230, 3,FALSE), $B$14:AI$73, AI$74,FALSE),"o")=$D$5,IFERROR(VLOOKUP(VLOOKUP($B22, Dependencies!$B$2:$G$230, 4,FALSE), $B$14:AI$73, AI$74,FALSE),"o")=$D$5,IFERROR(VLOOKUP(VLOOKUP($B22, Dependencies!$B$2:$G$230, 5,FALSE), $B$14:AI$73, AI$74,FALSE),"o")=$D$5,IFERROR(VLOOKUP(VLOOKUP($B22, Dependencies!$B$2:$G$230, 6,FALSE), $B$14:AI$73, AI$74,FALSE),"o")=$D$5),$D$5,AH22)))</f>
        <v>o</v>
      </c>
      <c r="AJ22" s="93" t="s">
        <v>323</v>
      </c>
      <c r="AK22" s="70" t="str">
        <f>IF(AJ22=$D$4,AJ22,IF(OR(IFERROR(VLOOKUP(VLOOKUP($B22, Dependencies!$B$2:$G$230, 2,FALSE),$B$14:AK$73, AK$74,FALSE),"o")=$D$4,IFERROR(VLOOKUP(VLOOKUP($B22, Dependencies!$B$2:$G$230, 3,FALSE),$B$14:AK$73, AK$74,FALSE),"o")=$D$4,IFERROR(VLOOKUP(VLOOKUP($B22, Dependencies!$B$2:$G$230, 4,FALSE),$B$14:AK$73, AK$74,FALSE),"o")=$D$4,IFERROR(VLOOKUP(VLOOKUP($B22, Dependencies!$B$2:$G$230, 5,FALSE),$B$14:AK$73, AK$74,FALSE),"o")=$D$4,IFERROR(VLOOKUP(VLOOKUP($B22, Dependencies!$B$2:$G$230, 6,FALSE),$B$14:AK$73, AK$74,FALSE),"o")=$D$4),$D$4,IF(OR(IFERROR(VLOOKUP(VLOOKUP($B22, Dependencies!$B$2:$G$230, 2,FALSE), $B$14:AK$73, AK$74,FALSE),"o")=$D$5,IFERROR(VLOOKUP(VLOOKUP($B22, Dependencies!$B$2:$G$230, 3,FALSE), $B$14:AK$73, AK$74,FALSE),"o")=$D$5,IFERROR(VLOOKUP(VLOOKUP($B22, Dependencies!$B$2:$G$230, 4,FALSE), $B$14:AK$73, AK$74,FALSE),"o")=$D$5,IFERROR(VLOOKUP(VLOOKUP($B22, Dependencies!$B$2:$G$230, 5,FALSE), $B$14:AK$73, AK$74,FALSE),"o")=$D$5,IFERROR(VLOOKUP(VLOOKUP($B22, Dependencies!$B$2:$G$230, 6,FALSE), $B$14:AK$73, AK$74,FALSE),"o")=$D$5),$D$5,AJ22)))</f>
        <v>o</v>
      </c>
      <c r="AL22" s="93" t="s">
        <v>323</v>
      </c>
      <c r="AM22" s="70" t="str">
        <f>IF(AL22=$D$4,AL22,IF(OR(IFERROR(VLOOKUP(VLOOKUP($B22, Dependencies!$B$2:$G$230, 2,FALSE),$B$14:AM$73, AM$74,FALSE),"o")=$D$4,IFERROR(VLOOKUP(VLOOKUP($B22, Dependencies!$B$2:$G$230, 3,FALSE),$B$14:AM$73, AM$74,FALSE),"o")=$D$4,IFERROR(VLOOKUP(VLOOKUP($B22, Dependencies!$B$2:$G$230, 4,FALSE),$B$14:AM$73, AM$74,FALSE),"o")=$D$4,IFERROR(VLOOKUP(VLOOKUP($B22, Dependencies!$B$2:$G$230, 5,FALSE),$B$14:AM$73, AM$74,FALSE),"o")=$D$4,IFERROR(VLOOKUP(VLOOKUP($B22, Dependencies!$B$2:$G$230, 6,FALSE),$B$14:AM$73, AM$74,FALSE),"o")=$D$4),$D$4,IF(OR(IFERROR(VLOOKUP(VLOOKUP($B22, Dependencies!$B$2:$G$230, 2,FALSE), $B$14:AM$73, AM$74,FALSE),"o")=$D$5,IFERROR(VLOOKUP(VLOOKUP($B22, Dependencies!$B$2:$G$230, 3,FALSE), $B$14:AM$73, AM$74,FALSE),"o")=$D$5,IFERROR(VLOOKUP(VLOOKUP($B22, Dependencies!$B$2:$G$230, 4,FALSE), $B$14:AM$73, AM$74,FALSE),"o")=$D$5,IFERROR(VLOOKUP(VLOOKUP($B22, Dependencies!$B$2:$G$230, 5,FALSE), $B$14:AM$73, AM$74,FALSE),"o")=$D$5,IFERROR(VLOOKUP(VLOOKUP($B22, Dependencies!$B$2:$G$230, 6,FALSE), $B$14:AM$73, AM$74,FALSE),"o")=$D$5),$D$5,AL22)))</f>
        <v>o</v>
      </c>
      <c r="AN22" s="93" t="s">
        <v>323</v>
      </c>
      <c r="AO22" s="70" t="str">
        <f>IF(AN22=$D$4,AN22,IF(OR(IFERROR(VLOOKUP(VLOOKUP($B22, Dependencies!$B$2:$G$230, 2,FALSE),$B$14:AO$73, AO$74,FALSE),"o")=$D$4,IFERROR(VLOOKUP(VLOOKUP($B22, Dependencies!$B$2:$G$230, 3,FALSE),$B$14:AO$73, AO$74,FALSE),"o")=$D$4,IFERROR(VLOOKUP(VLOOKUP($B22, Dependencies!$B$2:$G$230, 4,FALSE),$B$14:AO$73, AO$74,FALSE),"o")=$D$4,IFERROR(VLOOKUP(VLOOKUP($B22, Dependencies!$B$2:$G$230, 5,FALSE),$B$14:AO$73, AO$74,FALSE),"o")=$D$4,IFERROR(VLOOKUP(VLOOKUP($B22, Dependencies!$B$2:$G$230, 6,FALSE),$B$14:AO$73, AO$74,FALSE),"o")=$D$4),$D$4,IF(OR(IFERROR(VLOOKUP(VLOOKUP($B22, Dependencies!$B$2:$G$230, 2,FALSE), $B$14:AO$73, AO$74,FALSE),"o")=$D$5,IFERROR(VLOOKUP(VLOOKUP($B22, Dependencies!$B$2:$G$230, 3,FALSE), $B$14:AO$73, AO$74,FALSE),"o")=$D$5,IFERROR(VLOOKUP(VLOOKUP($B22, Dependencies!$B$2:$G$230, 4,FALSE), $B$14:AO$73, AO$74,FALSE),"o")=$D$5,IFERROR(VLOOKUP(VLOOKUP($B22, Dependencies!$B$2:$G$230, 5,FALSE), $B$14:AO$73, AO$74,FALSE),"o")=$D$5,IFERROR(VLOOKUP(VLOOKUP($B22, Dependencies!$B$2:$G$230, 6,FALSE), $B$14:AO$73, AO$74,FALSE),"o")=$D$5),$D$5,AN22)))</f>
        <v>o</v>
      </c>
      <c r="AP22" s="93" t="s">
        <v>323</v>
      </c>
      <c r="AQ22" s="70" t="str">
        <f>IF(AP22=$D$4,AP22,IF(OR(IFERROR(VLOOKUP(VLOOKUP($B22, Dependencies!$B$2:$G$230, 2,FALSE),$B$14:AQ$73, AQ$74,FALSE),"o")=$D$4,IFERROR(VLOOKUP(VLOOKUP($B22, Dependencies!$B$2:$G$230, 3,FALSE),$B$14:AQ$73, AQ$74,FALSE),"o")=$D$4,IFERROR(VLOOKUP(VLOOKUP($B22, Dependencies!$B$2:$G$230, 4,FALSE),$B$14:AQ$73, AQ$74,FALSE),"o")=$D$4,IFERROR(VLOOKUP(VLOOKUP($B22, Dependencies!$B$2:$G$230, 5,FALSE),$B$14:AQ$73, AQ$74,FALSE),"o")=$D$4,IFERROR(VLOOKUP(VLOOKUP($B22, Dependencies!$B$2:$G$230, 6,FALSE),$B$14:AQ$73, AQ$74,FALSE),"o")=$D$4),$D$4,IF(OR(IFERROR(VLOOKUP(VLOOKUP($B22, Dependencies!$B$2:$G$230, 2,FALSE), $B$14:AQ$73, AQ$74,FALSE),"o")=$D$5,IFERROR(VLOOKUP(VLOOKUP($B22, Dependencies!$B$2:$G$230, 3,FALSE), $B$14:AQ$73, AQ$74,FALSE),"o")=$D$5,IFERROR(VLOOKUP(VLOOKUP($B22, Dependencies!$B$2:$G$230, 4,FALSE), $B$14:AQ$73, AQ$74,FALSE),"o")=$D$5,IFERROR(VLOOKUP(VLOOKUP($B22, Dependencies!$B$2:$G$230, 5,FALSE), $B$14:AQ$73, AQ$74,FALSE),"o")=$D$5,IFERROR(VLOOKUP(VLOOKUP($B22, Dependencies!$B$2:$G$230, 6,FALSE), $B$14:AQ$73, AQ$74,FALSE),"o")=$D$5),$D$5,AP22)))</f>
        <v>o</v>
      </c>
      <c r="AR22" s="93" t="s">
        <v>323</v>
      </c>
      <c r="AS22" s="69" t="str">
        <f>IF(AR22=$D$4,AR22,IF(OR(IFERROR(VLOOKUP(VLOOKUP($B22, Dependencies!$B$2:$G$230, 2,FALSE),$B$14:AS$73, AS$74,FALSE),"o")=$D$4,IFERROR(VLOOKUP(VLOOKUP($B22, Dependencies!$B$2:$G$230, 3,FALSE),$B$14:AS$73, AS$74,FALSE),"o")=$D$4,IFERROR(VLOOKUP(VLOOKUP($B22, Dependencies!$B$2:$G$230, 4,FALSE),$B$14:AS$73, AS$74,FALSE),"o")=$D$4,IFERROR(VLOOKUP(VLOOKUP($B22, Dependencies!$B$2:$G$230, 5,FALSE),$B$14:AS$73, AS$74,FALSE),"o")=$D$4,IFERROR(VLOOKUP(VLOOKUP($B22, Dependencies!$B$2:$G$230, 6,FALSE),$B$14:AS$73, AS$74,FALSE),"o")=$D$4),$D$4,IF(OR(IFERROR(VLOOKUP(VLOOKUP($B22, Dependencies!$B$2:$G$230, 2,FALSE), $B$14:AS$73, AS$74,FALSE),"o")=$D$5,IFERROR(VLOOKUP(VLOOKUP($B22, Dependencies!$B$2:$G$230, 3,FALSE), $B$14:AS$73, AS$74,FALSE),"o")=$D$5,IFERROR(VLOOKUP(VLOOKUP($B22, Dependencies!$B$2:$G$230, 4,FALSE), $B$14:AS$73, AS$74,FALSE),"o")=$D$5,IFERROR(VLOOKUP(VLOOKUP($B22, Dependencies!$B$2:$G$230, 5,FALSE), $B$14:AS$73, AS$74,FALSE),"o")=$D$5,IFERROR(VLOOKUP(VLOOKUP($B22, Dependencies!$B$2:$G$230, 6,FALSE), $B$14:AS$73, AS$74,FALSE),"o")=$D$5),$D$5,AR22)))</f>
        <v>o</v>
      </c>
    </row>
    <row r="23" spans="1:47" x14ac:dyDescent="0.2">
      <c r="A23" s="40" t="s">
        <v>332</v>
      </c>
      <c r="B23" s="74" t="str">
        <f>MLEOsv2!A11</f>
        <v>MLEO_00_10</v>
      </c>
      <c r="C23" s="74">
        <f>MLEOsv2!C11</f>
        <v>1</v>
      </c>
      <c r="D23" s="44" t="str">
        <f>MLEOsv2!G11</f>
        <v>implement simple entity classes.</v>
      </c>
      <c r="E23" s="68" t="b">
        <f>MLEOsv2!H11</f>
        <v>1</v>
      </c>
      <c r="F23" s="94" t="s">
        <v>320</v>
      </c>
      <c r="G23" s="72" t="str">
        <f>IF(F23=$D$4,F23,IF(OR(IFERROR(VLOOKUP(VLOOKUP($B23, Dependencies!$B$2:$G$230, 2,FALSE),$B$14:G$73, G$74,FALSE),"o")=$D$4,IFERROR(VLOOKUP(VLOOKUP($B23, Dependencies!$B$2:$G$230, 3,FALSE),$B$14:G$73, G$74,FALSE),"o")=$D$4,IFERROR(VLOOKUP(VLOOKUP($B23, Dependencies!$B$2:$G$230, 4,FALSE),$B$14:G$73, G$74,FALSE),"o")=$D$4,IFERROR(VLOOKUP(VLOOKUP($B23, Dependencies!$B$2:$G$230, 5,FALSE),$B$14:G$73, G$74,FALSE),"o")=$D$4,IFERROR(VLOOKUP(VLOOKUP($B23, Dependencies!$B$2:$G$230, 6,FALSE),$B$14:G$73, G$74,FALSE),"o")=$D$4),$D$4,IF(OR(IFERROR(VLOOKUP(VLOOKUP($B23, Dependencies!$B$2:$G$230, 2,FALSE), $B$14:G$73, G$74,FALSE),"o")=$D$5,IFERROR(VLOOKUP(VLOOKUP($B23, Dependencies!$B$2:$G$230, 3,FALSE), $B$14:G$73, G$74,FALSE),"o")=$D$5,IFERROR(VLOOKUP(VLOOKUP($B23, Dependencies!$B$2:$G$230, 4,FALSE), $B$14:G$73, G$74,FALSE),"o")=$D$5,IFERROR(VLOOKUP(VLOOKUP($B23, Dependencies!$B$2:$G$230, 5,FALSE), $B$14:G$73, G$74,FALSE),"o")=$D$5,IFERROR(VLOOKUP(VLOOKUP($B23, Dependencies!$B$2:$G$230, 6,FALSE), $B$14:G$73, G$74,FALSE),"o")=$D$5),$D$5,F23)))</f>
        <v>r</v>
      </c>
      <c r="H23" s="94" t="s">
        <v>321</v>
      </c>
      <c r="I23" s="72" t="str">
        <f>IF(H23=$D$4,H23,IF(OR(IFERROR(VLOOKUP(VLOOKUP($B23, Dependencies!$B$2:$G$230, 2,FALSE),$B$14:I$73, I$74,FALSE),"o")=$D$4,IFERROR(VLOOKUP(VLOOKUP($B23, Dependencies!$B$2:$G$230, 3,FALSE),$B$14:I$73, I$74,FALSE),"o")=$D$4,IFERROR(VLOOKUP(VLOOKUP($B23, Dependencies!$B$2:$G$230, 4,FALSE),$B$14:I$73, I$74,FALSE),"o")=$D$4,IFERROR(VLOOKUP(VLOOKUP($B23, Dependencies!$B$2:$G$230, 5,FALSE),$B$14:I$73, I$74,FALSE),"o")=$D$4,IFERROR(VLOOKUP(VLOOKUP($B23, Dependencies!$B$2:$G$230, 6,FALSE),$B$14:I$73, I$74,FALSE),"o")=$D$4),$D$4,IF(OR(IFERROR(VLOOKUP(VLOOKUP($B23, Dependencies!$B$2:$G$230, 2,FALSE), $B$14:I$73, I$74,FALSE),"o")=$D$5,IFERROR(VLOOKUP(VLOOKUP($B23, Dependencies!$B$2:$G$230, 3,FALSE), $B$14:I$73, I$74,FALSE),"o")=$D$5,IFERROR(VLOOKUP(VLOOKUP($B23, Dependencies!$B$2:$G$230, 4,FALSE), $B$14:I$73, I$74,FALSE),"o")=$D$5,IFERROR(VLOOKUP(VLOOKUP($B23, Dependencies!$B$2:$G$230, 5,FALSE), $B$14:I$73, I$74,FALSE),"o")=$D$5,IFERROR(VLOOKUP(VLOOKUP($B23, Dependencies!$B$2:$G$230, 6,FALSE), $B$14:I$73, I$74,FALSE),"o")=$D$5),$D$5,H23)))</f>
        <v>pr</v>
      </c>
      <c r="J23" s="94" t="s">
        <v>323</v>
      </c>
      <c r="K23" s="72" t="str">
        <f>IF(J23=$D$4,J23,IF(OR(IFERROR(VLOOKUP(VLOOKUP($B23, Dependencies!$B$2:$G$230, 2,FALSE),$B$14:K$73, K$74,FALSE),"o")=$D$4,IFERROR(VLOOKUP(VLOOKUP($B23, Dependencies!$B$2:$G$230, 3,FALSE),$B$14:K$73, K$74,FALSE),"o")=$D$4,IFERROR(VLOOKUP(VLOOKUP($B23, Dependencies!$B$2:$G$230, 4,FALSE),$B$14:K$73, K$74,FALSE),"o")=$D$4,IFERROR(VLOOKUP(VLOOKUP($B23, Dependencies!$B$2:$G$230, 5,FALSE),$B$14:K$73, K$74,FALSE),"o")=$D$4,IFERROR(VLOOKUP(VLOOKUP($B23, Dependencies!$B$2:$G$230, 6,FALSE),$B$14:K$73, K$74,FALSE),"o")=$D$4),$D$4,IF(OR(IFERROR(VLOOKUP(VLOOKUP($B23, Dependencies!$B$2:$G$230, 2,FALSE), $B$14:K$73, K$74,FALSE),"o")=$D$5,IFERROR(VLOOKUP(VLOOKUP($B23, Dependencies!$B$2:$G$230, 3,FALSE), $B$14:K$73, K$74,FALSE),"o")=$D$5,IFERROR(VLOOKUP(VLOOKUP($B23, Dependencies!$B$2:$G$230, 4,FALSE), $B$14:K$73, K$74,FALSE),"o")=$D$5,IFERROR(VLOOKUP(VLOOKUP($B23, Dependencies!$B$2:$G$230, 5,FALSE), $B$14:K$73, K$74,FALSE),"o")=$D$5,IFERROR(VLOOKUP(VLOOKUP($B23, Dependencies!$B$2:$G$230, 6,FALSE), $B$14:K$73, K$74,FALSE),"o")=$D$5),$D$5,J23)))</f>
        <v>r</v>
      </c>
      <c r="L23" s="94" t="s">
        <v>323</v>
      </c>
      <c r="M23" s="72" t="str">
        <f>IF(L23=$D$4,L23,IF(OR(IFERROR(VLOOKUP(VLOOKUP($B23, Dependencies!$B$2:$G$230, 2,FALSE),$B$14:M$73, M$74,FALSE),"o")=$D$4,IFERROR(VLOOKUP(VLOOKUP($B23, Dependencies!$B$2:$G$230, 3,FALSE),$B$14:M$73, M$74,FALSE),"o")=$D$4,IFERROR(VLOOKUP(VLOOKUP($B23, Dependencies!$B$2:$G$230, 4,FALSE),$B$14:M$73, M$74,FALSE),"o")=$D$4,IFERROR(VLOOKUP(VLOOKUP($B23, Dependencies!$B$2:$G$230, 5,FALSE),$B$14:M$73, M$74,FALSE),"o")=$D$4,IFERROR(VLOOKUP(VLOOKUP($B23, Dependencies!$B$2:$G$230, 6,FALSE),$B$14:M$73, M$74,FALSE),"o")=$D$4),$D$4,IF(OR(IFERROR(VLOOKUP(VLOOKUP($B23, Dependencies!$B$2:$G$230, 2,FALSE), $B$14:M$73, M$74,FALSE),"o")=$D$5,IFERROR(VLOOKUP(VLOOKUP($B23, Dependencies!$B$2:$G$230, 3,FALSE), $B$14:M$73, M$74,FALSE),"o")=$D$5,IFERROR(VLOOKUP(VLOOKUP($B23, Dependencies!$B$2:$G$230, 4,FALSE), $B$14:M$73, M$74,FALSE),"o")=$D$5,IFERROR(VLOOKUP(VLOOKUP($B23, Dependencies!$B$2:$G$230, 5,FALSE), $B$14:M$73, M$74,FALSE),"o")=$D$5,IFERROR(VLOOKUP(VLOOKUP($B23, Dependencies!$B$2:$G$230, 6,FALSE), $B$14:M$73, M$74,FALSE),"o")=$D$5),$D$5,L23)))</f>
        <v>o</v>
      </c>
      <c r="N23" s="94" t="s">
        <v>323</v>
      </c>
      <c r="O23" s="72" t="str">
        <f>IF(N23=$D$4,N23,IF(OR(IFERROR(VLOOKUP(VLOOKUP($B23, Dependencies!$B$2:$G$230, 2,FALSE),$B$14:O$73, O$74,FALSE),"o")=$D$4,IFERROR(VLOOKUP(VLOOKUP($B23, Dependencies!$B$2:$G$230, 3,FALSE),$B$14:O$73, O$74,FALSE),"o")=$D$4,IFERROR(VLOOKUP(VLOOKUP($B23, Dependencies!$B$2:$G$230, 4,FALSE),$B$14:O$73, O$74,FALSE),"o")=$D$4,IFERROR(VLOOKUP(VLOOKUP($B23, Dependencies!$B$2:$G$230, 5,FALSE),$B$14:O$73, O$74,FALSE),"o")=$D$4,IFERROR(VLOOKUP(VLOOKUP($B23, Dependencies!$B$2:$G$230, 6,FALSE),$B$14:O$73, O$74,FALSE),"o")=$D$4),$D$4,IF(OR(IFERROR(VLOOKUP(VLOOKUP($B23, Dependencies!$B$2:$G$230, 2,FALSE), $B$14:O$73, O$74,FALSE),"o")=$D$5,IFERROR(VLOOKUP(VLOOKUP($B23, Dependencies!$B$2:$G$230, 3,FALSE), $B$14:O$73, O$74,FALSE),"o")=$D$5,IFERROR(VLOOKUP(VLOOKUP($B23, Dependencies!$B$2:$G$230, 4,FALSE), $B$14:O$73, O$74,FALSE),"o")=$D$5,IFERROR(VLOOKUP(VLOOKUP($B23, Dependencies!$B$2:$G$230, 5,FALSE), $B$14:O$73, O$74,FALSE),"o")=$D$5,IFERROR(VLOOKUP(VLOOKUP($B23, Dependencies!$B$2:$G$230, 6,FALSE), $B$14:O$73, O$74,FALSE),"o")=$D$5),$D$5,N23)))</f>
        <v>o</v>
      </c>
      <c r="P23" s="94" t="s">
        <v>323</v>
      </c>
      <c r="Q23" s="72" t="str">
        <f>IF(P23=$D$4,P23,IF(OR(IFERROR(VLOOKUP(VLOOKUP($B23, Dependencies!$B$2:$G$230, 2,FALSE),$B$14:Q$73, Q$74,FALSE),"o")=$D$4,IFERROR(VLOOKUP(VLOOKUP($B23, Dependencies!$B$2:$G$230, 3,FALSE),$B$14:Q$73, Q$74,FALSE),"o")=$D$4,IFERROR(VLOOKUP(VLOOKUP($B23, Dependencies!$B$2:$G$230, 4,FALSE),$B$14:Q$73, Q$74,FALSE),"o")=$D$4,IFERROR(VLOOKUP(VLOOKUP($B23, Dependencies!$B$2:$G$230, 5,FALSE),$B$14:Q$73, Q$74,FALSE),"o")=$D$4,IFERROR(VLOOKUP(VLOOKUP($B23, Dependencies!$B$2:$G$230, 6,FALSE),$B$14:Q$73, Q$74,FALSE),"o")=$D$4),$D$4,IF(OR(IFERROR(VLOOKUP(VLOOKUP($B23, Dependencies!$B$2:$G$230, 2,FALSE), $B$14:Q$73, Q$74,FALSE),"o")=$D$5,IFERROR(VLOOKUP(VLOOKUP($B23, Dependencies!$B$2:$G$230, 3,FALSE), $B$14:Q$73, Q$74,FALSE),"o")=$D$5,IFERROR(VLOOKUP(VLOOKUP($B23, Dependencies!$B$2:$G$230, 4,FALSE), $B$14:Q$73, Q$74,FALSE),"o")=$D$5,IFERROR(VLOOKUP(VLOOKUP($B23, Dependencies!$B$2:$G$230, 5,FALSE), $B$14:Q$73, Q$74,FALSE),"o")=$D$5,IFERROR(VLOOKUP(VLOOKUP($B23, Dependencies!$B$2:$G$230, 6,FALSE), $B$14:Q$73, Q$74,FALSE),"o")=$D$5),$D$5,P23)))</f>
        <v>o</v>
      </c>
      <c r="R23" s="94" t="s">
        <v>323</v>
      </c>
      <c r="S23" s="72" t="str">
        <f>IF(R23=$D$4,R23,IF(OR(IFERROR(VLOOKUP(VLOOKUP($B23, Dependencies!$B$2:$G$230, 2,FALSE),$B$14:S$73, S$74,FALSE),"o")=$D$4,IFERROR(VLOOKUP(VLOOKUP($B23, Dependencies!$B$2:$G$230, 3,FALSE),$B$14:S$73, S$74,FALSE),"o")=$D$4,IFERROR(VLOOKUP(VLOOKUP($B23, Dependencies!$B$2:$G$230, 4,FALSE),$B$14:S$73, S$74,FALSE),"o")=$D$4,IFERROR(VLOOKUP(VLOOKUP($B23, Dependencies!$B$2:$G$230, 5,FALSE),$B$14:S$73, S$74,FALSE),"o")=$D$4,IFERROR(VLOOKUP(VLOOKUP($B23, Dependencies!$B$2:$G$230, 6,FALSE),$B$14:S$73, S$74,FALSE),"o")=$D$4),$D$4,IF(OR(IFERROR(VLOOKUP(VLOOKUP($B23, Dependencies!$B$2:$G$230, 2,FALSE), $B$14:S$73, S$74,FALSE),"o")=$D$5,IFERROR(VLOOKUP(VLOOKUP($B23, Dependencies!$B$2:$G$230, 3,FALSE), $B$14:S$73, S$74,FALSE),"o")=$D$5,IFERROR(VLOOKUP(VLOOKUP($B23, Dependencies!$B$2:$G$230, 4,FALSE), $B$14:S$73, S$74,FALSE),"o")=$D$5,IFERROR(VLOOKUP(VLOOKUP($B23, Dependencies!$B$2:$G$230, 5,FALSE), $B$14:S$73, S$74,FALSE),"o")=$D$5,IFERROR(VLOOKUP(VLOOKUP($B23, Dependencies!$B$2:$G$230, 6,FALSE), $B$14:S$73, S$74,FALSE),"o")=$D$5),$D$5,R23)))</f>
        <v>o</v>
      </c>
      <c r="T23" s="94" t="s">
        <v>323</v>
      </c>
      <c r="U23" s="72" t="str">
        <f>IF(T23=$D$4,T23,IF(OR(IFERROR(VLOOKUP(VLOOKUP($B23, Dependencies!$B$2:$G$230, 2,FALSE),$B$14:U$73, U$74,FALSE),"o")=$D$4,IFERROR(VLOOKUP(VLOOKUP($B23, Dependencies!$B$2:$G$230, 3,FALSE),$B$14:U$73, U$74,FALSE),"o")=$D$4,IFERROR(VLOOKUP(VLOOKUP($B23, Dependencies!$B$2:$G$230, 4,FALSE),$B$14:U$73, U$74,FALSE),"o")=$D$4,IFERROR(VLOOKUP(VLOOKUP($B23, Dependencies!$B$2:$G$230, 5,FALSE),$B$14:U$73, U$74,FALSE),"o")=$D$4,IFERROR(VLOOKUP(VLOOKUP($B23, Dependencies!$B$2:$G$230, 6,FALSE),$B$14:U$73, U$74,FALSE),"o")=$D$4),$D$4,IF(OR(IFERROR(VLOOKUP(VLOOKUP($B23, Dependencies!$B$2:$G$230, 2,FALSE), $B$14:U$73, U$74,FALSE),"o")=$D$5,IFERROR(VLOOKUP(VLOOKUP($B23, Dependencies!$B$2:$G$230, 3,FALSE), $B$14:U$73, U$74,FALSE),"o")=$D$5,IFERROR(VLOOKUP(VLOOKUP($B23, Dependencies!$B$2:$G$230, 4,FALSE), $B$14:U$73, U$74,FALSE),"o")=$D$5,IFERROR(VLOOKUP(VLOOKUP($B23, Dependencies!$B$2:$G$230, 5,FALSE), $B$14:U$73, U$74,FALSE),"o")=$D$5,IFERROR(VLOOKUP(VLOOKUP($B23, Dependencies!$B$2:$G$230, 6,FALSE), $B$14:U$73, U$74,FALSE),"o")=$D$5),$D$5,T23)))</f>
        <v>o</v>
      </c>
      <c r="V23" s="94" t="s">
        <v>323</v>
      </c>
      <c r="W23" s="72" t="str">
        <f>IF(V23=$D$4,V23,IF(OR(IFERROR(VLOOKUP(VLOOKUP($B23, Dependencies!$B$2:$G$230, 2,FALSE),$B$14:W$73, W$74,FALSE),"o")=$D$4,IFERROR(VLOOKUP(VLOOKUP($B23, Dependencies!$B$2:$G$230, 3,FALSE),$B$14:W$73, W$74,FALSE),"o")=$D$4,IFERROR(VLOOKUP(VLOOKUP($B23, Dependencies!$B$2:$G$230, 4,FALSE),$B$14:W$73, W$74,FALSE),"o")=$D$4,IFERROR(VLOOKUP(VLOOKUP($B23, Dependencies!$B$2:$G$230, 5,FALSE),$B$14:W$73, W$74,FALSE),"o")=$D$4,IFERROR(VLOOKUP(VLOOKUP($B23, Dependencies!$B$2:$G$230, 6,FALSE),$B$14:W$73, W$74,FALSE),"o")=$D$4),$D$4,IF(OR(IFERROR(VLOOKUP(VLOOKUP($B23, Dependencies!$B$2:$G$230, 2,FALSE), $B$14:W$73, W$74,FALSE),"o")=$D$5,IFERROR(VLOOKUP(VLOOKUP($B23, Dependencies!$B$2:$G$230, 3,FALSE), $B$14:W$73, W$74,FALSE),"o")=$D$5,IFERROR(VLOOKUP(VLOOKUP($B23, Dependencies!$B$2:$G$230, 4,FALSE), $B$14:W$73, W$74,FALSE),"o")=$D$5,IFERROR(VLOOKUP(VLOOKUP($B23, Dependencies!$B$2:$G$230, 5,FALSE), $B$14:W$73, W$74,FALSE),"o")=$D$5,IFERROR(VLOOKUP(VLOOKUP($B23, Dependencies!$B$2:$G$230, 6,FALSE), $B$14:W$73, W$74,FALSE),"o")=$D$5),$D$5,V23)))</f>
        <v>o</v>
      </c>
      <c r="X23" s="94" t="s">
        <v>323</v>
      </c>
      <c r="Y23" s="72" t="str">
        <f>IF(X23=$D$4,X23,IF(OR(IFERROR(VLOOKUP(VLOOKUP($B23, Dependencies!$B$2:$G$230, 2,FALSE),$B$14:Y$73, Y$74,FALSE),"o")=$D$4,IFERROR(VLOOKUP(VLOOKUP($B23, Dependencies!$B$2:$G$230, 3,FALSE),$B$14:Y$73, Y$74,FALSE),"o")=$D$4,IFERROR(VLOOKUP(VLOOKUP($B23, Dependencies!$B$2:$G$230, 4,FALSE),$B$14:Y$73, Y$74,FALSE),"o")=$D$4,IFERROR(VLOOKUP(VLOOKUP($B23, Dependencies!$B$2:$G$230, 5,FALSE),$B$14:Y$73, Y$74,FALSE),"o")=$D$4,IFERROR(VLOOKUP(VLOOKUP($B23, Dependencies!$B$2:$G$230, 6,FALSE),$B$14:Y$73, Y$74,FALSE),"o")=$D$4),$D$4,IF(OR(IFERROR(VLOOKUP(VLOOKUP($B23, Dependencies!$B$2:$G$230, 2,FALSE), $B$14:Y$73, Y$74,FALSE),"o")=$D$5,IFERROR(VLOOKUP(VLOOKUP($B23, Dependencies!$B$2:$G$230, 3,FALSE), $B$14:Y$73, Y$74,FALSE),"o")=$D$5,IFERROR(VLOOKUP(VLOOKUP($B23, Dependencies!$B$2:$G$230, 4,FALSE), $B$14:Y$73, Y$74,FALSE),"o")=$D$5,IFERROR(VLOOKUP(VLOOKUP($B23, Dependencies!$B$2:$G$230, 5,FALSE), $B$14:Y$73, Y$74,FALSE),"o")=$D$5,IFERROR(VLOOKUP(VLOOKUP($B23, Dependencies!$B$2:$G$230, 6,FALSE), $B$14:Y$73, Y$74,FALSE),"o")=$D$5),$D$5,X23)))</f>
        <v>o</v>
      </c>
      <c r="Z23" s="94" t="s">
        <v>323</v>
      </c>
      <c r="AA23" s="72" t="str">
        <f>IF(Z23=$D$4,Z23,IF(OR(IFERROR(VLOOKUP(VLOOKUP($B23, Dependencies!$B$2:$G$230, 2,FALSE),$B$14:AA$73, AA$74,FALSE),"o")=$D$4,IFERROR(VLOOKUP(VLOOKUP($B23, Dependencies!$B$2:$G$230, 3,FALSE),$B$14:AA$73, AA$74,FALSE),"o")=$D$4,IFERROR(VLOOKUP(VLOOKUP($B23, Dependencies!$B$2:$G$230, 4,FALSE),$B$14:AA$73, AA$74,FALSE),"o")=$D$4,IFERROR(VLOOKUP(VLOOKUP($B23, Dependencies!$B$2:$G$230, 5,FALSE),$B$14:AA$73, AA$74,FALSE),"o")=$D$4,IFERROR(VLOOKUP(VLOOKUP($B23, Dependencies!$B$2:$G$230, 6,FALSE),$B$14:AA$73, AA$74,FALSE),"o")=$D$4),$D$4,IF(OR(IFERROR(VLOOKUP(VLOOKUP($B23, Dependencies!$B$2:$G$230, 2,FALSE), $B$14:AA$73, AA$74,FALSE),"o")=$D$5,IFERROR(VLOOKUP(VLOOKUP($B23, Dependencies!$B$2:$G$230, 3,FALSE), $B$14:AA$73, AA$74,FALSE),"o")=$D$5,IFERROR(VLOOKUP(VLOOKUP($B23, Dependencies!$B$2:$G$230, 4,FALSE), $B$14:AA$73, AA$74,FALSE),"o")=$D$5,IFERROR(VLOOKUP(VLOOKUP($B23, Dependencies!$B$2:$G$230, 5,FALSE), $B$14:AA$73, AA$74,FALSE),"o")=$D$5,IFERROR(VLOOKUP(VLOOKUP($B23, Dependencies!$B$2:$G$230, 6,FALSE), $B$14:AA$73, AA$74,FALSE),"o")=$D$5),$D$5,Z23)))</f>
        <v>o</v>
      </c>
      <c r="AB23" s="94" t="s">
        <v>323</v>
      </c>
      <c r="AC23" s="72" t="str">
        <f>IF(AB23=$D$4,AB23,IF(OR(IFERROR(VLOOKUP(VLOOKUP($B23, Dependencies!$B$2:$G$230, 2,FALSE),$B$14:AC$73, AC$74,FALSE),"o")=$D$4,IFERROR(VLOOKUP(VLOOKUP($B23, Dependencies!$B$2:$G$230, 3,FALSE),$B$14:AC$73, AC$74,FALSE),"o")=$D$4,IFERROR(VLOOKUP(VLOOKUP($B23, Dependencies!$B$2:$G$230, 4,FALSE),$B$14:AC$73, AC$74,FALSE),"o")=$D$4,IFERROR(VLOOKUP(VLOOKUP($B23, Dependencies!$B$2:$G$230, 5,FALSE),$B$14:AC$73, AC$74,FALSE),"o")=$D$4,IFERROR(VLOOKUP(VLOOKUP($B23, Dependencies!$B$2:$G$230, 6,FALSE),$B$14:AC$73, AC$74,FALSE),"o")=$D$4),$D$4,IF(OR(IFERROR(VLOOKUP(VLOOKUP($B23, Dependencies!$B$2:$G$230, 2,FALSE), $B$14:AC$73, AC$74,FALSE),"o")=$D$5,IFERROR(VLOOKUP(VLOOKUP($B23, Dependencies!$B$2:$G$230, 3,FALSE), $B$14:AC$73, AC$74,FALSE),"o")=$D$5,IFERROR(VLOOKUP(VLOOKUP($B23, Dependencies!$B$2:$G$230, 4,FALSE), $B$14:AC$73, AC$74,FALSE),"o")=$D$5,IFERROR(VLOOKUP(VLOOKUP($B23, Dependencies!$B$2:$G$230, 5,FALSE), $B$14:AC$73, AC$74,FALSE),"o")=$D$5,IFERROR(VLOOKUP(VLOOKUP($B23, Dependencies!$B$2:$G$230, 6,FALSE), $B$14:AC$73, AC$74,FALSE),"o")=$D$5),$D$5,AB23)))</f>
        <v>o</v>
      </c>
      <c r="AD23" s="94" t="s">
        <v>323</v>
      </c>
      <c r="AE23" s="72" t="str">
        <f>IF(AD23=$D$4,AD23,IF(OR(IFERROR(VLOOKUP(VLOOKUP($B23, Dependencies!$B$2:$G$230, 2,FALSE),$B$14:AE$73, AE$74,FALSE),"o")=$D$4,IFERROR(VLOOKUP(VLOOKUP($B23, Dependencies!$B$2:$G$230, 3,FALSE),$B$14:AE$73, AE$74,FALSE),"o")=$D$4,IFERROR(VLOOKUP(VLOOKUP($B23, Dependencies!$B$2:$G$230, 4,FALSE),$B$14:AE$73, AE$74,FALSE),"o")=$D$4,IFERROR(VLOOKUP(VLOOKUP($B23, Dependencies!$B$2:$G$230, 5,FALSE),$B$14:AE$73, AE$74,FALSE),"o")=$D$4,IFERROR(VLOOKUP(VLOOKUP($B23, Dependencies!$B$2:$G$230, 6,FALSE),$B$14:AE$73, AE$74,FALSE),"o")=$D$4),$D$4,IF(OR(IFERROR(VLOOKUP(VLOOKUP($B23, Dependencies!$B$2:$G$230, 2,FALSE), $B$14:AE$73, AE$74,FALSE),"o")=$D$5,IFERROR(VLOOKUP(VLOOKUP($B23, Dependencies!$B$2:$G$230, 3,FALSE), $B$14:AE$73, AE$74,FALSE),"o")=$D$5,IFERROR(VLOOKUP(VLOOKUP($B23, Dependencies!$B$2:$G$230, 4,FALSE), $B$14:AE$73, AE$74,FALSE),"o")=$D$5,IFERROR(VLOOKUP(VLOOKUP($B23, Dependencies!$B$2:$G$230, 5,FALSE), $B$14:AE$73, AE$74,FALSE),"o")=$D$5,IFERROR(VLOOKUP(VLOOKUP($B23, Dependencies!$B$2:$G$230, 6,FALSE), $B$14:AE$73, AE$74,FALSE),"o")=$D$5),$D$5,AD23)))</f>
        <v>o</v>
      </c>
      <c r="AF23" s="94" t="s">
        <v>323</v>
      </c>
      <c r="AG23" s="72" t="str">
        <f>IF(AF23=$D$4,AF23,IF(OR(IFERROR(VLOOKUP(VLOOKUP($B23, Dependencies!$B$2:$G$230, 2,FALSE),$B$14:AG$73, AG$74,FALSE),"o")=$D$4,IFERROR(VLOOKUP(VLOOKUP($B23, Dependencies!$B$2:$G$230, 3,FALSE),$B$14:AG$73, AG$74,FALSE),"o")=$D$4,IFERROR(VLOOKUP(VLOOKUP($B23, Dependencies!$B$2:$G$230, 4,FALSE),$B$14:AG$73, AG$74,FALSE),"o")=$D$4,IFERROR(VLOOKUP(VLOOKUP($B23, Dependencies!$B$2:$G$230, 5,FALSE),$B$14:AG$73, AG$74,FALSE),"o")=$D$4,IFERROR(VLOOKUP(VLOOKUP($B23, Dependencies!$B$2:$G$230, 6,FALSE),$B$14:AG$73, AG$74,FALSE),"o")=$D$4),$D$4,IF(OR(IFERROR(VLOOKUP(VLOOKUP($B23, Dependencies!$B$2:$G$230, 2,FALSE), $B$14:AG$73, AG$74,FALSE),"o")=$D$5,IFERROR(VLOOKUP(VLOOKUP($B23, Dependencies!$B$2:$G$230, 3,FALSE), $B$14:AG$73, AG$74,FALSE),"o")=$D$5,IFERROR(VLOOKUP(VLOOKUP($B23, Dependencies!$B$2:$G$230, 4,FALSE), $B$14:AG$73, AG$74,FALSE),"o")=$D$5,IFERROR(VLOOKUP(VLOOKUP($B23, Dependencies!$B$2:$G$230, 5,FALSE), $B$14:AG$73, AG$74,FALSE),"o")=$D$5,IFERROR(VLOOKUP(VLOOKUP($B23, Dependencies!$B$2:$G$230, 6,FALSE), $B$14:AG$73, AG$74,FALSE),"o")=$D$5),$D$5,AF23)))</f>
        <v>o</v>
      </c>
      <c r="AH23" s="94" t="s">
        <v>323</v>
      </c>
      <c r="AI23" s="72" t="str">
        <f>IF(AH23=$D$4,AH23,IF(OR(IFERROR(VLOOKUP(VLOOKUP($B23, Dependencies!$B$2:$G$230, 2,FALSE),$B$14:AI$73, AI$74,FALSE),"o")=$D$4,IFERROR(VLOOKUP(VLOOKUP($B23, Dependencies!$B$2:$G$230, 3,FALSE),$B$14:AI$73, AI$74,FALSE),"o")=$D$4,IFERROR(VLOOKUP(VLOOKUP($B23, Dependencies!$B$2:$G$230, 4,FALSE),$B$14:AI$73, AI$74,FALSE),"o")=$D$4,IFERROR(VLOOKUP(VLOOKUP($B23, Dependencies!$B$2:$G$230, 5,FALSE),$B$14:AI$73, AI$74,FALSE),"o")=$D$4,IFERROR(VLOOKUP(VLOOKUP($B23, Dependencies!$B$2:$G$230, 6,FALSE),$B$14:AI$73, AI$74,FALSE),"o")=$D$4),$D$4,IF(OR(IFERROR(VLOOKUP(VLOOKUP($B23, Dependencies!$B$2:$G$230, 2,FALSE), $B$14:AI$73, AI$74,FALSE),"o")=$D$5,IFERROR(VLOOKUP(VLOOKUP($B23, Dependencies!$B$2:$G$230, 3,FALSE), $B$14:AI$73, AI$74,FALSE),"o")=$D$5,IFERROR(VLOOKUP(VLOOKUP($B23, Dependencies!$B$2:$G$230, 4,FALSE), $B$14:AI$73, AI$74,FALSE),"o")=$D$5,IFERROR(VLOOKUP(VLOOKUP($B23, Dependencies!$B$2:$G$230, 5,FALSE), $B$14:AI$73, AI$74,FALSE),"o")=$D$5,IFERROR(VLOOKUP(VLOOKUP($B23, Dependencies!$B$2:$G$230, 6,FALSE), $B$14:AI$73, AI$74,FALSE),"o")=$D$5),$D$5,AH23)))</f>
        <v>o</v>
      </c>
      <c r="AJ23" s="94" t="s">
        <v>323</v>
      </c>
      <c r="AK23" s="72" t="str">
        <f>IF(AJ23=$D$4,AJ23,IF(OR(IFERROR(VLOOKUP(VLOOKUP($B23, Dependencies!$B$2:$G$230, 2,FALSE),$B$14:AK$73, AK$74,FALSE),"o")=$D$4,IFERROR(VLOOKUP(VLOOKUP($B23, Dependencies!$B$2:$G$230, 3,FALSE),$B$14:AK$73, AK$74,FALSE),"o")=$D$4,IFERROR(VLOOKUP(VLOOKUP($B23, Dependencies!$B$2:$G$230, 4,FALSE),$B$14:AK$73, AK$74,FALSE),"o")=$D$4,IFERROR(VLOOKUP(VLOOKUP($B23, Dependencies!$B$2:$G$230, 5,FALSE),$B$14:AK$73, AK$74,FALSE),"o")=$D$4,IFERROR(VLOOKUP(VLOOKUP($B23, Dependencies!$B$2:$G$230, 6,FALSE),$B$14:AK$73, AK$74,FALSE),"o")=$D$4),$D$4,IF(OR(IFERROR(VLOOKUP(VLOOKUP($B23, Dependencies!$B$2:$G$230, 2,FALSE), $B$14:AK$73, AK$74,FALSE),"o")=$D$5,IFERROR(VLOOKUP(VLOOKUP($B23, Dependencies!$B$2:$G$230, 3,FALSE), $B$14:AK$73, AK$74,FALSE),"o")=$D$5,IFERROR(VLOOKUP(VLOOKUP($B23, Dependencies!$B$2:$G$230, 4,FALSE), $B$14:AK$73, AK$74,FALSE),"o")=$D$5,IFERROR(VLOOKUP(VLOOKUP($B23, Dependencies!$B$2:$G$230, 5,FALSE), $B$14:AK$73, AK$74,FALSE),"o")=$D$5,IFERROR(VLOOKUP(VLOOKUP($B23, Dependencies!$B$2:$G$230, 6,FALSE), $B$14:AK$73, AK$74,FALSE),"o")=$D$5),$D$5,AJ23)))</f>
        <v>o</v>
      </c>
      <c r="AL23" s="94" t="s">
        <v>323</v>
      </c>
      <c r="AM23" s="72" t="str">
        <f>IF(AL23=$D$4,AL23,IF(OR(IFERROR(VLOOKUP(VLOOKUP($B23, Dependencies!$B$2:$G$230, 2,FALSE),$B$14:AM$73, AM$74,FALSE),"o")=$D$4,IFERROR(VLOOKUP(VLOOKUP($B23, Dependencies!$B$2:$G$230, 3,FALSE),$B$14:AM$73, AM$74,FALSE),"o")=$D$4,IFERROR(VLOOKUP(VLOOKUP($B23, Dependencies!$B$2:$G$230, 4,FALSE),$B$14:AM$73, AM$74,FALSE),"o")=$D$4,IFERROR(VLOOKUP(VLOOKUP($B23, Dependencies!$B$2:$G$230, 5,FALSE),$B$14:AM$73, AM$74,FALSE),"o")=$D$4,IFERROR(VLOOKUP(VLOOKUP($B23, Dependencies!$B$2:$G$230, 6,FALSE),$B$14:AM$73, AM$74,FALSE),"o")=$D$4),$D$4,IF(OR(IFERROR(VLOOKUP(VLOOKUP($B23, Dependencies!$B$2:$G$230, 2,FALSE), $B$14:AM$73, AM$74,FALSE),"o")=$D$5,IFERROR(VLOOKUP(VLOOKUP($B23, Dependencies!$B$2:$G$230, 3,FALSE), $B$14:AM$73, AM$74,FALSE),"o")=$D$5,IFERROR(VLOOKUP(VLOOKUP($B23, Dependencies!$B$2:$G$230, 4,FALSE), $B$14:AM$73, AM$74,FALSE),"o")=$D$5,IFERROR(VLOOKUP(VLOOKUP($B23, Dependencies!$B$2:$G$230, 5,FALSE), $B$14:AM$73, AM$74,FALSE),"o")=$D$5,IFERROR(VLOOKUP(VLOOKUP($B23, Dependencies!$B$2:$G$230, 6,FALSE), $B$14:AM$73, AM$74,FALSE),"o")=$D$5),$D$5,AL23)))</f>
        <v>o</v>
      </c>
      <c r="AN23" s="94" t="s">
        <v>323</v>
      </c>
      <c r="AO23" s="72" t="str">
        <f>IF(AN23=$D$4,AN23,IF(OR(IFERROR(VLOOKUP(VLOOKUP($B23, Dependencies!$B$2:$G$230, 2,FALSE),$B$14:AO$73, AO$74,FALSE),"o")=$D$4,IFERROR(VLOOKUP(VLOOKUP($B23, Dependencies!$B$2:$G$230, 3,FALSE),$B$14:AO$73, AO$74,FALSE),"o")=$D$4,IFERROR(VLOOKUP(VLOOKUP($B23, Dependencies!$B$2:$G$230, 4,FALSE),$B$14:AO$73, AO$74,FALSE),"o")=$D$4,IFERROR(VLOOKUP(VLOOKUP($B23, Dependencies!$B$2:$G$230, 5,FALSE),$B$14:AO$73, AO$74,FALSE),"o")=$D$4,IFERROR(VLOOKUP(VLOOKUP($B23, Dependencies!$B$2:$G$230, 6,FALSE),$B$14:AO$73, AO$74,FALSE),"o")=$D$4),$D$4,IF(OR(IFERROR(VLOOKUP(VLOOKUP($B23, Dependencies!$B$2:$G$230, 2,FALSE), $B$14:AO$73, AO$74,FALSE),"o")=$D$5,IFERROR(VLOOKUP(VLOOKUP($B23, Dependencies!$B$2:$G$230, 3,FALSE), $B$14:AO$73, AO$74,FALSE),"o")=$D$5,IFERROR(VLOOKUP(VLOOKUP($B23, Dependencies!$B$2:$G$230, 4,FALSE), $B$14:AO$73, AO$74,FALSE),"o")=$D$5,IFERROR(VLOOKUP(VLOOKUP($B23, Dependencies!$B$2:$G$230, 5,FALSE), $B$14:AO$73, AO$74,FALSE),"o")=$D$5,IFERROR(VLOOKUP(VLOOKUP($B23, Dependencies!$B$2:$G$230, 6,FALSE), $B$14:AO$73, AO$74,FALSE),"o")=$D$5),$D$5,AN23)))</f>
        <v>o</v>
      </c>
      <c r="AP23" s="94" t="s">
        <v>323</v>
      </c>
      <c r="AQ23" s="72" t="str">
        <f>IF(AP23=$D$4,AP23,IF(OR(IFERROR(VLOOKUP(VLOOKUP($B23, Dependencies!$B$2:$G$230, 2,FALSE),$B$14:AQ$73, AQ$74,FALSE),"o")=$D$4,IFERROR(VLOOKUP(VLOOKUP($B23, Dependencies!$B$2:$G$230, 3,FALSE),$B$14:AQ$73, AQ$74,FALSE),"o")=$D$4,IFERROR(VLOOKUP(VLOOKUP($B23, Dependencies!$B$2:$G$230, 4,FALSE),$B$14:AQ$73, AQ$74,FALSE),"o")=$D$4,IFERROR(VLOOKUP(VLOOKUP($B23, Dependencies!$B$2:$G$230, 5,FALSE),$B$14:AQ$73, AQ$74,FALSE),"o")=$D$4,IFERROR(VLOOKUP(VLOOKUP($B23, Dependencies!$B$2:$G$230, 6,FALSE),$B$14:AQ$73, AQ$74,FALSE),"o")=$D$4),$D$4,IF(OR(IFERROR(VLOOKUP(VLOOKUP($B23, Dependencies!$B$2:$G$230, 2,FALSE), $B$14:AQ$73, AQ$74,FALSE),"o")=$D$5,IFERROR(VLOOKUP(VLOOKUP($B23, Dependencies!$B$2:$G$230, 3,FALSE), $B$14:AQ$73, AQ$74,FALSE),"o")=$D$5,IFERROR(VLOOKUP(VLOOKUP($B23, Dependencies!$B$2:$G$230, 4,FALSE), $B$14:AQ$73, AQ$74,FALSE),"o")=$D$5,IFERROR(VLOOKUP(VLOOKUP($B23, Dependencies!$B$2:$G$230, 5,FALSE), $B$14:AQ$73, AQ$74,FALSE),"o")=$D$5,IFERROR(VLOOKUP(VLOOKUP($B23, Dependencies!$B$2:$G$230, 6,FALSE), $B$14:AQ$73, AQ$74,FALSE),"o")=$D$5),$D$5,AP23)))</f>
        <v>o</v>
      </c>
      <c r="AR23" s="94" t="s">
        <v>323</v>
      </c>
      <c r="AS23" s="71" t="str">
        <f>IF(AR23=$D$4,AR23,IF(OR(IFERROR(VLOOKUP(VLOOKUP($B23, Dependencies!$B$2:$G$230, 2,FALSE),$B$14:AS$73, AS$74,FALSE),"o")=$D$4,IFERROR(VLOOKUP(VLOOKUP($B23, Dependencies!$B$2:$G$230, 3,FALSE),$B$14:AS$73, AS$74,FALSE),"o")=$D$4,IFERROR(VLOOKUP(VLOOKUP($B23, Dependencies!$B$2:$G$230, 4,FALSE),$B$14:AS$73, AS$74,FALSE),"o")=$D$4,IFERROR(VLOOKUP(VLOOKUP($B23, Dependencies!$B$2:$G$230, 5,FALSE),$B$14:AS$73, AS$74,FALSE),"o")=$D$4,IFERROR(VLOOKUP(VLOOKUP($B23, Dependencies!$B$2:$G$230, 6,FALSE),$B$14:AS$73, AS$74,FALSE),"o")=$D$4),$D$4,IF(OR(IFERROR(VLOOKUP(VLOOKUP($B23, Dependencies!$B$2:$G$230, 2,FALSE), $B$14:AS$73, AS$74,FALSE),"o")=$D$5,IFERROR(VLOOKUP(VLOOKUP($B23, Dependencies!$B$2:$G$230, 3,FALSE), $B$14:AS$73, AS$74,FALSE),"o")=$D$5,IFERROR(VLOOKUP(VLOOKUP($B23, Dependencies!$B$2:$G$230, 4,FALSE), $B$14:AS$73, AS$74,FALSE),"o")=$D$5,IFERROR(VLOOKUP(VLOOKUP($B23, Dependencies!$B$2:$G$230, 5,FALSE), $B$14:AS$73, AS$74,FALSE),"o")=$D$5,IFERROR(VLOOKUP(VLOOKUP($B23, Dependencies!$B$2:$G$230, 6,FALSE), $B$14:AS$73, AS$74,FALSE),"o")=$D$5),$D$5,AR23)))</f>
        <v>o</v>
      </c>
    </row>
    <row r="24" spans="1:47" x14ac:dyDescent="0.2">
      <c r="A24" s="40"/>
      <c r="B24" s="73" t="str">
        <f>MLEOsv2!A12</f>
        <v>MLEO_10_01</v>
      </c>
      <c r="C24" s="73">
        <f>MLEOsv2!C12</f>
        <v>1</v>
      </c>
      <c r="D24" s="42" t="str">
        <f>MLEOsv2!G12</f>
        <v>identify participating classes based on a problem statement.</v>
      </c>
      <c r="E24" s="51" t="b">
        <f>MLEOsv2!H12</f>
        <v>1</v>
      </c>
      <c r="F24" s="93" t="s">
        <v>320</v>
      </c>
      <c r="G24" s="70" t="str">
        <f>IF(F24=$D$4,F24,IF(OR(IFERROR(VLOOKUP(VLOOKUP($B24, Dependencies!$B$2:$G$230, 2,FALSE),$B$14:G$73, G$74,FALSE),"o")=$D$4,IFERROR(VLOOKUP(VLOOKUP($B24, Dependencies!$B$2:$G$230, 3,FALSE),$B$14:G$73, G$74,FALSE),"o")=$D$4,IFERROR(VLOOKUP(VLOOKUP($B24, Dependencies!$B$2:$G$230, 4,FALSE),$B$14:G$73, G$74,FALSE),"o")=$D$4,IFERROR(VLOOKUP(VLOOKUP($B24, Dependencies!$B$2:$G$230, 5,FALSE),$B$14:G$73, G$74,FALSE),"o")=$D$4,IFERROR(VLOOKUP(VLOOKUP($B24, Dependencies!$B$2:$G$230, 6,FALSE),$B$14:G$73, G$74,FALSE),"o")=$D$4),$D$4,IF(OR(IFERROR(VLOOKUP(VLOOKUP($B24, Dependencies!$B$2:$G$230, 2,FALSE), $B$14:G$73, G$74,FALSE),"o")=$D$5,IFERROR(VLOOKUP(VLOOKUP($B24, Dependencies!$B$2:$G$230, 3,FALSE), $B$14:G$73, G$74,FALSE),"o")=$D$5,IFERROR(VLOOKUP(VLOOKUP($B24, Dependencies!$B$2:$G$230, 4,FALSE), $B$14:G$73, G$74,FALSE),"o")=$D$5,IFERROR(VLOOKUP(VLOOKUP($B24, Dependencies!$B$2:$G$230, 5,FALSE), $B$14:G$73, G$74,FALSE),"o")=$D$5,IFERROR(VLOOKUP(VLOOKUP($B24, Dependencies!$B$2:$G$230, 6,FALSE), $B$14:G$73, G$74,FALSE),"o")=$D$5),$D$5,F24)))</f>
        <v>r</v>
      </c>
      <c r="H24" s="93" t="s">
        <v>321</v>
      </c>
      <c r="I24" s="70" t="str">
        <f>IF(H24=$D$4,H24,IF(OR(IFERROR(VLOOKUP(VLOOKUP($B24, Dependencies!$B$2:$G$230, 2,FALSE),$B$14:I$73, I$74,FALSE),"o")=$D$4,IFERROR(VLOOKUP(VLOOKUP($B24, Dependencies!$B$2:$G$230, 3,FALSE),$B$14:I$73, I$74,FALSE),"o")=$D$4,IFERROR(VLOOKUP(VLOOKUP($B24, Dependencies!$B$2:$G$230, 4,FALSE),$B$14:I$73, I$74,FALSE),"o")=$D$4,IFERROR(VLOOKUP(VLOOKUP($B24, Dependencies!$B$2:$G$230, 5,FALSE),$B$14:I$73, I$74,FALSE),"o")=$D$4,IFERROR(VLOOKUP(VLOOKUP($B24, Dependencies!$B$2:$G$230, 6,FALSE),$B$14:I$73, I$74,FALSE),"o")=$D$4),$D$4,IF(OR(IFERROR(VLOOKUP(VLOOKUP($B24, Dependencies!$B$2:$G$230, 2,FALSE), $B$14:I$73, I$74,FALSE),"o")=$D$5,IFERROR(VLOOKUP(VLOOKUP($B24, Dependencies!$B$2:$G$230, 3,FALSE), $B$14:I$73, I$74,FALSE),"o")=$D$5,IFERROR(VLOOKUP(VLOOKUP($B24, Dependencies!$B$2:$G$230, 4,FALSE), $B$14:I$73, I$74,FALSE),"o")=$D$5,IFERROR(VLOOKUP(VLOOKUP($B24, Dependencies!$B$2:$G$230, 5,FALSE), $B$14:I$73, I$74,FALSE),"o")=$D$5,IFERROR(VLOOKUP(VLOOKUP($B24, Dependencies!$B$2:$G$230, 6,FALSE), $B$14:I$73, I$74,FALSE),"o")=$D$5),$D$5,H24)))</f>
        <v>pr</v>
      </c>
      <c r="J24" s="93" t="s">
        <v>320</v>
      </c>
      <c r="K24" s="70" t="str">
        <f>IF(J24=$D$4,J24,IF(OR(IFERROR(VLOOKUP(VLOOKUP($B24, Dependencies!$B$2:$G$230, 2,FALSE),$B$14:K$73, K$74,FALSE),"o")=$D$4,IFERROR(VLOOKUP(VLOOKUP($B24, Dependencies!$B$2:$G$230, 3,FALSE),$B$14:K$73, K$74,FALSE),"o")=$D$4,IFERROR(VLOOKUP(VLOOKUP($B24, Dependencies!$B$2:$G$230, 4,FALSE),$B$14:K$73, K$74,FALSE),"o")=$D$4,IFERROR(VLOOKUP(VLOOKUP($B24, Dependencies!$B$2:$G$230, 5,FALSE),$B$14:K$73, K$74,FALSE),"o")=$D$4,IFERROR(VLOOKUP(VLOOKUP($B24, Dependencies!$B$2:$G$230, 6,FALSE),$B$14:K$73, K$74,FALSE),"o")=$D$4),$D$4,IF(OR(IFERROR(VLOOKUP(VLOOKUP($B24, Dependencies!$B$2:$G$230, 2,FALSE), $B$14:K$73, K$74,FALSE),"o")=$D$5,IFERROR(VLOOKUP(VLOOKUP($B24, Dependencies!$B$2:$G$230, 3,FALSE), $B$14:K$73, K$74,FALSE),"o")=$D$5,IFERROR(VLOOKUP(VLOOKUP($B24, Dependencies!$B$2:$G$230, 4,FALSE), $B$14:K$73, K$74,FALSE),"o")=$D$5,IFERROR(VLOOKUP(VLOOKUP($B24, Dependencies!$B$2:$G$230, 5,FALSE), $B$14:K$73, K$74,FALSE),"o")=$D$5,IFERROR(VLOOKUP(VLOOKUP($B24, Dependencies!$B$2:$G$230, 6,FALSE), $B$14:K$73, K$74,FALSE),"o")=$D$5),$D$5,J24)))</f>
        <v>r</v>
      </c>
      <c r="L24" s="93" t="s">
        <v>323</v>
      </c>
      <c r="M24" s="70" t="str">
        <f>IF(L24=$D$4,L24,IF(OR(IFERROR(VLOOKUP(VLOOKUP($B24, Dependencies!$B$2:$G$230, 2,FALSE),$B$14:M$73, M$74,FALSE),"o")=$D$4,IFERROR(VLOOKUP(VLOOKUP($B24, Dependencies!$B$2:$G$230, 3,FALSE),$B$14:M$73, M$74,FALSE),"o")=$D$4,IFERROR(VLOOKUP(VLOOKUP($B24, Dependencies!$B$2:$G$230, 4,FALSE),$B$14:M$73, M$74,FALSE),"o")=$D$4,IFERROR(VLOOKUP(VLOOKUP($B24, Dependencies!$B$2:$G$230, 5,FALSE),$B$14:M$73, M$74,FALSE),"o")=$D$4,IFERROR(VLOOKUP(VLOOKUP($B24, Dependencies!$B$2:$G$230, 6,FALSE),$B$14:M$73, M$74,FALSE),"o")=$D$4),$D$4,IF(OR(IFERROR(VLOOKUP(VLOOKUP($B24, Dependencies!$B$2:$G$230, 2,FALSE), $B$14:M$73, M$74,FALSE),"o")=$D$5,IFERROR(VLOOKUP(VLOOKUP($B24, Dependencies!$B$2:$G$230, 3,FALSE), $B$14:M$73, M$74,FALSE),"o")=$D$5,IFERROR(VLOOKUP(VLOOKUP($B24, Dependencies!$B$2:$G$230, 4,FALSE), $B$14:M$73, M$74,FALSE),"o")=$D$5,IFERROR(VLOOKUP(VLOOKUP($B24, Dependencies!$B$2:$G$230, 5,FALSE), $B$14:M$73, M$74,FALSE),"o")=$D$5,IFERROR(VLOOKUP(VLOOKUP($B24, Dependencies!$B$2:$G$230, 6,FALSE), $B$14:M$73, M$74,FALSE),"o")=$D$5),$D$5,L24)))</f>
        <v>o</v>
      </c>
      <c r="N24" s="93" t="s">
        <v>323</v>
      </c>
      <c r="O24" s="70" t="str">
        <f>IF(N24=$D$4,N24,IF(OR(IFERROR(VLOOKUP(VLOOKUP($B24, Dependencies!$B$2:$G$230, 2,FALSE),$B$14:O$73, O$74,FALSE),"o")=$D$4,IFERROR(VLOOKUP(VLOOKUP($B24, Dependencies!$B$2:$G$230, 3,FALSE),$B$14:O$73, O$74,FALSE),"o")=$D$4,IFERROR(VLOOKUP(VLOOKUP($B24, Dependencies!$B$2:$G$230, 4,FALSE),$B$14:O$73, O$74,FALSE),"o")=$D$4,IFERROR(VLOOKUP(VLOOKUP($B24, Dependencies!$B$2:$G$230, 5,FALSE),$B$14:O$73, O$74,FALSE),"o")=$D$4,IFERROR(VLOOKUP(VLOOKUP($B24, Dependencies!$B$2:$G$230, 6,FALSE),$B$14:O$73, O$74,FALSE),"o")=$D$4),$D$4,IF(OR(IFERROR(VLOOKUP(VLOOKUP($B24, Dependencies!$B$2:$G$230, 2,FALSE), $B$14:O$73, O$74,FALSE),"o")=$D$5,IFERROR(VLOOKUP(VLOOKUP($B24, Dependencies!$B$2:$G$230, 3,FALSE), $B$14:O$73, O$74,FALSE),"o")=$D$5,IFERROR(VLOOKUP(VLOOKUP($B24, Dependencies!$B$2:$G$230, 4,FALSE), $B$14:O$73, O$74,FALSE),"o")=$D$5,IFERROR(VLOOKUP(VLOOKUP($B24, Dependencies!$B$2:$G$230, 5,FALSE), $B$14:O$73, O$74,FALSE),"o")=$D$5,IFERROR(VLOOKUP(VLOOKUP($B24, Dependencies!$B$2:$G$230, 6,FALSE), $B$14:O$73, O$74,FALSE),"o")=$D$5),$D$5,N24)))</f>
        <v>o</v>
      </c>
      <c r="P24" s="93" t="s">
        <v>323</v>
      </c>
      <c r="Q24" s="70" t="str">
        <f>IF(P24=$D$4,P24,IF(OR(IFERROR(VLOOKUP(VLOOKUP($B24, Dependencies!$B$2:$G$230, 2,FALSE),$B$14:Q$73, Q$74,FALSE),"o")=$D$4,IFERROR(VLOOKUP(VLOOKUP($B24, Dependencies!$B$2:$G$230, 3,FALSE),$B$14:Q$73, Q$74,FALSE),"o")=$D$4,IFERROR(VLOOKUP(VLOOKUP($B24, Dependencies!$B$2:$G$230, 4,FALSE),$B$14:Q$73, Q$74,FALSE),"o")=$D$4,IFERROR(VLOOKUP(VLOOKUP($B24, Dependencies!$B$2:$G$230, 5,FALSE),$B$14:Q$73, Q$74,FALSE),"o")=$D$4,IFERROR(VLOOKUP(VLOOKUP($B24, Dependencies!$B$2:$G$230, 6,FALSE),$B$14:Q$73, Q$74,FALSE),"o")=$D$4),$D$4,IF(OR(IFERROR(VLOOKUP(VLOOKUP($B24, Dependencies!$B$2:$G$230, 2,FALSE), $B$14:Q$73, Q$74,FALSE),"o")=$D$5,IFERROR(VLOOKUP(VLOOKUP($B24, Dependencies!$B$2:$G$230, 3,FALSE), $B$14:Q$73, Q$74,FALSE),"o")=$D$5,IFERROR(VLOOKUP(VLOOKUP($B24, Dependencies!$B$2:$G$230, 4,FALSE), $B$14:Q$73, Q$74,FALSE),"o")=$D$5,IFERROR(VLOOKUP(VLOOKUP($B24, Dependencies!$B$2:$G$230, 5,FALSE), $B$14:Q$73, Q$74,FALSE),"o")=$D$5,IFERROR(VLOOKUP(VLOOKUP($B24, Dependencies!$B$2:$G$230, 6,FALSE), $B$14:Q$73, Q$74,FALSE),"o")=$D$5),$D$5,P24)))</f>
        <v>o</v>
      </c>
      <c r="R24" s="93" t="s">
        <v>323</v>
      </c>
      <c r="S24" s="70" t="str">
        <f>IF(R24=$D$4,R24,IF(OR(IFERROR(VLOOKUP(VLOOKUP($B24, Dependencies!$B$2:$G$230, 2,FALSE),$B$14:S$73, S$74,FALSE),"o")=$D$4,IFERROR(VLOOKUP(VLOOKUP($B24, Dependencies!$B$2:$G$230, 3,FALSE),$B$14:S$73, S$74,FALSE),"o")=$D$4,IFERROR(VLOOKUP(VLOOKUP($B24, Dependencies!$B$2:$G$230, 4,FALSE),$B$14:S$73, S$74,FALSE),"o")=$D$4,IFERROR(VLOOKUP(VLOOKUP($B24, Dependencies!$B$2:$G$230, 5,FALSE),$B$14:S$73, S$74,FALSE),"o")=$D$4,IFERROR(VLOOKUP(VLOOKUP($B24, Dependencies!$B$2:$G$230, 6,FALSE),$B$14:S$73, S$74,FALSE),"o")=$D$4),$D$4,IF(OR(IFERROR(VLOOKUP(VLOOKUP($B24, Dependencies!$B$2:$G$230, 2,FALSE), $B$14:S$73, S$74,FALSE),"o")=$D$5,IFERROR(VLOOKUP(VLOOKUP($B24, Dependencies!$B$2:$G$230, 3,FALSE), $B$14:S$73, S$74,FALSE),"o")=$D$5,IFERROR(VLOOKUP(VLOOKUP($B24, Dependencies!$B$2:$G$230, 4,FALSE), $B$14:S$73, S$74,FALSE),"o")=$D$5,IFERROR(VLOOKUP(VLOOKUP($B24, Dependencies!$B$2:$G$230, 5,FALSE), $B$14:S$73, S$74,FALSE),"o")=$D$5,IFERROR(VLOOKUP(VLOOKUP($B24, Dependencies!$B$2:$G$230, 6,FALSE), $B$14:S$73, S$74,FALSE),"o")=$D$5),$D$5,R24)))</f>
        <v>o</v>
      </c>
      <c r="T24" s="93" t="s">
        <v>323</v>
      </c>
      <c r="U24" s="70" t="str">
        <f>IF(T24=$D$4,T24,IF(OR(IFERROR(VLOOKUP(VLOOKUP($B24, Dependencies!$B$2:$G$230, 2,FALSE),$B$14:U$73, U$74,FALSE),"o")=$D$4,IFERROR(VLOOKUP(VLOOKUP($B24, Dependencies!$B$2:$G$230, 3,FALSE),$B$14:U$73, U$74,FALSE),"o")=$D$4,IFERROR(VLOOKUP(VLOOKUP($B24, Dependencies!$B$2:$G$230, 4,FALSE),$B$14:U$73, U$74,FALSE),"o")=$D$4,IFERROR(VLOOKUP(VLOOKUP($B24, Dependencies!$B$2:$G$230, 5,FALSE),$B$14:U$73, U$74,FALSE),"o")=$D$4,IFERROR(VLOOKUP(VLOOKUP($B24, Dependencies!$B$2:$G$230, 6,FALSE),$B$14:U$73, U$74,FALSE),"o")=$D$4),$D$4,IF(OR(IFERROR(VLOOKUP(VLOOKUP($B24, Dependencies!$B$2:$G$230, 2,FALSE), $B$14:U$73, U$74,FALSE),"o")=$D$5,IFERROR(VLOOKUP(VLOOKUP($B24, Dependencies!$B$2:$G$230, 3,FALSE), $B$14:U$73, U$74,FALSE),"o")=$D$5,IFERROR(VLOOKUP(VLOOKUP($B24, Dependencies!$B$2:$G$230, 4,FALSE), $B$14:U$73, U$74,FALSE),"o")=$D$5,IFERROR(VLOOKUP(VLOOKUP($B24, Dependencies!$B$2:$G$230, 5,FALSE), $B$14:U$73, U$74,FALSE),"o")=$D$5,IFERROR(VLOOKUP(VLOOKUP($B24, Dependencies!$B$2:$G$230, 6,FALSE), $B$14:U$73, U$74,FALSE),"o")=$D$5),$D$5,T24)))</f>
        <v>o</v>
      </c>
      <c r="V24" s="93" t="s">
        <v>323</v>
      </c>
      <c r="W24" s="70" t="str">
        <f>IF(V24=$D$4,V24,IF(OR(IFERROR(VLOOKUP(VLOOKUP($B24, Dependencies!$B$2:$G$230, 2,FALSE),$B$14:W$73, W$74,FALSE),"o")=$D$4,IFERROR(VLOOKUP(VLOOKUP($B24, Dependencies!$B$2:$G$230, 3,FALSE),$B$14:W$73, W$74,FALSE),"o")=$D$4,IFERROR(VLOOKUP(VLOOKUP($B24, Dependencies!$B$2:$G$230, 4,FALSE),$B$14:W$73, W$74,FALSE),"o")=$D$4,IFERROR(VLOOKUP(VLOOKUP($B24, Dependencies!$B$2:$G$230, 5,FALSE),$B$14:W$73, W$74,FALSE),"o")=$D$4,IFERROR(VLOOKUP(VLOOKUP($B24, Dependencies!$B$2:$G$230, 6,FALSE),$B$14:W$73, W$74,FALSE),"o")=$D$4),$D$4,IF(OR(IFERROR(VLOOKUP(VLOOKUP($B24, Dependencies!$B$2:$G$230, 2,FALSE), $B$14:W$73, W$74,FALSE),"o")=$D$5,IFERROR(VLOOKUP(VLOOKUP($B24, Dependencies!$B$2:$G$230, 3,FALSE), $B$14:W$73, W$74,FALSE),"o")=$D$5,IFERROR(VLOOKUP(VLOOKUP($B24, Dependencies!$B$2:$G$230, 4,FALSE), $B$14:W$73, W$74,FALSE),"o")=$D$5,IFERROR(VLOOKUP(VLOOKUP($B24, Dependencies!$B$2:$G$230, 5,FALSE), $B$14:W$73, W$74,FALSE),"o")=$D$5,IFERROR(VLOOKUP(VLOOKUP($B24, Dependencies!$B$2:$G$230, 6,FALSE), $B$14:W$73, W$74,FALSE),"o")=$D$5),$D$5,V24)))</f>
        <v>o</v>
      </c>
      <c r="X24" s="93" t="s">
        <v>323</v>
      </c>
      <c r="Y24" s="70" t="str">
        <f>IF(X24=$D$4,X24,IF(OR(IFERROR(VLOOKUP(VLOOKUP($B24, Dependencies!$B$2:$G$230, 2,FALSE),$B$14:Y$73, Y$74,FALSE),"o")=$D$4,IFERROR(VLOOKUP(VLOOKUP($B24, Dependencies!$B$2:$G$230, 3,FALSE),$B$14:Y$73, Y$74,FALSE),"o")=$D$4,IFERROR(VLOOKUP(VLOOKUP($B24, Dependencies!$B$2:$G$230, 4,FALSE),$B$14:Y$73, Y$74,FALSE),"o")=$D$4,IFERROR(VLOOKUP(VLOOKUP($B24, Dependencies!$B$2:$G$230, 5,FALSE),$B$14:Y$73, Y$74,FALSE),"o")=$D$4,IFERROR(VLOOKUP(VLOOKUP($B24, Dependencies!$B$2:$G$230, 6,FALSE),$B$14:Y$73, Y$74,FALSE),"o")=$D$4),$D$4,IF(OR(IFERROR(VLOOKUP(VLOOKUP($B24, Dependencies!$B$2:$G$230, 2,FALSE), $B$14:Y$73, Y$74,FALSE),"o")=$D$5,IFERROR(VLOOKUP(VLOOKUP($B24, Dependencies!$B$2:$G$230, 3,FALSE), $B$14:Y$73, Y$74,FALSE),"o")=$D$5,IFERROR(VLOOKUP(VLOOKUP($B24, Dependencies!$B$2:$G$230, 4,FALSE), $B$14:Y$73, Y$74,FALSE),"o")=$D$5,IFERROR(VLOOKUP(VLOOKUP($B24, Dependencies!$B$2:$G$230, 5,FALSE), $B$14:Y$73, Y$74,FALSE),"o")=$D$5,IFERROR(VLOOKUP(VLOOKUP($B24, Dependencies!$B$2:$G$230, 6,FALSE), $B$14:Y$73, Y$74,FALSE),"o")=$D$5),$D$5,X24)))</f>
        <v>o</v>
      </c>
      <c r="Z24" s="93" t="s">
        <v>323</v>
      </c>
      <c r="AA24" s="70" t="str">
        <f>IF(Z24=$D$4,Z24,IF(OR(IFERROR(VLOOKUP(VLOOKUP($B24, Dependencies!$B$2:$G$230, 2,FALSE),$B$14:AA$73, AA$74,FALSE),"o")=$D$4,IFERROR(VLOOKUP(VLOOKUP($B24, Dependencies!$B$2:$G$230, 3,FALSE),$B$14:AA$73, AA$74,FALSE),"o")=$D$4,IFERROR(VLOOKUP(VLOOKUP($B24, Dependencies!$B$2:$G$230, 4,FALSE),$B$14:AA$73, AA$74,FALSE),"o")=$D$4,IFERROR(VLOOKUP(VLOOKUP($B24, Dependencies!$B$2:$G$230, 5,FALSE),$B$14:AA$73, AA$74,FALSE),"o")=$D$4,IFERROR(VLOOKUP(VLOOKUP($B24, Dependencies!$B$2:$G$230, 6,FALSE),$B$14:AA$73, AA$74,FALSE),"o")=$D$4),$D$4,IF(OR(IFERROR(VLOOKUP(VLOOKUP($B24, Dependencies!$B$2:$G$230, 2,FALSE), $B$14:AA$73, AA$74,FALSE),"o")=$D$5,IFERROR(VLOOKUP(VLOOKUP($B24, Dependencies!$B$2:$G$230, 3,FALSE), $B$14:AA$73, AA$74,FALSE),"o")=$D$5,IFERROR(VLOOKUP(VLOOKUP($B24, Dependencies!$B$2:$G$230, 4,FALSE), $B$14:AA$73, AA$74,FALSE),"o")=$D$5,IFERROR(VLOOKUP(VLOOKUP($B24, Dependencies!$B$2:$G$230, 5,FALSE), $B$14:AA$73, AA$74,FALSE),"o")=$D$5,IFERROR(VLOOKUP(VLOOKUP($B24, Dependencies!$B$2:$G$230, 6,FALSE), $B$14:AA$73, AA$74,FALSE),"o")=$D$5),$D$5,Z24)))</f>
        <v>o</v>
      </c>
      <c r="AB24" s="93" t="s">
        <v>323</v>
      </c>
      <c r="AC24" s="70" t="str">
        <f>IF(AB24=$D$4,AB24,IF(OR(IFERROR(VLOOKUP(VLOOKUP($B24, Dependencies!$B$2:$G$230, 2,FALSE),$B$14:AC$73, AC$74,FALSE),"o")=$D$4,IFERROR(VLOOKUP(VLOOKUP($B24, Dependencies!$B$2:$G$230, 3,FALSE),$B$14:AC$73, AC$74,FALSE),"o")=$D$4,IFERROR(VLOOKUP(VLOOKUP($B24, Dependencies!$B$2:$G$230, 4,FALSE),$B$14:AC$73, AC$74,FALSE),"o")=$D$4,IFERROR(VLOOKUP(VLOOKUP($B24, Dependencies!$B$2:$G$230, 5,FALSE),$B$14:AC$73, AC$74,FALSE),"o")=$D$4,IFERROR(VLOOKUP(VLOOKUP($B24, Dependencies!$B$2:$G$230, 6,FALSE),$B$14:AC$73, AC$74,FALSE),"o")=$D$4),$D$4,IF(OR(IFERROR(VLOOKUP(VLOOKUP($B24, Dependencies!$B$2:$G$230, 2,FALSE), $B$14:AC$73, AC$74,FALSE),"o")=$D$5,IFERROR(VLOOKUP(VLOOKUP($B24, Dependencies!$B$2:$G$230, 3,FALSE), $B$14:AC$73, AC$74,FALSE),"o")=$D$5,IFERROR(VLOOKUP(VLOOKUP($B24, Dependencies!$B$2:$G$230, 4,FALSE), $B$14:AC$73, AC$74,FALSE),"o")=$D$5,IFERROR(VLOOKUP(VLOOKUP($B24, Dependencies!$B$2:$G$230, 5,FALSE), $B$14:AC$73, AC$74,FALSE),"o")=$D$5,IFERROR(VLOOKUP(VLOOKUP($B24, Dependencies!$B$2:$G$230, 6,FALSE), $B$14:AC$73, AC$74,FALSE),"o")=$D$5),$D$5,AB24)))</f>
        <v>o</v>
      </c>
      <c r="AD24" s="93" t="s">
        <v>323</v>
      </c>
      <c r="AE24" s="70" t="str">
        <f>IF(AD24=$D$4,AD24,IF(OR(IFERROR(VLOOKUP(VLOOKUP($B24, Dependencies!$B$2:$G$230, 2,FALSE),$B$14:AE$73, AE$74,FALSE),"o")=$D$4,IFERROR(VLOOKUP(VLOOKUP($B24, Dependencies!$B$2:$G$230, 3,FALSE),$B$14:AE$73, AE$74,FALSE),"o")=$D$4,IFERROR(VLOOKUP(VLOOKUP($B24, Dependencies!$B$2:$G$230, 4,FALSE),$B$14:AE$73, AE$74,FALSE),"o")=$D$4,IFERROR(VLOOKUP(VLOOKUP($B24, Dependencies!$B$2:$G$230, 5,FALSE),$B$14:AE$73, AE$74,FALSE),"o")=$D$4,IFERROR(VLOOKUP(VLOOKUP($B24, Dependencies!$B$2:$G$230, 6,FALSE),$B$14:AE$73, AE$74,FALSE),"o")=$D$4),$D$4,IF(OR(IFERROR(VLOOKUP(VLOOKUP($B24, Dependencies!$B$2:$G$230, 2,FALSE), $B$14:AE$73, AE$74,FALSE),"o")=$D$5,IFERROR(VLOOKUP(VLOOKUP($B24, Dependencies!$B$2:$G$230, 3,FALSE), $B$14:AE$73, AE$74,FALSE),"o")=$D$5,IFERROR(VLOOKUP(VLOOKUP($B24, Dependencies!$B$2:$G$230, 4,FALSE), $B$14:AE$73, AE$74,FALSE),"o")=$D$5,IFERROR(VLOOKUP(VLOOKUP($B24, Dependencies!$B$2:$G$230, 5,FALSE), $B$14:AE$73, AE$74,FALSE),"o")=$D$5,IFERROR(VLOOKUP(VLOOKUP($B24, Dependencies!$B$2:$G$230, 6,FALSE), $B$14:AE$73, AE$74,FALSE),"o")=$D$5),$D$5,AD24)))</f>
        <v>o</v>
      </c>
      <c r="AF24" s="93" t="s">
        <v>323</v>
      </c>
      <c r="AG24" s="70" t="str">
        <f>IF(AF24=$D$4,AF24,IF(OR(IFERROR(VLOOKUP(VLOOKUP($B24, Dependencies!$B$2:$G$230, 2,FALSE),$B$14:AG$73, AG$74,FALSE),"o")=$D$4,IFERROR(VLOOKUP(VLOOKUP($B24, Dependencies!$B$2:$G$230, 3,FALSE),$B$14:AG$73, AG$74,FALSE),"o")=$D$4,IFERROR(VLOOKUP(VLOOKUP($B24, Dependencies!$B$2:$G$230, 4,FALSE),$B$14:AG$73, AG$74,FALSE),"o")=$D$4,IFERROR(VLOOKUP(VLOOKUP($B24, Dependencies!$B$2:$G$230, 5,FALSE),$B$14:AG$73, AG$74,FALSE),"o")=$D$4,IFERROR(VLOOKUP(VLOOKUP($B24, Dependencies!$B$2:$G$230, 6,FALSE),$B$14:AG$73, AG$74,FALSE),"o")=$D$4),$D$4,IF(OR(IFERROR(VLOOKUP(VLOOKUP($B24, Dependencies!$B$2:$G$230, 2,FALSE), $B$14:AG$73, AG$74,FALSE),"o")=$D$5,IFERROR(VLOOKUP(VLOOKUP($B24, Dependencies!$B$2:$G$230, 3,FALSE), $B$14:AG$73, AG$74,FALSE),"o")=$D$5,IFERROR(VLOOKUP(VLOOKUP($B24, Dependencies!$B$2:$G$230, 4,FALSE), $B$14:AG$73, AG$74,FALSE),"o")=$D$5,IFERROR(VLOOKUP(VLOOKUP($B24, Dependencies!$B$2:$G$230, 5,FALSE), $B$14:AG$73, AG$74,FALSE),"o")=$D$5,IFERROR(VLOOKUP(VLOOKUP($B24, Dependencies!$B$2:$G$230, 6,FALSE), $B$14:AG$73, AG$74,FALSE),"o")=$D$5),$D$5,AF24)))</f>
        <v>o</v>
      </c>
      <c r="AH24" s="93" t="s">
        <v>323</v>
      </c>
      <c r="AI24" s="70" t="str">
        <f>IF(AH24=$D$4,AH24,IF(OR(IFERROR(VLOOKUP(VLOOKUP($B24, Dependencies!$B$2:$G$230, 2,FALSE),$B$14:AI$73, AI$74,FALSE),"o")=$D$4,IFERROR(VLOOKUP(VLOOKUP($B24, Dependencies!$B$2:$G$230, 3,FALSE),$B$14:AI$73, AI$74,FALSE),"o")=$D$4,IFERROR(VLOOKUP(VLOOKUP($B24, Dependencies!$B$2:$G$230, 4,FALSE),$B$14:AI$73, AI$74,FALSE),"o")=$D$4,IFERROR(VLOOKUP(VLOOKUP($B24, Dependencies!$B$2:$G$230, 5,FALSE),$B$14:AI$73, AI$74,FALSE),"o")=$D$4,IFERROR(VLOOKUP(VLOOKUP($B24, Dependencies!$B$2:$G$230, 6,FALSE),$B$14:AI$73, AI$74,FALSE),"o")=$D$4),$D$4,IF(OR(IFERROR(VLOOKUP(VLOOKUP($B24, Dependencies!$B$2:$G$230, 2,FALSE), $B$14:AI$73, AI$74,FALSE),"o")=$D$5,IFERROR(VLOOKUP(VLOOKUP($B24, Dependencies!$B$2:$G$230, 3,FALSE), $B$14:AI$73, AI$74,FALSE),"o")=$D$5,IFERROR(VLOOKUP(VLOOKUP($B24, Dependencies!$B$2:$G$230, 4,FALSE), $B$14:AI$73, AI$74,FALSE),"o")=$D$5,IFERROR(VLOOKUP(VLOOKUP($B24, Dependencies!$B$2:$G$230, 5,FALSE), $B$14:AI$73, AI$74,FALSE),"o")=$D$5,IFERROR(VLOOKUP(VLOOKUP($B24, Dependencies!$B$2:$G$230, 6,FALSE), $B$14:AI$73, AI$74,FALSE),"o")=$D$5),$D$5,AH24)))</f>
        <v>o</v>
      </c>
      <c r="AJ24" s="93" t="s">
        <v>323</v>
      </c>
      <c r="AK24" s="70" t="str">
        <f>IF(AJ24=$D$4,AJ24,IF(OR(IFERROR(VLOOKUP(VLOOKUP($B24, Dependencies!$B$2:$G$230, 2,FALSE),$B$14:AK$73, AK$74,FALSE),"o")=$D$4,IFERROR(VLOOKUP(VLOOKUP($B24, Dependencies!$B$2:$G$230, 3,FALSE),$B$14:AK$73, AK$74,FALSE),"o")=$D$4,IFERROR(VLOOKUP(VLOOKUP($B24, Dependencies!$B$2:$G$230, 4,FALSE),$B$14:AK$73, AK$74,FALSE),"o")=$D$4,IFERROR(VLOOKUP(VLOOKUP($B24, Dependencies!$B$2:$G$230, 5,FALSE),$B$14:AK$73, AK$74,FALSE),"o")=$D$4,IFERROR(VLOOKUP(VLOOKUP($B24, Dependencies!$B$2:$G$230, 6,FALSE),$B$14:AK$73, AK$74,FALSE),"o")=$D$4),$D$4,IF(OR(IFERROR(VLOOKUP(VLOOKUP($B24, Dependencies!$B$2:$G$230, 2,FALSE), $B$14:AK$73, AK$74,FALSE),"o")=$D$5,IFERROR(VLOOKUP(VLOOKUP($B24, Dependencies!$B$2:$G$230, 3,FALSE), $B$14:AK$73, AK$74,FALSE),"o")=$D$5,IFERROR(VLOOKUP(VLOOKUP($B24, Dependencies!$B$2:$G$230, 4,FALSE), $B$14:AK$73, AK$74,FALSE),"o")=$D$5,IFERROR(VLOOKUP(VLOOKUP($B24, Dependencies!$B$2:$G$230, 5,FALSE), $B$14:AK$73, AK$74,FALSE),"o")=$D$5,IFERROR(VLOOKUP(VLOOKUP($B24, Dependencies!$B$2:$G$230, 6,FALSE), $B$14:AK$73, AK$74,FALSE),"o")=$D$5),$D$5,AJ24)))</f>
        <v>o</v>
      </c>
      <c r="AL24" s="93" t="s">
        <v>323</v>
      </c>
      <c r="AM24" s="70" t="str">
        <f>IF(AL24=$D$4,AL24,IF(OR(IFERROR(VLOOKUP(VLOOKUP($B24, Dependencies!$B$2:$G$230, 2,FALSE),$B$14:AM$73, AM$74,FALSE),"o")=$D$4,IFERROR(VLOOKUP(VLOOKUP($B24, Dependencies!$B$2:$G$230, 3,FALSE),$B$14:AM$73, AM$74,FALSE),"o")=$D$4,IFERROR(VLOOKUP(VLOOKUP($B24, Dependencies!$B$2:$G$230, 4,FALSE),$B$14:AM$73, AM$74,FALSE),"o")=$D$4,IFERROR(VLOOKUP(VLOOKUP($B24, Dependencies!$B$2:$G$230, 5,FALSE),$B$14:AM$73, AM$74,FALSE),"o")=$D$4,IFERROR(VLOOKUP(VLOOKUP($B24, Dependencies!$B$2:$G$230, 6,FALSE),$B$14:AM$73, AM$74,FALSE),"o")=$D$4),$D$4,IF(OR(IFERROR(VLOOKUP(VLOOKUP($B24, Dependencies!$B$2:$G$230, 2,FALSE), $B$14:AM$73, AM$74,FALSE),"o")=$D$5,IFERROR(VLOOKUP(VLOOKUP($B24, Dependencies!$B$2:$G$230, 3,FALSE), $B$14:AM$73, AM$74,FALSE),"o")=$D$5,IFERROR(VLOOKUP(VLOOKUP($B24, Dependencies!$B$2:$G$230, 4,FALSE), $B$14:AM$73, AM$74,FALSE),"o")=$D$5,IFERROR(VLOOKUP(VLOOKUP($B24, Dependencies!$B$2:$G$230, 5,FALSE), $B$14:AM$73, AM$74,FALSE),"o")=$D$5,IFERROR(VLOOKUP(VLOOKUP($B24, Dependencies!$B$2:$G$230, 6,FALSE), $B$14:AM$73, AM$74,FALSE),"o")=$D$5),$D$5,AL24)))</f>
        <v>o</v>
      </c>
      <c r="AN24" s="93" t="s">
        <v>323</v>
      </c>
      <c r="AO24" s="70" t="str">
        <f>IF(AN24=$D$4,AN24,IF(OR(IFERROR(VLOOKUP(VLOOKUP($B24, Dependencies!$B$2:$G$230, 2,FALSE),$B$14:AO$73, AO$74,FALSE),"o")=$D$4,IFERROR(VLOOKUP(VLOOKUP($B24, Dependencies!$B$2:$G$230, 3,FALSE),$B$14:AO$73, AO$74,FALSE),"o")=$D$4,IFERROR(VLOOKUP(VLOOKUP($B24, Dependencies!$B$2:$G$230, 4,FALSE),$B$14:AO$73, AO$74,FALSE),"o")=$D$4,IFERROR(VLOOKUP(VLOOKUP($B24, Dependencies!$B$2:$G$230, 5,FALSE),$B$14:AO$73, AO$74,FALSE),"o")=$D$4,IFERROR(VLOOKUP(VLOOKUP($B24, Dependencies!$B$2:$G$230, 6,FALSE),$B$14:AO$73, AO$74,FALSE),"o")=$D$4),$D$4,IF(OR(IFERROR(VLOOKUP(VLOOKUP($B24, Dependencies!$B$2:$G$230, 2,FALSE), $B$14:AO$73, AO$74,FALSE),"o")=$D$5,IFERROR(VLOOKUP(VLOOKUP($B24, Dependencies!$B$2:$G$230, 3,FALSE), $B$14:AO$73, AO$74,FALSE),"o")=$D$5,IFERROR(VLOOKUP(VLOOKUP($B24, Dependencies!$B$2:$G$230, 4,FALSE), $B$14:AO$73, AO$74,FALSE),"o")=$D$5,IFERROR(VLOOKUP(VLOOKUP($B24, Dependencies!$B$2:$G$230, 5,FALSE), $B$14:AO$73, AO$74,FALSE),"o")=$D$5,IFERROR(VLOOKUP(VLOOKUP($B24, Dependencies!$B$2:$G$230, 6,FALSE), $B$14:AO$73, AO$74,FALSE),"o")=$D$5),$D$5,AN24)))</f>
        <v>o</v>
      </c>
      <c r="AP24" s="93" t="s">
        <v>323</v>
      </c>
      <c r="AQ24" s="70" t="str">
        <f>IF(AP24=$D$4,AP24,IF(OR(IFERROR(VLOOKUP(VLOOKUP($B24, Dependencies!$B$2:$G$230, 2,FALSE),$B$14:AQ$73, AQ$74,FALSE),"o")=$D$4,IFERROR(VLOOKUP(VLOOKUP($B24, Dependencies!$B$2:$G$230, 3,FALSE),$B$14:AQ$73, AQ$74,FALSE),"o")=$D$4,IFERROR(VLOOKUP(VLOOKUP($B24, Dependencies!$B$2:$G$230, 4,FALSE),$B$14:AQ$73, AQ$74,FALSE),"o")=$D$4,IFERROR(VLOOKUP(VLOOKUP($B24, Dependencies!$B$2:$G$230, 5,FALSE),$B$14:AQ$73, AQ$74,FALSE),"o")=$D$4,IFERROR(VLOOKUP(VLOOKUP($B24, Dependencies!$B$2:$G$230, 6,FALSE),$B$14:AQ$73, AQ$74,FALSE),"o")=$D$4),$D$4,IF(OR(IFERROR(VLOOKUP(VLOOKUP($B24, Dependencies!$B$2:$G$230, 2,FALSE), $B$14:AQ$73, AQ$74,FALSE),"o")=$D$5,IFERROR(VLOOKUP(VLOOKUP($B24, Dependencies!$B$2:$G$230, 3,FALSE), $B$14:AQ$73, AQ$74,FALSE),"o")=$D$5,IFERROR(VLOOKUP(VLOOKUP($B24, Dependencies!$B$2:$G$230, 4,FALSE), $B$14:AQ$73, AQ$74,FALSE),"o")=$D$5,IFERROR(VLOOKUP(VLOOKUP($B24, Dependencies!$B$2:$G$230, 5,FALSE), $B$14:AQ$73, AQ$74,FALSE),"o")=$D$5,IFERROR(VLOOKUP(VLOOKUP($B24, Dependencies!$B$2:$G$230, 6,FALSE), $B$14:AQ$73, AQ$74,FALSE),"o")=$D$5),$D$5,AP24)))</f>
        <v>o</v>
      </c>
      <c r="AR24" s="93" t="s">
        <v>323</v>
      </c>
      <c r="AS24" s="69" t="str">
        <f>IF(AR24=$D$4,AR24,IF(OR(IFERROR(VLOOKUP(VLOOKUP($B24, Dependencies!$B$2:$G$230, 2,FALSE),$B$14:AS$73, AS$74,FALSE),"o")=$D$4,IFERROR(VLOOKUP(VLOOKUP($B24, Dependencies!$B$2:$G$230, 3,FALSE),$B$14:AS$73, AS$74,FALSE),"o")=$D$4,IFERROR(VLOOKUP(VLOOKUP($B24, Dependencies!$B$2:$G$230, 4,FALSE),$B$14:AS$73, AS$74,FALSE),"o")=$D$4,IFERROR(VLOOKUP(VLOOKUP($B24, Dependencies!$B$2:$G$230, 5,FALSE),$B$14:AS$73, AS$74,FALSE),"o")=$D$4,IFERROR(VLOOKUP(VLOOKUP($B24, Dependencies!$B$2:$G$230, 6,FALSE),$B$14:AS$73, AS$74,FALSE),"o")=$D$4),$D$4,IF(OR(IFERROR(VLOOKUP(VLOOKUP($B24, Dependencies!$B$2:$G$230, 2,FALSE), $B$14:AS$73, AS$74,FALSE),"o")=$D$5,IFERROR(VLOOKUP(VLOOKUP($B24, Dependencies!$B$2:$G$230, 3,FALSE), $B$14:AS$73, AS$74,FALSE),"o")=$D$5,IFERROR(VLOOKUP(VLOOKUP($B24, Dependencies!$B$2:$G$230, 4,FALSE), $B$14:AS$73, AS$74,FALSE),"o")=$D$5,IFERROR(VLOOKUP(VLOOKUP($B24, Dependencies!$B$2:$G$230, 5,FALSE), $B$14:AS$73, AS$74,FALSE),"o")=$D$5,IFERROR(VLOOKUP(VLOOKUP($B24, Dependencies!$B$2:$G$230, 6,FALSE), $B$14:AS$73, AS$74,FALSE),"o")=$D$5),$D$5,AR24)))</f>
        <v>o</v>
      </c>
    </row>
    <row r="25" spans="1:47" x14ac:dyDescent="0.2">
      <c r="A25" s="40"/>
      <c r="B25" s="74" t="str">
        <f>MLEOsv2!A13</f>
        <v>MLEO_10_02</v>
      </c>
      <c r="C25" s="74">
        <f>MLEOsv2!C13</f>
        <v>1</v>
      </c>
      <c r="D25" s="44" t="str">
        <f>MLEOsv2!G13</f>
        <v>identify attributes and operations of classes with visibility, types, and initial values.</v>
      </c>
      <c r="E25" s="68" t="b">
        <f>MLEOsv2!H13</f>
        <v>1</v>
      </c>
      <c r="F25" s="94" t="s">
        <v>320</v>
      </c>
      <c r="G25" s="72" t="str">
        <f>IF(F25=$D$4,F25,IF(OR(IFERROR(VLOOKUP(VLOOKUP($B25, Dependencies!$B$2:$G$230, 2,FALSE),$B$14:G$73, G$74,FALSE),"o")=$D$4,IFERROR(VLOOKUP(VLOOKUP($B25, Dependencies!$B$2:$G$230, 3,FALSE),$B$14:G$73, G$74,FALSE),"o")=$D$4,IFERROR(VLOOKUP(VLOOKUP($B25, Dependencies!$B$2:$G$230, 4,FALSE),$B$14:G$73, G$74,FALSE),"o")=$D$4,IFERROR(VLOOKUP(VLOOKUP($B25, Dependencies!$B$2:$G$230, 5,FALSE),$B$14:G$73, G$74,FALSE),"o")=$D$4,IFERROR(VLOOKUP(VLOOKUP($B25, Dependencies!$B$2:$G$230, 6,FALSE),$B$14:G$73, G$74,FALSE),"o")=$D$4),$D$4,IF(OR(IFERROR(VLOOKUP(VLOOKUP($B25, Dependencies!$B$2:$G$230, 2,FALSE), $B$14:G$73, G$74,FALSE),"o")=$D$5,IFERROR(VLOOKUP(VLOOKUP($B25, Dependencies!$B$2:$G$230, 3,FALSE), $B$14:G$73, G$74,FALSE),"o")=$D$5,IFERROR(VLOOKUP(VLOOKUP($B25, Dependencies!$B$2:$G$230, 4,FALSE), $B$14:G$73, G$74,FALSE),"o")=$D$5,IFERROR(VLOOKUP(VLOOKUP($B25, Dependencies!$B$2:$G$230, 5,FALSE), $B$14:G$73, G$74,FALSE),"o")=$D$5,IFERROR(VLOOKUP(VLOOKUP($B25, Dependencies!$B$2:$G$230, 6,FALSE), $B$14:G$73, G$74,FALSE),"o")=$D$5),$D$5,F25)))</f>
        <v>r</v>
      </c>
      <c r="H25" s="94" t="s">
        <v>321</v>
      </c>
      <c r="I25" s="72" t="str">
        <f>IF(H25=$D$4,H25,IF(OR(IFERROR(VLOOKUP(VLOOKUP($B25, Dependencies!$B$2:$G$230, 2,FALSE),$B$14:I$73, I$74,FALSE),"o")=$D$4,IFERROR(VLOOKUP(VLOOKUP($B25, Dependencies!$B$2:$G$230, 3,FALSE),$B$14:I$73, I$74,FALSE),"o")=$D$4,IFERROR(VLOOKUP(VLOOKUP($B25, Dependencies!$B$2:$G$230, 4,FALSE),$B$14:I$73, I$74,FALSE),"o")=$D$4,IFERROR(VLOOKUP(VLOOKUP($B25, Dependencies!$B$2:$G$230, 5,FALSE),$B$14:I$73, I$74,FALSE),"o")=$D$4,IFERROR(VLOOKUP(VLOOKUP($B25, Dependencies!$B$2:$G$230, 6,FALSE),$B$14:I$73, I$74,FALSE),"o")=$D$4),$D$4,IF(OR(IFERROR(VLOOKUP(VLOOKUP($B25, Dependencies!$B$2:$G$230, 2,FALSE), $B$14:I$73, I$74,FALSE),"o")=$D$5,IFERROR(VLOOKUP(VLOOKUP($B25, Dependencies!$B$2:$G$230, 3,FALSE), $B$14:I$73, I$74,FALSE),"o")=$D$5,IFERROR(VLOOKUP(VLOOKUP($B25, Dependencies!$B$2:$G$230, 4,FALSE), $B$14:I$73, I$74,FALSE),"o")=$D$5,IFERROR(VLOOKUP(VLOOKUP($B25, Dependencies!$B$2:$G$230, 5,FALSE), $B$14:I$73, I$74,FALSE),"o")=$D$5,IFERROR(VLOOKUP(VLOOKUP($B25, Dependencies!$B$2:$G$230, 6,FALSE), $B$14:I$73, I$74,FALSE),"o")=$D$5),$D$5,H25)))</f>
        <v>pr</v>
      </c>
      <c r="J25" s="94" t="s">
        <v>320</v>
      </c>
      <c r="K25" s="72" t="str">
        <f>IF(J25=$D$4,J25,IF(OR(IFERROR(VLOOKUP(VLOOKUP($B25, Dependencies!$B$2:$G$230, 2,FALSE),$B$14:K$73, K$74,FALSE),"o")=$D$4,IFERROR(VLOOKUP(VLOOKUP($B25, Dependencies!$B$2:$G$230, 3,FALSE),$B$14:K$73, K$74,FALSE),"o")=$D$4,IFERROR(VLOOKUP(VLOOKUP($B25, Dependencies!$B$2:$G$230, 4,FALSE),$B$14:K$73, K$74,FALSE),"o")=$D$4,IFERROR(VLOOKUP(VLOOKUP($B25, Dependencies!$B$2:$G$230, 5,FALSE),$B$14:K$73, K$74,FALSE),"o")=$D$4,IFERROR(VLOOKUP(VLOOKUP($B25, Dependencies!$B$2:$G$230, 6,FALSE),$B$14:K$73, K$74,FALSE),"o")=$D$4),$D$4,IF(OR(IFERROR(VLOOKUP(VLOOKUP($B25, Dependencies!$B$2:$G$230, 2,FALSE), $B$14:K$73, K$74,FALSE),"o")=$D$5,IFERROR(VLOOKUP(VLOOKUP($B25, Dependencies!$B$2:$G$230, 3,FALSE), $B$14:K$73, K$74,FALSE),"o")=$D$5,IFERROR(VLOOKUP(VLOOKUP($B25, Dependencies!$B$2:$G$230, 4,FALSE), $B$14:K$73, K$74,FALSE),"o")=$D$5,IFERROR(VLOOKUP(VLOOKUP($B25, Dependencies!$B$2:$G$230, 5,FALSE), $B$14:K$73, K$74,FALSE),"o")=$D$5,IFERROR(VLOOKUP(VLOOKUP($B25, Dependencies!$B$2:$G$230, 6,FALSE), $B$14:K$73, K$74,FALSE),"o")=$D$5),$D$5,J25)))</f>
        <v>r</v>
      </c>
      <c r="L25" s="94" t="s">
        <v>323</v>
      </c>
      <c r="M25" s="72" t="str">
        <f>IF(L25=$D$4,L25,IF(OR(IFERROR(VLOOKUP(VLOOKUP($B25, Dependencies!$B$2:$G$230, 2,FALSE),$B$14:M$73, M$74,FALSE),"o")=$D$4,IFERROR(VLOOKUP(VLOOKUP($B25, Dependencies!$B$2:$G$230, 3,FALSE),$B$14:M$73, M$74,FALSE),"o")=$D$4,IFERROR(VLOOKUP(VLOOKUP($B25, Dependencies!$B$2:$G$230, 4,FALSE),$B$14:M$73, M$74,FALSE),"o")=$D$4,IFERROR(VLOOKUP(VLOOKUP($B25, Dependencies!$B$2:$G$230, 5,FALSE),$B$14:M$73, M$74,FALSE),"o")=$D$4,IFERROR(VLOOKUP(VLOOKUP($B25, Dependencies!$B$2:$G$230, 6,FALSE),$B$14:M$73, M$74,FALSE),"o")=$D$4),$D$4,IF(OR(IFERROR(VLOOKUP(VLOOKUP($B25, Dependencies!$B$2:$G$230, 2,FALSE), $B$14:M$73, M$74,FALSE),"o")=$D$5,IFERROR(VLOOKUP(VLOOKUP($B25, Dependencies!$B$2:$G$230, 3,FALSE), $B$14:M$73, M$74,FALSE),"o")=$D$5,IFERROR(VLOOKUP(VLOOKUP($B25, Dependencies!$B$2:$G$230, 4,FALSE), $B$14:M$73, M$74,FALSE),"o")=$D$5,IFERROR(VLOOKUP(VLOOKUP($B25, Dependencies!$B$2:$G$230, 5,FALSE), $B$14:M$73, M$74,FALSE),"o")=$D$5,IFERROR(VLOOKUP(VLOOKUP($B25, Dependencies!$B$2:$G$230, 6,FALSE), $B$14:M$73, M$74,FALSE),"o")=$D$5),$D$5,L25)))</f>
        <v>o</v>
      </c>
      <c r="N25" s="94" t="s">
        <v>323</v>
      </c>
      <c r="O25" s="72" t="str">
        <f>IF(N25=$D$4,N25,IF(OR(IFERROR(VLOOKUP(VLOOKUP($B25, Dependencies!$B$2:$G$230, 2,FALSE),$B$14:O$73, O$74,FALSE),"o")=$D$4,IFERROR(VLOOKUP(VLOOKUP($B25, Dependencies!$B$2:$G$230, 3,FALSE),$B$14:O$73, O$74,FALSE),"o")=$D$4,IFERROR(VLOOKUP(VLOOKUP($B25, Dependencies!$B$2:$G$230, 4,FALSE),$B$14:O$73, O$74,FALSE),"o")=$D$4,IFERROR(VLOOKUP(VLOOKUP($B25, Dependencies!$B$2:$G$230, 5,FALSE),$B$14:O$73, O$74,FALSE),"o")=$D$4,IFERROR(VLOOKUP(VLOOKUP($B25, Dependencies!$B$2:$G$230, 6,FALSE),$B$14:O$73, O$74,FALSE),"o")=$D$4),$D$4,IF(OR(IFERROR(VLOOKUP(VLOOKUP($B25, Dependencies!$B$2:$G$230, 2,FALSE), $B$14:O$73, O$74,FALSE),"o")=$D$5,IFERROR(VLOOKUP(VLOOKUP($B25, Dependencies!$B$2:$G$230, 3,FALSE), $B$14:O$73, O$74,FALSE),"o")=$D$5,IFERROR(VLOOKUP(VLOOKUP($B25, Dependencies!$B$2:$G$230, 4,FALSE), $B$14:O$73, O$74,FALSE),"o")=$D$5,IFERROR(VLOOKUP(VLOOKUP($B25, Dependencies!$B$2:$G$230, 5,FALSE), $B$14:O$73, O$74,FALSE),"o")=$D$5,IFERROR(VLOOKUP(VLOOKUP($B25, Dependencies!$B$2:$G$230, 6,FALSE), $B$14:O$73, O$74,FALSE),"o")=$D$5),$D$5,N25)))</f>
        <v>o</v>
      </c>
      <c r="P25" s="94" t="s">
        <v>323</v>
      </c>
      <c r="Q25" s="72" t="str">
        <f>IF(P25=$D$4,P25,IF(OR(IFERROR(VLOOKUP(VLOOKUP($B25, Dependencies!$B$2:$G$230, 2,FALSE),$B$14:Q$73, Q$74,FALSE),"o")=$D$4,IFERROR(VLOOKUP(VLOOKUP($B25, Dependencies!$B$2:$G$230, 3,FALSE),$B$14:Q$73, Q$74,FALSE),"o")=$D$4,IFERROR(VLOOKUP(VLOOKUP($B25, Dependencies!$B$2:$G$230, 4,FALSE),$B$14:Q$73, Q$74,FALSE),"o")=$D$4,IFERROR(VLOOKUP(VLOOKUP($B25, Dependencies!$B$2:$G$230, 5,FALSE),$B$14:Q$73, Q$74,FALSE),"o")=$D$4,IFERROR(VLOOKUP(VLOOKUP($B25, Dependencies!$B$2:$G$230, 6,FALSE),$B$14:Q$73, Q$74,FALSE),"o")=$D$4),$D$4,IF(OR(IFERROR(VLOOKUP(VLOOKUP($B25, Dependencies!$B$2:$G$230, 2,FALSE), $B$14:Q$73, Q$74,FALSE),"o")=$D$5,IFERROR(VLOOKUP(VLOOKUP($B25, Dependencies!$B$2:$G$230, 3,FALSE), $B$14:Q$73, Q$74,FALSE),"o")=$D$5,IFERROR(VLOOKUP(VLOOKUP($B25, Dependencies!$B$2:$G$230, 4,FALSE), $B$14:Q$73, Q$74,FALSE),"o")=$D$5,IFERROR(VLOOKUP(VLOOKUP($B25, Dependencies!$B$2:$G$230, 5,FALSE), $B$14:Q$73, Q$74,FALSE),"o")=$D$5,IFERROR(VLOOKUP(VLOOKUP($B25, Dependencies!$B$2:$G$230, 6,FALSE), $B$14:Q$73, Q$74,FALSE),"o")=$D$5),$D$5,P25)))</f>
        <v>o</v>
      </c>
      <c r="R25" s="94" t="s">
        <v>323</v>
      </c>
      <c r="S25" s="72" t="str">
        <f>IF(R25=$D$4,R25,IF(OR(IFERROR(VLOOKUP(VLOOKUP($B25, Dependencies!$B$2:$G$230, 2,FALSE),$B$14:S$73, S$74,FALSE),"o")=$D$4,IFERROR(VLOOKUP(VLOOKUP($B25, Dependencies!$B$2:$G$230, 3,FALSE),$B$14:S$73, S$74,FALSE),"o")=$D$4,IFERROR(VLOOKUP(VLOOKUP($B25, Dependencies!$B$2:$G$230, 4,FALSE),$B$14:S$73, S$74,FALSE),"o")=$D$4,IFERROR(VLOOKUP(VLOOKUP($B25, Dependencies!$B$2:$G$230, 5,FALSE),$B$14:S$73, S$74,FALSE),"o")=$D$4,IFERROR(VLOOKUP(VLOOKUP($B25, Dependencies!$B$2:$G$230, 6,FALSE),$B$14:S$73, S$74,FALSE),"o")=$D$4),$D$4,IF(OR(IFERROR(VLOOKUP(VLOOKUP($B25, Dependencies!$B$2:$G$230, 2,FALSE), $B$14:S$73, S$74,FALSE),"o")=$D$5,IFERROR(VLOOKUP(VLOOKUP($B25, Dependencies!$B$2:$G$230, 3,FALSE), $B$14:S$73, S$74,FALSE),"o")=$D$5,IFERROR(VLOOKUP(VLOOKUP($B25, Dependencies!$B$2:$G$230, 4,FALSE), $B$14:S$73, S$74,FALSE),"o")=$D$5,IFERROR(VLOOKUP(VLOOKUP($B25, Dependencies!$B$2:$G$230, 5,FALSE), $B$14:S$73, S$74,FALSE),"o")=$D$5,IFERROR(VLOOKUP(VLOOKUP($B25, Dependencies!$B$2:$G$230, 6,FALSE), $B$14:S$73, S$74,FALSE),"o")=$D$5),$D$5,R25)))</f>
        <v>o</v>
      </c>
      <c r="T25" s="94" t="s">
        <v>323</v>
      </c>
      <c r="U25" s="72" t="str">
        <f>IF(T25=$D$4,T25,IF(OR(IFERROR(VLOOKUP(VLOOKUP($B25, Dependencies!$B$2:$G$230, 2,FALSE),$B$14:U$73, U$74,FALSE),"o")=$D$4,IFERROR(VLOOKUP(VLOOKUP($B25, Dependencies!$B$2:$G$230, 3,FALSE),$B$14:U$73, U$74,FALSE),"o")=$D$4,IFERROR(VLOOKUP(VLOOKUP($B25, Dependencies!$B$2:$G$230, 4,FALSE),$B$14:U$73, U$74,FALSE),"o")=$D$4,IFERROR(VLOOKUP(VLOOKUP($B25, Dependencies!$B$2:$G$230, 5,FALSE),$B$14:U$73, U$74,FALSE),"o")=$D$4,IFERROR(VLOOKUP(VLOOKUP($B25, Dependencies!$B$2:$G$230, 6,FALSE),$B$14:U$73, U$74,FALSE),"o")=$D$4),$D$4,IF(OR(IFERROR(VLOOKUP(VLOOKUP($B25, Dependencies!$B$2:$G$230, 2,FALSE), $B$14:U$73, U$74,FALSE),"o")=$D$5,IFERROR(VLOOKUP(VLOOKUP($B25, Dependencies!$B$2:$G$230, 3,FALSE), $B$14:U$73, U$74,FALSE),"o")=$D$5,IFERROR(VLOOKUP(VLOOKUP($B25, Dependencies!$B$2:$G$230, 4,FALSE), $B$14:U$73, U$74,FALSE),"o")=$D$5,IFERROR(VLOOKUP(VLOOKUP($B25, Dependencies!$B$2:$G$230, 5,FALSE), $B$14:U$73, U$74,FALSE),"o")=$D$5,IFERROR(VLOOKUP(VLOOKUP($B25, Dependencies!$B$2:$G$230, 6,FALSE), $B$14:U$73, U$74,FALSE),"o")=$D$5),$D$5,T25)))</f>
        <v>o</v>
      </c>
      <c r="V25" s="94" t="s">
        <v>323</v>
      </c>
      <c r="W25" s="72" t="str">
        <f>IF(V25=$D$4,V25,IF(OR(IFERROR(VLOOKUP(VLOOKUP($B25, Dependencies!$B$2:$G$230, 2,FALSE),$B$14:W$73, W$74,FALSE),"o")=$D$4,IFERROR(VLOOKUP(VLOOKUP($B25, Dependencies!$B$2:$G$230, 3,FALSE),$B$14:W$73, W$74,FALSE),"o")=$D$4,IFERROR(VLOOKUP(VLOOKUP($B25, Dependencies!$B$2:$G$230, 4,FALSE),$B$14:W$73, W$74,FALSE),"o")=$D$4,IFERROR(VLOOKUP(VLOOKUP($B25, Dependencies!$B$2:$G$230, 5,FALSE),$B$14:W$73, W$74,FALSE),"o")=$D$4,IFERROR(VLOOKUP(VLOOKUP($B25, Dependencies!$B$2:$G$230, 6,FALSE),$B$14:W$73, W$74,FALSE),"o")=$D$4),$D$4,IF(OR(IFERROR(VLOOKUP(VLOOKUP($B25, Dependencies!$B$2:$G$230, 2,FALSE), $B$14:W$73, W$74,FALSE),"o")=$D$5,IFERROR(VLOOKUP(VLOOKUP($B25, Dependencies!$B$2:$G$230, 3,FALSE), $B$14:W$73, W$74,FALSE),"o")=$D$5,IFERROR(VLOOKUP(VLOOKUP($B25, Dependencies!$B$2:$G$230, 4,FALSE), $B$14:W$73, W$74,FALSE),"o")=$D$5,IFERROR(VLOOKUP(VLOOKUP($B25, Dependencies!$B$2:$G$230, 5,FALSE), $B$14:W$73, W$74,FALSE),"o")=$D$5,IFERROR(VLOOKUP(VLOOKUP($B25, Dependencies!$B$2:$G$230, 6,FALSE), $B$14:W$73, W$74,FALSE),"o")=$D$5),$D$5,V25)))</f>
        <v>o</v>
      </c>
      <c r="X25" s="94" t="s">
        <v>323</v>
      </c>
      <c r="Y25" s="72" t="str">
        <f>IF(X25=$D$4,X25,IF(OR(IFERROR(VLOOKUP(VLOOKUP($B25, Dependencies!$B$2:$G$230, 2,FALSE),$B$14:Y$73, Y$74,FALSE),"o")=$D$4,IFERROR(VLOOKUP(VLOOKUP($B25, Dependencies!$B$2:$G$230, 3,FALSE),$B$14:Y$73, Y$74,FALSE),"o")=$D$4,IFERROR(VLOOKUP(VLOOKUP($B25, Dependencies!$B$2:$G$230, 4,FALSE),$B$14:Y$73, Y$74,FALSE),"o")=$D$4,IFERROR(VLOOKUP(VLOOKUP($B25, Dependencies!$B$2:$G$230, 5,FALSE),$B$14:Y$73, Y$74,FALSE),"o")=$D$4,IFERROR(VLOOKUP(VLOOKUP($B25, Dependencies!$B$2:$G$230, 6,FALSE),$B$14:Y$73, Y$74,FALSE),"o")=$D$4),$D$4,IF(OR(IFERROR(VLOOKUP(VLOOKUP($B25, Dependencies!$B$2:$G$230, 2,FALSE), $B$14:Y$73, Y$74,FALSE),"o")=$D$5,IFERROR(VLOOKUP(VLOOKUP($B25, Dependencies!$B$2:$G$230, 3,FALSE), $B$14:Y$73, Y$74,FALSE),"o")=$D$5,IFERROR(VLOOKUP(VLOOKUP($B25, Dependencies!$B$2:$G$230, 4,FALSE), $B$14:Y$73, Y$74,FALSE),"o")=$D$5,IFERROR(VLOOKUP(VLOOKUP($B25, Dependencies!$B$2:$G$230, 5,FALSE), $B$14:Y$73, Y$74,FALSE),"o")=$D$5,IFERROR(VLOOKUP(VLOOKUP($B25, Dependencies!$B$2:$G$230, 6,FALSE), $B$14:Y$73, Y$74,FALSE),"o")=$D$5),$D$5,X25)))</f>
        <v>o</v>
      </c>
      <c r="Z25" s="94" t="s">
        <v>323</v>
      </c>
      <c r="AA25" s="72" t="str">
        <f>IF(Z25=$D$4,Z25,IF(OR(IFERROR(VLOOKUP(VLOOKUP($B25, Dependencies!$B$2:$G$230, 2,FALSE),$B$14:AA$73, AA$74,FALSE),"o")=$D$4,IFERROR(VLOOKUP(VLOOKUP($B25, Dependencies!$B$2:$G$230, 3,FALSE),$B$14:AA$73, AA$74,FALSE),"o")=$D$4,IFERROR(VLOOKUP(VLOOKUP($B25, Dependencies!$B$2:$G$230, 4,FALSE),$B$14:AA$73, AA$74,FALSE),"o")=$D$4,IFERROR(VLOOKUP(VLOOKUP($B25, Dependencies!$B$2:$G$230, 5,FALSE),$B$14:AA$73, AA$74,FALSE),"o")=$D$4,IFERROR(VLOOKUP(VLOOKUP($B25, Dependencies!$B$2:$G$230, 6,FALSE),$B$14:AA$73, AA$74,FALSE),"o")=$D$4),$D$4,IF(OR(IFERROR(VLOOKUP(VLOOKUP($B25, Dependencies!$B$2:$G$230, 2,FALSE), $B$14:AA$73, AA$74,FALSE),"o")=$D$5,IFERROR(VLOOKUP(VLOOKUP($B25, Dependencies!$B$2:$G$230, 3,FALSE), $B$14:AA$73, AA$74,FALSE),"o")=$D$5,IFERROR(VLOOKUP(VLOOKUP($B25, Dependencies!$B$2:$G$230, 4,FALSE), $B$14:AA$73, AA$74,FALSE),"o")=$D$5,IFERROR(VLOOKUP(VLOOKUP($B25, Dependencies!$B$2:$G$230, 5,FALSE), $B$14:AA$73, AA$74,FALSE),"o")=$D$5,IFERROR(VLOOKUP(VLOOKUP($B25, Dependencies!$B$2:$G$230, 6,FALSE), $B$14:AA$73, AA$74,FALSE),"o")=$D$5),$D$5,Z25)))</f>
        <v>o</v>
      </c>
      <c r="AB25" s="94" t="s">
        <v>323</v>
      </c>
      <c r="AC25" s="72" t="str">
        <f>IF(AB25=$D$4,AB25,IF(OR(IFERROR(VLOOKUP(VLOOKUP($B25, Dependencies!$B$2:$G$230, 2,FALSE),$B$14:AC$73, AC$74,FALSE),"o")=$D$4,IFERROR(VLOOKUP(VLOOKUP($B25, Dependencies!$B$2:$G$230, 3,FALSE),$B$14:AC$73, AC$74,FALSE),"o")=$D$4,IFERROR(VLOOKUP(VLOOKUP($B25, Dependencies!$B$2:$G$230, 4,FALSE),$B$14:AC$73, AC$74,FALSE),"o")=$D$4,IFERROR(VLOOKUP(VLOOKUP($B25, Dependencies!$B$2:$G$230, 5,FALSE),$B$14:AC$73, AC$74,FALSE),"o")=$D$4,IFERROR(VLOOKUP(VLOOKUP($B25, Dependencies!$B$2:$G$230, 6,FALSE),$B$14:AC$73, AC$74,FALSE),"o")=$D$4),$D$4,IF(OR(IFERROR(VLOOKUP(VLOOKUP($B25, Dependencies!$B$2:$G$230, 2,FALSE), $B$14:AC$73, AC$74,FALSE),"o")=$D$5,IFERROR(VLOOKUP(VLOOKUP($B25, Dependencies!$B$2:$G$230, 3,FALSE), $B$14:AC$73, AC$74,FALSE),"o")=$D$5,IFERROR(VLOOKUP(VLOOKUP($B25, Dependencies!$B$2:$G$230, 4,FALSE), $B$14:AC$73, AC$74,FALSE),"o")=$D$5,IFERROR(VLOOKUP(VLOOKUP($B25, Dependencies!$B$2:$G$230, 5,FALSE), $B$14:AC$73, AC$74,FALSE),"o")=$D$5,IFERROR(VLOOKUP(VLOOKUP($B25, Dependencies!$B$2:$G$230, 6,FALSE), $B$14:AC$73, AC$74,FALSE),"o")=$D$5),$D$5,AB25)))</f>
        <v>o</v>
      </c>
      <c r="AD25" s="94" t="s">
        <v>323</v>
      </c>
      <c r="AE25" s="72" t="str">
        <f>IF(AD25=$D$4,AD25,IF(OR(IFERROR(VLOOKUP(VLOOKUP($B25, Dependencies!$B$2:$G$230, 2,FALSE),$B$14:AE$73, AE$74,FALSE),"o")=$D$4,IFERROR(VLOOKUP(VLOOKUP($B25, Dependencies!$B$2:$G$230, 3,FALSE),$B$14:AE$73, AE$74,FALSE),"o")=$D$4,IFERROR(VLOOKUP(VLOOKUP($B25, Dependencies!$B$2:$G$230, 4,FALSE),$B$14:AE$73, AE$74,FALSE),"o")=$D$4,IFERROR(VLOOKUP(VLOOKUP($B25, Dependencies!$B$2:$G$230, 5,FALSE),$B$14:AE$73, AE$74,FALSE),"o")=$D$4,IFERROR(VLOOKUP(VLOOKUP($B25, Dependencies!$B$2:$G$230, 6,FALSE),$B$14:AE$73, AE$74,FALSE),"o")=$D$4),$D$4,IF(OR(IFERROR(VLOOKUP(VLOOKUP($B25, Dependencies!$B$2:$G$230, 2,FALSE), $B$14:AE$73, AE$74,FALSE),"o")=$D$5,IFERROR(VLOOKUP(VLOOKUP($B25, Dependencies!$B$2:$G$230, 3,FALSE), $B$14:AE$73, AE$74,FALSE),"o")=$D$5,IFERROR(VLOOKUP(VLOOKUP($B25, Dependencies!$B$2:$G$230, 4,FALSE), $B$14:AE$73, AE$74,FALSE),"o")=$D$5,IFERROR(VLOOKUP(VLOOKUP($B25, Dependencies!$B$2:$G$230, 5,FALSE), $B$14:AE$73, AE$74,FALSE),"o")=$D$5,IFERROR(VLOOKUP(VLOOKUP($B25, Dependencies!$B$2:$G$230, 6,FALSE), $B$14:AE$73, AE$74,FALSE),"o")=$D$5),$D$5,AD25)))</f>
        <v>o</v>
      </c>
      <c r="AF25" s="94" t="s">
        <v>323</v>
      </c>
      <c r="AG25" s="72" t="str">
        <f>IF(AF25=$D$4,AF25,IF(OR(IFERROR(VLOOKUP(VLOOKUP($B25, Dependencies!$B$2:$G$230, 2,FALSE),$B$14:AG$73, AG$74,FALSE),"o")=$D$4,IFERROR(VLOOKUP(VLOOKUP($B25, Dependencies!$B$2:$G$230, 3,FALSE),$B$14:AG$73, AG$74,FALSE),"o")=$D$4,IFERROR(VLOOKUP(VLOOKUP($B25, Dependencies!$B$2:$G$230, 4,FALSE),$B$14:AG$73, AG$74,FALSE),"o")=$D$4,IFERROR(VLOOKUP(VLOOKUP($B25, Dependencies!$B$2:$G$230, 5,FALSE),$B$14:AG$73, AG$74,FALSE),"o")=$D$4,IFERROR(VLOOKUP(VLOOKUP($B25, Dependencies!$B$2:$G$230, 6,FALSE),$B$14:AG$73, AG$74,FALSE),"o")=$D$4),$D$4,IF(OR(IFERROR(VLOOKUP(VLOOKUP($B25, Dependencies!$B$2:$G$230, 2,FALSE), $B$14:AG$73, AG$74,FALSE),"o")=$D$5,IFERROR(VLOOKUP(VLOOKUP($B25, Dependencies!$B$2:$G$230, 3,FALSE), $B$14:AG$73, AG$74,FALSE),"o")=$D$5,IFERROR(VLOOKUP(VLOOKUP($B25, Dependencies!$B$2:$G$230, 4,FALSE), $B$14:AG$73, AG$74,FALSE),"o")=$D$5,IFERROR(VLOOKUP(VLOOKUP($B25, Dependencies!$B$2:$G$230, 5,FALSE), $B$14:AG$73, AG$74,FALSE),"o")=$D$5,IFERROR(VLOOKUP(VLOOKUP($B25, Dependencies!$B$2:$G$230, 6,FALSE), $B$14:AG$73, AG$74,FALSE),"o")=$D$5),$D$5,AF25)))</f>
        <v>o</v>
      </c>
      <c r="AH25" s="94" t="s">
        <v>323</v>
      </c>
      <c r="AI25" s="72" t="str">
        <f>IF(AH25=$D$4,AH25,IF(OR(IFERROR(VLOOKUP(VLOOKUP($B25, Dependencies!$B$2:$G$230, 2,FALSE),$B$14:AI$73, AI$74,FALSE),"o")=$D$4,IFERROR(VLOOKUP(VLOOKUP($B25, Dependencies!$B$2:$G$230, 3,FALSE),$B$14:AI$73, AI$74,FALSE),"o")=$D$4,IFERROR(VLOOKUP(VLOOKUP($B25, Dependencies!$B$2:$G$230, 4,FALSE),$B$14:AI$73, AI$74,FALSE),"o")=$D$4,IFERROR(VLOOKUP(VLOOKUP($B25, Dependencies!$B$2:$G$230, 5,FALSE),$B$14:AI$73, AI$74,FALSE),"o")=$D$4,IFERROR(VLOOKUP(VLOOKUP($B25, Dependencies!$B$2:$G$230, 6,FALSE),$B$14:AI$73, AI$74,FALSE),"o")=$D$4),$D$4,IF(OR(IFERROR(VLOOKUP(VLOOKUP($B25, Dependencies!$B$2:$G$230, 2,FALSE), $B$14:AI$73, AI$74,FALSE),"o")=$D$5,IFERROR(VLOOKUP(VLOOKUP($B25, Dependencies!$B$2:$G$230, 3,FALSE), $B$14:AI$73, AI$74,FALSE),"o")=$D$5,IFERROR(VLOOKUP(VLOOKUP($B25, Dependencies!$B$2:$G$230, 4,FALSE), $B$14:AI$73, AI$74,FALSE),"o")=$D$5,IFERROR(VLOOKUP(VLOOKUP($B25, Dependencies!$B$2:$G$230, 5,FALSE), $B$14:AI$73, AI$74,FALSE),"o")=$D$5,IFERROR(VLOOKUP(VLOOKUP($B25, Dependencies!$B$2:$G$230, 6,FALSE), $B$14:AI$73, AI$74,FALSE),"o")=$D$5),$D$5,AH25)))</f>
        <v>o</v>
      </c>
      <c r="AJ25" s="94" t="s">
        <v>323</v>
      </c>
      <c r="AK25" s="72" t="str">
        <f>IF(AJ25=$D$4,AJ25,IF(OR(IFERROR(VLOOKUP(VLOOKUP($B25, Dependencies!$B$2:$G$230, 2,FALSE),$B$14:AK$73, AK$74,FALSE),"o")=$D$4,IFERROR(VLOOKUP(VLOOKUP($B25, Dependencies!$B$2:$G$230, 3,FALSE),$B$14:AK$73, AK$74,FALSE),"o")=$D$4,IFERROR(VLOOKUP(VLOOKUP($B25, Dependencies!$B$2:$G$230, 4,FALSE),$B$14:AK$73, AK$74,FALSE),"o")=$D$4,IFERROR(VLOOKUP(VLOOKUP($B25, Dependencies!$B$2:$G$230, 5,FALSE),$B$14:AK$73, AK$74,FALSE),"o")=$D$4,IFERROR(VLOOKUP(VLOOKUP($B25, Dependencies!$B$2:$G$230, 6,FALSE),$B$14:AK$73, AK$74,FALSE),"o")=$D$4),$D$4,IF(OR(IFERROR(VLOOKUP(VLOOKUP($B25, Dependencies!$B$2:$G$230, 2,FALSE), $B$14:AK$73, AK$74,FALSE),"o")=$D$5,IFERROR(VLOOKUP(VLOOKUP($B25, Dependencies!$B$2:$G$230, 3,FALSE), $B$14:AK$73, AK$74,FALSE),"o")=$D$5,IFERROR(VLOOKUP(VLOOKUP($B25, Dependencies!$B$2:$G$230, 4,FALSE), $B$14:AK$73, AK$74,FALSE),"o")=$D$5,IFERROR(VLOOKUP(VLOOKUP($B25, Dependencies!$B$2:$G$230, 5,FALSE), $B$14:AK$73, AK$74,FALSE),"o")=$D$5,IFERROR(VLOOKUP(VLOOKUP($B25, Dependencies!$B$2:$G$230, 6,FALSE), $B$14:AK$73, AK$74,FALSE),"o")=$D$5),$D$5,AJ25)))</f>
        <v>o</v>
      </c>
      <c r="AL25" s="94" t="s">
        <v>323</v>
      </c>
      <c r="AM25" s="72" t="str">
        <f>IF(AL25=$D$4,AL25,IF(OR(IFERROR(VLOOKUP(VLOOKUP($B25, Dependencies!$B$2:$G$230, 2,FALSE),$B$14:AM$73, AM$74,FALSE),"o")=$D$4,IFERROR(VLOOKUP(VLOOKUP($B25, Dependencies!$B$2:$G$230, 3,FALSE),$B$14:AM$73, AM$74,FALSE),"o")=$D$4,IFERROR(VLOOKUP(VLOOKUP($B25, Dependencies!$B$2:$G$230, 4,FALSE),$B$14:AM$73, AM$74,FALSE),"o")=$D$4,IFERROR(VLOOKUP(VLOOKUP($B25, Dependencies!$B$2:$G$230, 5,FALSE),$B$14:AM$73, AM$74,FALSE),"o")=$D$4,IFERROR(VLOOKUP(VLOOKUP($B25, Dependencies!$B$2:$G$230, 6,FALSE),$B$14:AM$73, AM$74,FALSE),"o")=$D$4),$D$4,IF(OR(IFERROR(VLOOKUP(VLOOKUP($B25, Dependencies!$B$2:$G$230, 2,FALSE), $B$14:AM$73, AM$74,FALSE),"o")=$D$5,IFERROR(VLOOKUP(VLOOKUP($B25, Dependencies!$B$2:$G$230, 3,FALSE), $B$14:AM$73, AM$74,FALSE),"o")=$D$5,IFERROR(VLOOKUP(VLOOKUP($B25, Dependencies!$B$2:$G$230, 4,FALSE), $B$14:AM$73, AM$74,FALSE),"o")=$D$5,IFERROR(VLOOKUP(VLOOKUP($B25, Dependencies!$B$2:$G$230, 5,FALSE), $B$14:AM$73, AM$74,FALSE),"o")=$D$5,IFERROR(VLOOKUP(VLOOKUP($B25, Dependencies!$B$2:$G$230, 6,FALSE), $B$14:AM$73, AM$74,FALSE),"o")=$D$5),$D$5,AL25)))</f>
        <v>o</v>
      </c>
      <c r="AN25" s="94" t="s">
        <v>323</v>
      </c>
      <c r="AO25" s="72" t="str">
        <f>IF(AN25=$D$4,AN25,IF(OR(IFERROR(VLOOKUP(VLOOKUP($B25, Dependencies!$B$2:$G$230, 2,FALSE),$B$14:AO$73, AO$74,FALSE),"o")=$D$4,IFERROR(VLOOKUP(VLOOKUP($B25, Dependencies!$B$2:$G$230, 3,FALSE),$B$14:AO$73, AO$74,FALSE),"o")=$D$4,IFERROR(VLOOKUP(VLOOKUP($B25, Dependencies!$B$2:$G$230, 4,FALSE),$B$14:AO$73, AO$74,FALSE),"o")=$D$4,IFERROR(VLOOKUP(VLOOKUP($B25, Dependencies!$B$2:$G$230, 5,FALSE),$B$14:AO$73, AO$74,FALSE),"o")=$D$4,IFERROR(VLOOKUP(VLOOKUP($B25, Dependencies!$B$2:$G$230, 6,FALSE),$B$14:AO$73, AO$74,FALSE),"o")=$D$4),$D$4,IF(OR(IFERROR(VLOOKUP(VLOOKUP($B25, Dependencies!$B$2:$G$230, 2,FALSE), $B$14:AO$73, AO$74,FALSE),"o")=$D$5,IFERROR(VLOOKUP(VLOOKUP($B25, Dependencies!$B$2:$G$230, 3,FALSE), $B$14:AO$73, AO$74,FALSE),"o")=$D$5,IFERROR(VLOOKUP(VLOOKUP($B25, Dependencies!$B$2:$G$230, 4,FALSE), $B$14:AO$73, AO$74,FALSE),"o")=$D$5,IFERROR(VLOOKUP(VLOOKUP($B25, Dependencies!$B$2:$G$230, 5,FALSE), $B$14:AO$73, AO$74,FALSE),"o")=$D$5,IFERROR(VLOOKUP(VLOOKUP($B25, Dependencies!$B$2:$G$230, 6,FALSE), $B$14:AO$73, AO$74,FALSE),"o")=$D$5),$D$5,AN25)))</f>
        <v>o</v>
      </c>
      <c r="AP25" s="94" t="s">
        <v>323</v>
      </c>
      <c r="AQ25" s="72" t="str">
        <f>IF(AP25=$D$4,AP25,IF(OR(IFERROR(VLOOKUP(VLOOKUP($B25, Dependencies!$B$2:$G$230, 2,FALSE),$B$14:AQ$73, AQ$74,FALSE),"o")=$D$4,IFERROR(VLOOKUP(VLOOKUP($B25, Dependencies!$B$2:$G$230, 3,FALSE),$B$14:AQ$73, AQ$74,FALSE),"o")=$D$4,IFERROR(VLOOKUP(VLOOKUP($B25, Dependencies!$B$2:$G$230, 4,FALSE),$B$14:AQ$73, AQ$74,FALSE),"o")=$D$4,IFERROR(VLOOKUP(VLOOKUP($B25, Dependencies!$B$2:$G$230, 5,FALSE),$B$14:AQ$73, AQ$74,FALSE),"o")=$D$4,IFERROR(VLOOKUP(VLOOKUP($B25, Dependencies!$B$2:$G$230, 6,FALSE),$B$14:AQ$73, AQ$74,FALSE),"o")=$D$4),$D$4,IF(OR(IFERROR(VLOOKUP(VLOOKUP($B25, Dependencies!$B$2:$G$230, 2,FALSE), $B$14:AQ$73, AQ$74,FALSE),"o")=$D$5,IFERROR(VLOOKUP(VLOOKUP($B25, Dependencies!$B$2:$G$230, 3,FALSE), $B$14:AQ$73, AQ$74,FALSE),"o")=$D$5,IFERROR(VLOOKUP(VLOOKUP($B25, Dependencies!$B$2:$G$230, 4,FALSE), $B$14:AQ$73, AQ$74,FALSE),"o")=$D$5,IFERROR(VLOOKUP(VLOOKUP($B25, Dependencies!$B$2:$G$230, 5,FALSE), $B$14:AQ$73, AQ$74,FALSE),"o")=$D$5,IFERROR(VLOOKUP(VLOOKUP($B25, Dependencies!$B$2:$G$230, 6,FALSE), $B$14:AQ$73, AQ$74,FALSE),"o")=$D$5),$D$5,AP25)))</f>
        <v>o</v>
      </c>
      <c r="AR25" s="94" t="s">
        <v>323</v>
      </c>
      <c r="AS25" s="71" t="str">
        <f>IF(AR25=$D$4,AR25,IF(OR(IFERROR(VLOOKUP(VLOOKUP($B25, Dependencies!$B$2:$G$230, 2,FALSE),$B$14:AS$73, AS$74,FALSE),"o")=$D$4,IFERROR(VLOOKUP(VLOOKUP($B25, Dependencies!$B$2:$G$230, 3,FALSE),$B$14:AS$73, AS$74,FALSE),"o")=$D$4,IFERROR(VLOOKUP(VLOOKUP($B25, Dependencies!$B$2:$G$230, 4,FALSE),$B$14:AS$73, AS$74,FALSE),"o")=$D$4,IFERROR(VLOOKUP(VLOOKUP($B25, Dependencies!$B$2:$G$230, 5,FALSE),$B$14:AS$73, AS$74,FALSE),"o")=$D$4,IFERROR(VLOOKUP(VLOOKUP($B25, Dependencies!$B$2:$G$230, 6,FALSE),$B$14:AS$73, AS$74,FALSE),"o")=$D$4),$D$4,IF(OR(IFERROR(VLOOKUP(VLOOKUP($B25, Dependencies!$B$2:$G$230, 2,FALSE), $B$14:AS$73, AS$74,FALSE),"o")=$D$5,IFERROR(VLOOKUP(VLOOKUP($B25, Dependencies!$B$2:$G$230, 3,FALSE), $B$14:AS$73, AS$74,FALSE),"o")=$D$5,IFERROR(VLOOKUP(VLOOKUP($B25, Dependencies!$B$2:$G$230, 4,FALSE), $B$14:AS$73, AS$74,FALSE),"o")=$D$5,IFERROR(VLOOKUP(VLOOKUP($B25, Dependencies!$B$2:$G$230, 5,FALSE), $B$14:AS$73, AS$74,FALSE),"o")=$D$5,IFERROR(VLOOKUP(VLOOKUP($B25, Dependencies!$B$2:$G$230, 6,FALSE), $B$14:AS$73, AS$74,FALSE),"o")=$D$5),$D$5,AR25)))</f>
        <v>o</v>
      </c>
    </row>
    <row r="26" spans="1:47" x14ac:dyDescent="0.2">
      <c r="A26" s="40" t="s">
        <v>332</v>
      </c>
      <c r="B26" s="73" t="str">
        <f>MLEOsv2!A14</f>
        <v>MLEO_01_01</v>
      </c>
      <c r="C26" s="73">
        <f>MLEOsv2!C14</f>
        <v>2</v>
      </c>
      <c r="D26" s="42" t="str">
        <f>MLEOsv2!G14</f>
        <v>implement simple controller classes.</v>
      </c>
      <c r="E26" s="51" t="b">
        <f>MLEOsv2!H14</f>
        <v>1</v>
      </c>
      <c r="F26" s="93" t="s">
        <v>320</v>
      </c>
      <c r="G26" s="70" t="str">
        <f>IF(F26=$D$4,F26,IF(OR(IFERROR(VLOOKUP(VLOOKUP($B26, Dependencies!$B$2:$G$230, 2,FALSE),$B$14:G$73, G$74,FALSE),"o")=$D$4,IFERROR(VLOOKUP(VLOOKUP($B26, Dependencies!$B$2:$G$230, 3,FALSE),$B$14:G$73, G$74,FALSE),"o")=$D$4,IFERROR(VLOOKUP(VLOOKUP($B26, Dependencies!$B$2:$G$230, 4,FALSE),$B$14:G$73, G$74,FALSE),"o")=$D$4,IFERROR(VLOOKUP(VLOOKUP($B26, Dependencies!$B$2:$G$230, 5,FALSE),$B$14:G$73, G$74,FALSE),"o")=$D$4,IFERROR(VLOOKUP(VLOOKUP($B26, Dependencies!$B$2:$G$230, 6,FALSE),$B$14:G$73, G$74,FALSE),"o")=$D$4),$D$4,IF(OR(IFERROR(VLOOKUP(VLOOKUP($B26, Dependencies!$B$2:$G$230, 2,FALSE), $B$14:G$73, G$74,FALSE),"o")=$D$5,IFERROR(VLOOKUP(VLOOKUP($B26, Dependencies!$B$2:$G$230, 3,FALSE), $B$14:G$73, G$74,FALSE),"o")=$D$5,IFERROR(VLOOKUP(VLOOKUP($B26, Dependencies!$B$2:$G$230, 4,FALSE), $B$14:G$73, G$74,FALSE),"o")=$D$5,IFERROR(VLOOKUP(VLOOKUP($B26, Dependencies!$B$2:$G$230, 5,FALSE), $B$14:G$73, G$74,FALSE),"o")=$D$5,IFERROR(VLOOKUP(VLOOKUP($B26, Dependencies!$B$2:$G$230, 6,FALSE), $B$14:G$73, G$74,FALSE),"o")=$D$5),$D$5,F26)))</f>
        <v>r</v>
      </c>
      <c r="H26" s="93" t="s">
        <v>321</v>
      </c>
      <c r="I26" s="70" t="str">
        <f>IF(H26=$D$4,H26,IF(OR(IFERROR(VLOOKUP(VLOOKUP($B26, Dependencies!$B$2:$G$230, 2,FALSE),$B$14:I$73, I$74,FALSE),"o")=$D$4,IFERROR(VLOOKUP(VLOOKUP($B26, Dependencies!$B$2:$G$230, 3,FALSE),$B$14:I$73, I$74,FALSE),"o")=$D$4,IFERROR(VLOOKUP(VLOOKUP($B26, Dependencies!$B$2:$G$230, 4,FALSE),$B$14:I$73, I$74,FALSE),"o")=$D$4,IFERROR(VLOOKUP(VLOOKUP($B26, Dependencies!$B$2:$G$230, 5,FALSE),$B$14:I$73, I$74,FALSE),"o")=$D$4,IFERROR(VLOOKUP(VLOOKUP($B26, Dependencies!$B$2:$G$230, 6,FALSE),$B$14:I$73, I$74,FALSE),"o")=$D$4),$D$4,IF(OR(IFERROR(VLOOKUP(VLOOKUP($B26, Dependencies!$B$2:$G$230, 2,FALSE), $B$14:I$73, I$74,FALSE),"o")=$D$5,IFERROR(VLOOKUP(VLOOKUP($B26, Dependencies!$B$2:$G$230, 3,FALSE), $B$14:I$73, I$74,FALSE),"o")=$D$5,IFERROR(VLOOKUP(VLOOKUP($B26, Dependencies!$B$2:$G$230, 4,FALSE), $B$14:I$73, I$74,FALSE),"o")=$D$5,IFERROR(VLOOKUP(VLOOKUP($B26, Dependencies!$B$2:$G$230, 5,FALSE), $B$14:I$73, I$74,FALSE),"o")=$D$5,IFERROR(VLOOKUP(VLOOKUP($B26, Dependencies!$B$2:$G$230, 6,FALSE), $B$14:I$73, I$74,FALSE),"o")=$D$5),$D$5,H26)))</f>
        <v>pr</v>
      </c>
      <c r="J26" s="93" t="s">
        <v>320</v>
      </c>
      <c r="K26" s="70" t="str">
        <f>IF(J26=$D$4,J26,IF(OR(IFERROR(VLOOKUP(VLOOKUP($B26, Dependencies!$B$2:$G$230, 2,FALSE),$B$14:K$73, K$74,FALSE),"o")=$D$4,IFERROR(VLOOKUP(VLOOKUP($B26, Dependencies!$B$2:$G$230, 3,FALSE),$B$14:K$73, K$74,FALSE),"o")=$D$4,IFERROR(VLOOKUP(VLOOKUP($B26, Dependencies!$B$2:$G$230, 4,FALSE),$B$14:K$73, K$74,FALSE),"o")=$D$4,IFERROR(VLOOKUP(VLOOKUP($B26, Dependencies!$B$2:$G$230, 5,FALSE),$B$14:K$73, K$74,FALSE),"o")=$D$4,IFERROR(VLOOKUP(VLOOKUP($B26, Dependencies!$B$2:$G$230, 6,FALSE),$B$14:K$73, K$74,FALSE),"o")=$D$4),$D$4,IF(OR(IFERROR(VLOOKUP(VLOOKUP($B26, Dependencies!$B$2:$G$230, 2,FALSE), $B$14:K$73, K$74,FALSE),"o")=$D$5,IFERROR(VLOOKUP(VLOOKUP($B26, Dependencies!$B$2:$G$230, 3,FALSE), $B$14:K$73, K$74,FALSE),"o")=$D$5,IFERROR(VLOOKUP(VLOOKUP($B26, Dependencies!$B$2:$G$230, 4,FALSE), $B$14:K$73, K$74,FALSE),"o")=$D$5,IFERROR(VLOOKUP(VLOOKUP($B26, Dependencies!$B$2:$G$230, 5,FALSE), $B$14:K$73, K$74,FALSE),"o")=$D$5,IFERROR(VLOOKUP(VLOOKUP($B26, Dependencies!$B$2:$G$230, 6,FALSE), $B$14:K$73, K$74,FALSE),"o")=$D$5),$D$5,J26)))</f>
        <v>r</v>
      </c>
      <c r="L26" s="93" t="s">
        <v>323</v>
      </c>
      <c r="M26" s="70" t="str">
        <f>IF(L26=$D$4,L26,IF(OR(IFERROR(VLOOKUP(VLOOKUP($B26, Dependencies!$B$2:$G$230, 2,FALSE),$B$14:M$73, M$74,FALSE),"o")=$D$4,IFERROR(VLOOKUP(VLOOKUP($B26, Dependencies!$B$2:$G$230, 3,FALSE),$B$14:M$73, M$74,FALSE),"o")=$D$4,IFERROR(VLOOKUP(VLOOKUP($B26, Dependencies!$B$2:$G$230, 4,FALSE),$B$14:M$73, M$74,FALSE),"o")=$D$4,IFERROR(VLOOKUP(VLOOKUP($B26, Dependencies!$B$2:$G$230, 5,FALSE),$B$14:M$73, M$74,FALSE),"o")=$D$4,IFERROR(VLOOKUP(VLOOKUP($B26, Dependencies!$B$2:$G$230, 6,FALSE),$B$14:M$73, M$74,FALSE),"o")=$D$4),$D$4,IF(OR(IFERROR(VLOOKUP(VLOOKUP($B26, Dependencies!$B$2:$G$230, 2,FALSE), $B$14:M$73, M$74,FALSE),"o")=$D$5,IFERROR(VLOOKUP(VLOOKUP($B26, Dependencies!$B$2:$G$230, 3,FALSE), $B$14:M$73, M$74,FALSE),"o")=$D$5,IFERROR(VLOOKUP(VLOOKUP($B26, Dependencies!$B$2:$G$230, 4,FALSE), $B$14:M$73, M$74,FALSE),"o")=$D$5,IFERROR(VLOOKUP(VLOOKUP($B26, Dependencies!$B$2:$G$230, 5,FALSE), $B$14:M$73, M$74,FALSE),"o")=$D$5,IFERROR(VLOOKUP(VLOOKUP($B26, Dependencies!$B$2:$G$230, 6,FALSE), $B$14:M$73, M$74,FALSE),"o")=$D$5),$D$5,L26)))</f>
        <v>o</v>
      </c>
      <c r="N26" s="93" t="s">
        <v>323</v>
      </c>
      <c r="O26" s="70" t="str">
        <f>IF(N26=$D$4,N26,IF(OR(IFERROR(VLOOKUP(VLOOKUP($B26, Dependencies!$B$2:$G$230, 2,FALSE),$B$14:O$73, O$74,FALSE),"o")=$D$4,IFERROR(VLOOKUP(VLOOKUP($B26, Dependencies!$B$2:$G$230, 3,FALSE),$B$14:O$73, O$74,FALSE),"o")=$D$4,IFERROR(VLOOKUP(VLOOKUP($B26, Dependencies!$B$2:$G$230, 4,FALSE),$B$14:O$73, O$74,FALSE),"o")=$D$4,IFERROR(VLOOKUP(VLOOKUP($B26, Dependencies!$B$2:$G$230, 5,FALSE),$B$14:O$73, O$74,FALSE),"o")=$D$4,IFERROR(VLOOKUP(VLOOKUP($B26, Dependencies!$B$2:$G$230, 6,FALSE),$B$14:O$73, O$74,FALSE),"o")=$D$4),$D$4,IF(OR(IFERROR(VLOOKUP(VLOOKUP($B26, Dependencies!$B$2:$G$230, 2,FALSE), $B$14:O$73, O$74,FALSE),"o")=$D$5,IFERROR(VLOOKUP(VLOOKUP($B26, Dependencies!$B$2:$G$230, 3,FALSE), $B$14:O$73, O$74,FALSE),"o")=$D$5,IFERROR(VLOOKUP(VLOOKUP($B26, Dependencies!$B$2:$G$230, 4,FALSE), $B$14:O$73, O$74,FALSE),"o")=$D$5,IFERROR(VLOOKUP(VLOOKUP($B26, Dependencies!$B$2:$G$230, 5,FALSE), $B$14:O$73, O$74,FALSE),"o")=$D$5,IFERROR(VLOOKUP(VLOOKUP($B26, Dependencies!$B$2:$G$230, 6,FALSE), $B$14:O$73, O$74,FALSE),"o")=$D$5),$D$5,N26)))</f>
        <v>o</v>
      </c>
      <c r="P26" s="93" t="s">
        <v>323</v>
      </c>
      <c r="Q26" s="70" t="str">
        <f>IF(P26=$D$4,P26,IF(OR(IFERROR(VLOOKUP(VLOOKUP($B26, Dependencies!$B$2:$G$230, 2,FALSE),$B$14:Q$73, Q$74,FALSE),"o")=$D$4,IFERROR(VLOOKUP(VLOOKUP($B26, Dependencies!$B$2:$G$230, 3,FALSE),$B$14:Q$73, Q$74,FALSE),"o")=$D$4,IFERROR(VLOOKUP(VLOOKUP($B26, Dependencies!$B$2:$G$230, 4,FALSE),$B$14:Q$73, Q$74,FALSE),"o")=$D$4,IFERROR(VLOOKUP(VLOOKUP($B26, Dependencies!$B$2:$G$230, 5,FALSE),$B$14:Q$73, Q$74,FALSE),"o")=$D$4,IFERROR(VLOOKUP(VLOOKUP($B26, Dependencies!$B$2:$G$230, 6,FALSE),$B$14:Q$73, Q$74,FALSE),"o")=$D$4),$D$4,IF(OR(IFERROR(VLOOKUP(VLOOKUP($B26, Dependencies!$B$2:$G$230, 2,FALSE), $B$14:Q$73, Q$74,FALSE),"o")=$D$5,IFERROR(VLOOKUP(VLOOKUP($B26, Dependencies!$B$2:$G$230, 3,FALSE), $B$14:Q$73, Q$74,FALSE),"o")=$D$5,IFERROR(VLOOKUP(VLOOKUP($B26, Dependencies!$B$2:$G$230, 4,FALSE), $B$14:Q$73, Q$74,FALSE),"o")=$D$5,IFERROR(VLOOKUP(VLOOKUP($B26, Dependencies!$B$2:$G$230, 5,FALSE), $B$14:Q$73, Q$74,FALSE),"o")=$D$5,IFERROR(VLOOKUP(VLOOKUP($B26, Dependencies!$B$2:$G$230, 6,FALSE), $B$14:Q$73, Q$74,FALSE),"o")=$D$5),$D$5,P26)))</f>
        <v>o</v>
      </c>
      <c r="R26" s="93" t="s">
        <v>323</v>
      </c>
      <c r="S26" s="70" t="str">
        <f>IF(R26=$D$4,R26,IF(OR(IFERROR(VLOOKUP(VLOOKUP($B26, Dependencies!$B$2:$G$230, 2,FALSE),$B$14:S$73, S$74,FALSE),"o")=$D$4,IFERROR(VLOOKUP(VLOOKUP($B26, Dependencies!$B$2:$G$230, 3,FALSE),$B$14:S$73, S$74,FALSE),"o")=$D$4,IFERROR(VLOOKUP(VLOOKUP($B26, Dependencies!$B$2:$G$230, 4,FALSE),$B$14:S$73, S$74,FALSE),"o")=$D$4,IFERROR(VLOOKUP(VLOOKUP($B26, Dependencies!$B$2:$G$230, 5,FALSE),$B$14:S$73, S$74,FALSE),"o")=$D$4,IFERROR(VLOOKUP(VLOOKUP($B26, Dependencies!$B$2:$G$230, 6,FALSE),$B$14:S$73, S$74,FALSE),"o")=$D$4),$D$4,IF(OR(IFERROR(VLOOKUP(VLOOKUP($B26, Dependencies!$B$2:$G$230, 2,FALSE), $B$14:S$73, S$74,FALSE),"o")=$D$5,IFERROR(VLOOKUP(VLOOKUP($B26, Dependencies!$B$2:$G$230, 3,FALSE), $B$14:S$73, S$74,FALSE),"o")=$D$5,IFERROR(VLOOKUP(VLOOKUP($B26, Dependencies!$B$2:$G$230, 4,FALSE), $B$14:S$73, S$74,FALSE),"o")=$D$5,IFERROR(VLOOKUP(VLOOKUP($B26, Dependencies!$B$2:$G$230, 5,FALSE), $B$14:S$73, S$74,FALSE),"o")=$D$5,IFERROR(VLOOKUP(VLOOKUP($B26, Dependencies!$B$2:$G$230, 6,FALSE), $B$14:S$73, S$74,FALSE),"o")=$D$5),$D$5,R26)))</f>
        <v>o</v>
      </c>
      <c r="T26" s="93" t="s">
        <v>323</v>
      </c>
      <c r="U26" s="70" t="str">
        <f>IF(T26=$D$4,T26,IF(OR(IFERROR(VLOOKUP(VLOOKUP($B26, Dependencies!$B$2:$G$230, 2,FALSE),$B$14:U$73, U$74,FALSE),"o")=$D$4,IFERROR(VLOOKUP(VLOOKUP($B26, Dependencies!$B$2:$G$230, 3,FALSE),$B$14:U$73, U$74,FALSE),"o")=$D$4,IFERROR(VLOOKUP(VLOOKUP($B26, Dependencies!$B$2:$G$230, 4,FALSE),$B$14:U$73, U$74,FALSE),"o")=$D$4,IFERROR(VLOOKUP(VLOOKUP($B26, Dependencies!$B$2:$G$230, 5,FALSE),$B$14:U$73, U$74,FALSE),"o")=$D$4,IFERROR(VLOOKUP(VLOOKUP($B26, Dependencies!$B$2:$G$230, 6,FALSE),$B$14:U$73, U$74,FALSE),"o")=$D$4),$D$4,IF(OR(IFERROR(VLOOKUP(VLOOKUP($B26, Dependencies!$B$2:$G$230, 2,FALSE), $B$14:U$73, U$74,FALSE),"o")=$D$5,IFERROR(VLOOKUP(VLOOKUP($B26, Dependencies!$B$2:$G$230, 3,FALSE), $B$14:U$73, U$74,FALSE),"o")=$D$5,IFERROR(VLOOKUP(VLOOKUP($B26, Dependencies!$B$2:$G$230, 4,FALSE), $B$14:U$73, U$74,FALSE),"o")=$D$5,IFERROR(VLOOKUP(VLOOKUP($B26, Dependencies!$B$2:$G$230, 5,FALSE), $B$14:U$73, U$74,FALSE),"o")=$D$5,IFERROR(VLOOKUP(VLOOKUP($B26, Dependencies!$B$2:$G$230, 6,FALSE), $B$14:U$73, U$74,FALSE),"o")=$D$5),$D$5,T26)))</f>
        <v>o</v>
      </c>
      <c r="V26" s="93" t="s">
        <v>323</v>
      </c>
      <c r="W26" s="70" t="str">
        <f>IF(V26=$D$4,V26,IF(OR(IFERROR(VLOOKUP(VLOOKUP($B26, Dependencies!$B$2:$G$230, 2,FALSE),$B$14:W$73, W$74,FALSE),"o")=$D$4,IFERROR(VLOOKUP(VLOOKUP($B26, Dependencies!$B$2:$G$230, 3,FALSE),$B$14:W$73, W$74,FALSE),"o")=$D$4,IFERROR(VLOOKUP(VLOOKUP($B26, Dependencies!$B$2:$G$230, 4,FALSE),$B$14:W$73, W$74,FALSE),"o")=$D$4,IFERROR(VLOOKUP(VLOOKUP($B26, Dependencies!$B$2:$G$230, 5,FALSE),$B$14:W$73, W$74,FALSE),"o")=$D$4,IFERROR(VLOOKUP(VLOOKUP($B26, Dependencies!$B$2:$G$230, 6,FALSE),$B$14:W$73, W$74,FALSE),"o")=$D$4),$D$4,IF(OR(IFERROR(VLOOKUP(VLOOKUP($B26, Dependencies!$B$2:$G$230, 2,FALSE), $B$14:W$73, W$74,FALSE),"o")=$D$5,IFERROR(VLOOKUP(VLOOKUP($B26, Dependencies!$B$2:$G$230, 3,FALSE), $B$14:W$73, W$74,FALSE),"o")=$D$5,IFERROR(VLOOKUP(VLOOKUP($B26, Dependencies!$B$2:$G$230, 4,FALSE), $B$14:W$73, W$74,FALSE),"o")=$D$5,IFERROR(VLOOKUP(VLOOKUP($B26, Dependencies!$B$2:$G$230, 5,FALSE), $B$14:W$73, W$74,FALSE),"o")=$D$5,IFERROR(VLOOKUP(VLOOKUP($B26, Dependencies!$B$2:$G$230, 6,FALSE), $B$14:W$73, W$74,FALSE),"o")=$D$5),$D$5,V26)))</f>
        <v>o</v>
      </c>
      <c r="X26" s="93" t="s">
        <v>323</v>
      </c>
      <c r="Y26" s="70" t="str">
        <f>IF(X26=$D$4,X26,IF(OR(IFERROR(VLOOKUP(VLOOKUP($B26, Dependencies!$B$2:$G$230, 2,FALSE),$B$14:Y$73, Y$74,FALSE),"o")=$D$4,IFERROR(VLOOKUP(VLOOKUP($B26, Dependencies!$B$2:$G$230, 3,FALSE),$B$14:Y$73, Y$74,FALSE),"o")=$D$4,IFERROR(VLOOKUP(VLOOKUP($B26, Dependencies!$B$2:$G$230, 4,FALSE),$B$14:Y$73, Y$74,FALSE),"o")=$D$4,IFERROR(VLOOKUP(VLOOKUP($B26, Dependencies!$B$2:$G$230, 5,FALSE),$B$14:Y$73, Y$74,FALSE),"o")=$D$4,IFERROR(VLOOKUP(VLOOKUP($B26, Dependencies!$B$2:$G$230, 6,FALSE),$B$14:Y$73, Y$74,FALSE),"o")=$D$4),$D$4,IF(OR(IFERROR(VLOOKUP(VLOOKUP($B26, Dependencies!$B$2:$G$230, 2,FALSE), $B$14:Y$73, Y$74,FALSE),"o")=$D$5,IFERROR(VLOOKUP(VLOOKUP($B26, Dependencies!$B$2:$G$230, 3,FALSE), $B$14:Y$73, Y$74,FALSE),"o")=$D$5,IFERROR(VLOOKUP(VLOOKUP($B26, Dependencies!$B$2:$G$230, 4,FALSE), $B$14:Y$73, Y$74,FALSE),"o")=$D$5,IFERROR(VLOOKUP(VLOOKUP($B26, Dependencies!$B$2:$G$230, 5,FALSE), $B$14:Y$73, Y$74,FALSE),"o")=$D$5,IFERROR(VLOOKUP(VLOOKUP($B26, Dependencies!$B$2:$G$230, 6,FALSE), $B$14:Y$73, Y$74,FALSE),"o")=$D$5),$D$5,X26)))</f>
        <v>o</v>
      </c>
      <c r="Z26" s="93" t="s">
        <v>323</v>
      </c>
      <c r="AA26" s="70" t="str">
        <f>IF(Z26=$D$4,Z26,IF(OR(IFERROR(VLOOKUP(VLOOKUP($B26, Dependencies!$B$2:$G$230, 2,FALSE),$B$14:AA$73, AA$74,FALSE),"o")=$D$4,IFERROR(VLOOKUP(VLOOKUP($B26, Dependencies!$B$2:$G$230, 3,FALSE),$B$14:AA$73, AA$74,FALSE),"o")=$D$4,IFERROR(VLOOKUP(VLOOKUP($B26, Dependencies!$B$2:$G$230, 4,FALSE),$B$14:AA$73, AA$74,FALSE),"o")=$D$4,IFERROR(VLOOKUP(VLOOKUP($B26, Dependencies!$B$2:$G$230, 5,FALSE),$B$14:AA$73, AA$74,FALSE),"o")=$D$4,IFERROR(VLOOKUP(VLOOKUP($B26, Dependencies!$B$2:$G$230, 6,FALSE),$B$14:AA$73, AA$74,FALSE),"o")=$D$4),$D$4,IF(OR(IFERROR(VLOOKUP(VLOOKUP($B26, Dependencies!$B$2:$G$230, 2,FALSE), $B$14:AA$73, AA$74,FALSE),"o")=$D$5,IFERROR(VLOOKUP(VLOOKUP($B26, Dependencies!$B$2:$G$230, 3,FALSE), $B$14:AA$73, AA$74,FALSE),"o")=$D$5,IFERROR(VLOOKUP(VLOOKUP($B26, Dependencies!$B$2:$G$230, 4,FALSE), $B$14:AA$73, AA$74,FALSE),"o")=$D$5,IFERROR(VLOOKUP(VLOOKUP($B26, Dependencies!$B$2:$G$230, 5,FALSE), $B$14:AA$73, AA$74,FALSE),"o")=$D$5,IFERROR(VLOOKUP(VLOOKUP($B26, Dependencies!$B$2:$G$230, 6,FALSE), $B$14:AA$73, AA$74,FALSE),"o")=$D$5),$D$5,Z26)))</f>
        <v>o</v>
      </c>
      <c r="AB26" s="93" t="s">
        <v>323</v>
      </c>
      <c r="AC26" s="70" t="str">
        <f>IF(AB26=$D$4,AB26,IF(OR(IFERROR(VLOOKUP(VLOOKUP($B26, Dependencies!$B$2:$G$230, 2,FALSE),$B$14:AC$73, AC$74,FALSE),"o")=$D$4,IFERROR(VLOOKUP(VLOOKUP($B26, Dependencies!$B$2:$G$230, 3,FALSE),$B$14:AC$73, AC$74,FALSE),"o")=$D$4,IFERROR(VLOOKUP(VLOOKUP($B26, Dependencies!$B$2:$G$230, 4,FALSE),$B$14:AC$73, AC$74,FALSE),"o")=$D$4,IFERROR(VLOOKUP(VLOOKUP($B26, Dependencies!$B$2:$G$230, 5,FALSE),$B$14:AC$73, AC$74,FALSE),"o")=$D$4,IFERROR(VLOOKUP(VLOOKUP($B26, Dependencies!$B$2:$G$230, 6,FALSE),$B$14:AC$73, AC$74,FALSE),"o")=$D$4),$D$4,IF(OR(IFERROR(VLOOKUP(VLOOKUP($B26, Dependencies!$B$2:$G$230, 2,FALSE), $B$14:AC$73, AC$74,FALSE),"o")=$D$5,IFERROR(VLOOKUP(VLOOKUP($B26, Dependencies!$B$2:$G$230, 3,FALSE), $B$14:AC$73, AC$74,FALSE),"o")=$D$5,IFERROR(VLOOKUP(VLOOKUP($B26, Dependencies!$B$2:$G$230, 4,FALSE), $B$14:AC$73, AC$74,FALSE),"o")=$D$5,IFERROR(VLOOKUP(VLOOKUP($B26, Dependencies!$B$2:$G$230, 5,FALSE), $B$14:AC$73, AC$74,FALSE),"o")=$D$5,IFERROR(VLOOKUP(VLOOKUP($B26, Dependencies!$B$2:$G$230, 6,FALSE), $B$14:AC$73, AC$74,FALSE),"o")=$D$5),$D$5,AB26)))</f>
        <v>o</v>
      </c>
      <c r="AD26" s="93" t="s">
        <v>323</v>
      </c>
      <c r="AE26" s="70" t="str">
        <f>IF(AD26=$D$4,AD26,IF(OR(IFERROR(VLOOKUP(VLOOKUP($B26, Dependencies!$B$2:$G$230, 2,FALSE),$B$14:AE$73, AE$74,FALSE),"o")=$D$4,IFERROR(VLOOKUP(VLOOKUP($B26, Dependencies!$B$2:$G$230, 3,FALSE),$B$14:AE$73, AE$74,FALSE),"o")=$D$4,IFERROR(VLOOKUP(VLOOKUP($B26, Dependencies!$B$2:$G$230, 4,FALSE),$B$14:AE$73, AE$74,FALSE),"o")=$D$4,IFERROR(VLOOKUP(VLOOKUP($B26, Dependencies!$B$2:$G$230, 5,FALSE),$B$14:AE$73, AE$74,FALSE),"o")=$D$4,IFERROR(VLOOKUP(VLOOKUP($B26, Dependencies!$B$2:$G$230, 6,FALSE),$B$14:AE$73, AE$74,FALSE),"o")=$D$4),$D$4,IF(OR(IFERROR(VLOOKUP(VLOOKUP($B26, Dependencies!$B$2:$G$230, 2,FALSE), $B$14:AE$73, AE$74,FALSE),"o")=$D$5,IFERROR(VLOOKUP(VLOOKUP($B26, Dependencies!$B$2:$G$230, 3,FALSE), $B$14:AE$73, AE$74,FALSE),"o")=$D$5,IFERROR(VLOOKUP(VLOOKUP($B26, Dependencies!$B$2:$G$230, 4,FALSE), $B$14:AE$73, AE$74,FALSE),"o")=$D$5,IFERROR(VLOOKUP(VLOOKUP($B26, Dependencies!$B$2:$G$230, 5,FALSE), $B$14:AE$73, AE$74,FALSE),"o")=$D$5,IFERROR(VLOOKUP(VLOOKUP($B26, Dependencies!$B$2:$G$230, 6,FALSE), $B$14:AE$73, AE$74,FALSE),"o")=$D$5),$D$5,AD26)))</f>
        <v>o</v>
      </c>
      <c r="AF26" s="93" t="s">
        <v>323</v>
      </c>
      <c r="AG26" s="70" t="str">
        <f>IF(AF26=$D$4,AF26,IF(OR(IFERROR(VLOOKUP(VLOOKUP($B26, Dependencies!$B$2:$G$230, 2,FALSE),$B$14:AG$73, AG$74,FALSE),"o")=$D$4,IFERROR(VLOOKUP(VLOOKUP($B26, Dependencies!$B$2:$G$230, 3,FALSE),$B$14:AG$73, AG$74,FALSE),"o")=$D$4,IFERROR(VLOOKUP(VLOOKUP($B26, Dependencies!$B$2:$G$230, 4,FALSE),$B$14:AG$73, AG$74,FALSE),"o")=$D$4,IFERROR(VLOOKUP(VLOOKUP($B26, Dependencies!$B$2:$G$230, 5,FALSE),$B$14:AG$73, AG$74,FALSE),"o")=$D$4,IFERROR(VLOOKUP(VLOOKUP($B26, Dependencies!$B$2:$G$230, 6,FALSE),$B$14:AG$73, AG$74,FALSE),"o")=$D$4),$D$4,IF(OR(IFERROR(VLOOKUP(VLOOKUP($B26, Dependencies!$B$2:$G$230, 2,FALSE), $B$14:AG$73, AG$74,FALSE),"o")=$D$5,IFERROR(VLOOKUP(VLOOKUP($B26, Dependencies!$B$2:$G$230, 3,FALSE), $B$14:AG$73, AG$74,FALSE),"o")=$D$5,IFERROR(VLOOKUP(VLOOKUP($B26, Dependencies!$B$2:$G$230, 4,FALSE), $B$14:AG$73, AG$74,FALSE),"o")=$D$5,IFERROR(VLOOKUP(VLOOKUP($B26, Dependencies!$B$2:$G$230, 5,FALSE), $B$14:AG$73, AG$74,FALSE),"o")=$D$5,IFERROR(VLOOKUP(VLOOKUP($B26, Dependencies!$B$2:$G$230, 6,FALSE), $B$14:AG$73, AG$74,FALSE),"o")=$D$5),$D$5,AF26)))</f>
        <v>o</v>
      </c>
      <c r="AH26" s="93" t="s">
        <v>323</v>
      </c>
      <c r="AI26" s="70" t="str">
        <f>IF(AH26=$D$4,AH26,IF(OR(IFERROR(VLOOKUP(VLOOKUP($B26, Dependencies!$B$2:$G$230, 2,FALSE),$B$14:AI$73, AI$74,FALSE),"o")=$D$4,IFERROR(VLOOKUP(VLOOKUP($B26, Dependencies!$B$2:$G$230, 3,FALSE),$B$14:AI$73, AI$74,FALSE),"o")=$D$4,IFERROR(VLOOKUP(VLOOKUP($B26, Dependencies!$B$2:$G$230, 4,FALSE),$B$14:AI$73, AI$74,FALSE),"o")=$D$4,IFERROR(VLOOKUP(VLOOKUP($B26, Dependencies!$B$2:$G$230, 5,FALSE),$B$14:AI$73, AI$74,FALSE),"o")=$D$4,IFERROR(VLOOKUP(VLOOKUP($B26, Dependencies!$B$2:$G$230, 6,FALSE),$B$14:AI$73, AI$74,FALSE),"o")=$D$4),$D$4,IF(OR(IFERROR(VLOOKUP(VLOOKUP($B26, Dependencies!$B$2:$G$230, 2,FALSE), $B$14:AI$73, AI$74,FALSE),"o")=$D$5,IFERROR(VLOOKUP(VLOOKUP($B26, Dependencies!$B$2:$G$230, 3,FALSE), $B$14:AI$73, AI$74,FALSE),"o")=$D$5,IFERROR(VLOOKUP(VLOOKUP($B26, Dependencies!$B$2:$G$230, 4,FALSE), $B$14:AI$73, AI$74,FALSE),"o")=$D$5,IFERROR(VLOOKUP(VLOOKUP($B26, Dependencies!$B$2:$G$230, 5,FALSE), $B$14:AI$73, AI$74,FALSE),"o")=$D$5,IFERROR(VLOOKUP(VLOOKUP($B26, Dependencies!$B$2:$G$230, 6,FALSE), $B$14:AI$73, AI$74,FALSE),"o")=$D$5),$D$5,AH26)))</f>
        <v>o</v>
      </c>
      <c r="AJ26" s="93" t="s">
        <v>323</v>
      </c>
      <c r="AK26" s="70" t="str">
        <f>IF(AJ26=$D$4,AJ26,IF(OR(IFERROR(VLOOKUP(VLOOKUP($B26, Dependencies!$B$2:$G$230, 2,FALSE),$B$14:AK$73, AK$74,FALSE),"o")=$D$4,IFERROR(VLOOKUP(VLOOKUP($B26, Dependencies!$B$2:$G$230, 3,FALSE),$B$14:AK$73, AK$74,FALSE),"o")=$D$4,IFERROR(VLOOKUP(VLOOKUP($B26, Dependencies!$B$2:$G$230, 4,FALSE),$B$14:AK$73, AK$74,FALSE),"o")=$D$4,IFERROR(VLOOKUP(VLOOKUP($B26, Dependencies!$B$2:$G$230, 5,FALSE),$B$14:AK$73, AK$74,FALSE),"o")=$D$4,IFERROR(VLOOKUP(VLOOKUP($B26, Dependencies!$B$2:$G$230, 6,FALSE),$B$14:AK$73, AK$74,FALSE),"o")=$D$4),$D$4,IF(OR(IFERROR(VLOOKUP(VLOOKUP($B26, Dependencies!$B$2:$G$230, 2,FALSE), $B$14:AK$73, AK$74,FALSE),"o")=$D$5,IFERROR(VLOOKUP(VLOOKUP($B26, Dependencies!$B$2:$G$230, 3,FALSE), $B$14:AK$73, AK$74,FALSE),"o")=$D$5,IFERROR(VLOOKUP(VLOOKUP($B26, Dependencies!$B$2:$G$230, 4,FALSE), $B$14:AK$73, AK$74,FALSE),"o")=$D$5,IFERROR(VLOOKUP(VLOOKUP($B26, Dependencies!$B$2:$G$230, 5,FALSE), $B$14:AK$73, AK$74,FALSE),"o")=$D$5,IFERROR(VLOOKUP(VLOOKUP($B26, Dependencies!$B$2:$G$230, 6,FALSE), $B$14:AK$73, AK$74,FALSE),"o")=$D$5),$D$5,AJ26)))</f>
        <v>o</v>
      </c>
      <c r="AL26" s="93" t="s">
        <v>323</v>
      </c>
      <c r="AM26" s="70" t="str">
        <f>IF(AL26=$D$4,AL26,IF(OR(IFERROR(VLOOKUP(VLOOKUP($B26, Dependencies!$B$2:$G$230, 2,FALSE),$B$14:AM$73, AM$74,FALSE),"o")=$D$4,IFERROR(VLOOKUP(VLOOKUP($B26, Dependencies!$B$2:$G$230, 3,FALSE),$B$14:AM$73, AM$74,FALSE),"o")=$D$4,IFERROR(VLOOKUP(VLOOKUP($B26, Dependencies!$B$2:$G$230, 4,FALSE),$B$14:AM$73, AM$74,FALSE),"o")=$D$4,IFERROR(VLOOKUP(VLOOKUP($B26, Dependencies!$B$2:$G$230, 5,FALSE),$B$14:AM$73, AM$74,FALSE),"o")=$D$4,IFERROR(VLOOKUP(VLOOKUP($B26, Dependencies!$B$2:$G$230, 6,FALSE),$B$14:AM$73, AM$74,FALSE),"o")=$D$4),$D$4,IF(OR(IFERROR(VLOOKUP(VLOOKUP($B26, Dependencies!$B$2:$G$230, 2,FALSE), $B$14:AM$73, AM$74,FALSE),"o")=$D$5,IFERROR(VLOOKUP(VLOOKUP($B26, Dependencies!$B$2:$G$230, 3,FALSE), $B$14:AM$73, AM$74,FALSE),"o")=$D$5,IFERROR(VLOOKUP(VLOOKUP($B26, Dependencies!$B$2:$G$230, 4,FALSE), $B$14:AM$73, AM$74,FALSE),"o")=$D$5,IFERROR(VLOOKUP(VLOOKUP($B26, Dependencies!$B$2:$G$230, 5,FALSE), $B$14:AM$73, AM$74,FALSE),"o")=$D$5,IFERROR(VLOOKUP(VLOOKUP($B26, Dependencies!$B$2:$G$230, 6,FALSE), $B$14:AM$73, AM$74,FALSE),"o")=$D$5),$D$5,AL26)))</f>
        <v>o</v>
      </c>
      <c r="AN26" s="93" t="s">
        <v>323</v>
      </c>
      <c r="AO26" s="70" t="str">
        <f>IF(AN26=$D$4,AN26,IF(OR(IFERROR(VLOOKUP(VLOOKUP($B26, Dependencies!$B$2:$G$230, 2,FALSE),$B$14:AO$73, AO$74,FALSE),"o")=$D$4,IFERROR(VLOOKUP(VLOOKUP($B26, Dependencies!$B$2:$G$230, 3,FALSE),$B$14:AO$73, AO$74,FALSE),"o")=$D$4,IFERROR(VLOOKUP(VLOOKUP($B26, Dependencies!$B$2:$G$230, 4,FALSE),$B$14:AO$73, AO$74,FALSE),"o")=$D$4,IFERROR(VLOOKUP(VLOOKUP($B26, Dependencies!$B$2:$G$230, 5,FALSE),$B$14:AO$73, AO$74,FALSE),"o")=$D$4,IFERROR(VLOOKUP(VLOOKUP($B26, Dependencies!$B$2:$G$230, 6,FALSE),$B$14:AO$73, AO$74,FALSE),"o")=$D$4),$D$4,IF(OR(IFERROR(VLOOKUP(VLOOKUP($B26, Dependencies!$B$2:$G$230, 2,FALSE), $B$14:AO$73, AO$74,FALSE),"o")=$D$5,IFERROR(VLOOKUP(VLOOKUP($B26, Dependencies!$B$2:$G$230, 3,FALSE), $B$14:AO$73, AO$74,FALSE),"o")=$D$5,IFERROR(VLOOKUP(VLOOKUP($B26, Dependencies!$B$2:$G$230, 4,FALSE), $B$14:AO$73, AO$74,FALSE),"o")=$D$5,IFERROR(VLOOKUP(VLOOKUP($B26, Dependencies!$B$2:$G$230, 5,FALSE), $B$14:AO$73, AO$74,FALSE),"o")=$D$5,IFERROR(VLOOKUP(VLOOKUP($B26, Dependencies!$B$2:$G$230, 6,FALSE), $B$14:AO$73, AO$74,FALSE),"o")=$D$5),$D$5,AN26)))</f>
        <v>o</v>
      </c>
      <c r="AP26" s="93" t="s">
        <v>323</v>
      </c>
      <c r="AQ26" s="70" t="str">
        <f>IF(AP26=$D$4,AP26,IF(OR(IFERROR(VLOOKUP(VLOOKUP($B26, Dependencies!$B$2:$G$230, 2,FALSE),$B$14:AQ$73, AQ$74,FALSE),"o")=$D$4,IFERROR(VLOOKUP(VLOOKUP($B26, Dependencies!$B$2:$G$230, 3,FALSE),$B$14:AQ$73, AQ$74,FALSE),"o")=$D$4,IFERROR(VLOOKUP(VLOOKUP($B26, Dependencies!$B$2:$G$230, 4,FALSE),$B$14:AQ$73, AQ$74,FALSE),"o")=$D$4,IFERROR(VLOOKUP(VLOOKUP($B26, Dependencies!$B$2:$G$230, 5,FALSE),$B$14:AQ$73, AQ$74,FALSE),"o")=$D$4,IFERROR(VLOOKUP(VLOOKUP($B26, Dependencies!$B$2:$G$230, 6,FALSE),$B$14:AQ$73, AQ$74,FALSE),"o")=$D$4),$D$4,IF(OR(IFERROR(VLOOKUP(VLOOKUP($B26, Dependencies!$B$2:$G$230, 2,FALSE), $B$14:AQ$73, AQ$74,FALSE),"o")=$D$5,IFERROR(VLOOKUP(VLOOKUP($B26, Dependencies!$B$2:$G$230, 3,FALSE), $B$14:AQ$73, AQ$74,FALSE),"o")=$D$5,IFERROR(VLOOKUP(VLOOKUP($B26, Dependencies!$B$2:$G$230, 4,FALSE), $B$14:AQ$73, AQ$74,FALSE),"o")=$D$5,IFERROR(VLOOKUP(VLOOKUP($B26, Dependencies!$B$2:$G$230, 5,FALSE), $B$14:AQ$73, AQ$74,FALSE),"o")=$D$5,IFERROR(VLOOKUP(VLOOKUP($B26, Dependencies!$B$2:$G$230, 6,FALSE), $B$14:AQ$73, AQ$74,FALSE),"o")=$D$5),$D$5,AP26)))</f>
        <v>o</v>
      </c>
      <c r="AR26" s="93" t="s">
        <v>323</v>
      </c>
      <c r="AS26" s="69" t="str">
        <f>IF(AR26=$D$4,AR26,IF(OR(IFERROR(VLOOKUP(VLOOKUP($B26, Dependencies!$B$2:$G$230, 2,FALSE),$B$14:AS$73, AS$74,FALSE),"o")=$D$4,IFERROR(VLOOKUP(VLOOKUP($B26, Dependencies!$B$2:$G$230, 3,FALSE),$B$14:AS$73, AS$74,FALSE),"o")=$D$4,IFERROR(VLOOKUP(VLOOKUP($B26, Dependencies!$B$2:$G$230, 4,FALSE),$B$14:AS$73, AS$74,FALSE),"o")=$D$4,IFERROR(VLOOKUP(VLOOKUP($B26, Dependencies!$B$2:$G$230, 5,FALSE),$B$14:AS$73, AS$74,FALSE),"o")=$D$4,IFERROR(VLOOKUP(VLOOKUP($B26, Dependencies!$B$2:$G$230, 6,FALSE),$B$14:AS$73, AS$74,FALSE),"o")=$D$4),$D$4,IF(OR(IFERROR(VLOOKUP(VLOOKUP($B26, Dependencies!$B$2:$G$230, 2,FALSE), $B$14:AS$73, AS$74,FALSE),"o")=$D$5,IFERROR(VLOOKUP(VLOOKUP($B26, Dependencies!$B$2:$G$230, 3,FALSE), $B$14:AS$73, AS$74,FALSE),"o")=$D$5,IFERROR(VLOOKUP(VLOOKUP($B26, Dependencies!$B$2:$G$230, 4,FALSE), $B$14:AS$73, AS$74,FALSE),"o")=$D$5,IFERROR(VLOOKUP(VLOOKUP($B26, Dependencies!$B$2:$G$230, 5,FALSE), $B$14:AS$73, AS$74,FALSE),"o")=$D$5,IFERROR(VLOOKUP(VLOOKUP($B26, Dependencies!$B$2:$G$230, 6,FALSE), $B$14:AS$73, AS$74,FALSE),"o")=$D$5),$D$5,AR26)))</f>
        <v>o</v>
      </c>
    </row>
    <row r="27" spans="1:47" x14ac:dyDescent="0.2">
      <c r="A27" s="40"/>
      <c r="B27" s="74" t="str">
        <f>MLEOsv2!A15</f>
        <v>MLEO_01_02</v>
      </c>
      <c r="C27" s="74">
        <f>MLEOsv2!C15</f>
        <v>2</v>
      </c>
      <c r="D27" s="44" t="str">
        <f>MLEOsv2!G15</f>
        <v>aggregate arrays of basic classes.</v>
      </c>
      <c r="E27" s="68" t="b">
        <f>MLEOsv2!H15</f>
        <v>0</v>
      </c>
      <c r="F27" s="94" t="s">
        <v>320</v>
      </c>
      <c r="G27" s="72" t="str">
        <f>IF(F27=$D$4,F27,IF(OR(IFERROR(VLOOKUP(VLOOKUP($B27, Dependencies!$B$2:$G$230, 2,FALSE),$B$14:G$73, G$74,FALSE),"o")=$D$4,IFERROR(VLOOKUP(VLOOKUP($B27, Dependencies!$B$2:$G$230, 3,FALSE),$B$14:G$73, G$74,FALSE),"o")=$D$4,IFERROR(VLOOKUP(VLOOKUP($B27, Dependencies!$B$2:$G$230, 4,FALSE),$B$14:G$73, G$74,FALSE),"o")=$D$4,IFERROR(VLOOKUP(VLOOKUP($B27, Dependencies!$B$2:$G$230, 5,FALSE),$B$14:G$73, G$74,FALSE),"o")=$D$4,IFERROR(VLOOKUP(VLOOKUP($B27, Dependencies!$B$2:$G$230, 6,FALSE),$B$14:G$73, G$74,FALSE),"o")=$D$4),$D$4,IF(OR(IFERROR(VLOOKUP(VLOOKUP($B27, Dependencies!$B$2:$G$230, 2,FALSE), $B$14:G$73, G$74,FALSE),"o")=$D$5,IFERROR(VLOOKUP(VLOOKUP($B27, Dependencies!$B$2:$G$230, 3,FALSE), $B$14:G$73, G$74,FALSE),"o")=$D$5,IFERROR(VLOOKUP(VLOOKUP($B27, Dependencies!$B$2:$G$230, 4,FALSE), $B$14:G$73, G$74,FALSE),"o")=$D$5,IFERROR(VLOOKUP(VLOOKUP($B27, Dependencies!$B$2:$G$230, 5,FALSE), $B$14:G$73, G$74,FALSE),"o")=$D$5,IFERROR(VLOOKUP(VLOOKUP($B27, Dependencies!$B$2:$G$230, 6,FALSE), $B$14:G$73, G$74,FALSE),"o")=$D$5),$D$5,F27)))</f>
        <v>r</v>
      </c>
      <c r="H27" s="94" t="s">
        <v>321</v>
      </c>
      <c r="I27" s="72" t="str">
        <f>IF(H27=$D$4,H27,IF(OR(IFERROR(VLOOKUP(VLOOKUP($B27, Dependencies!$B$2:$G$230, 2,FALSE),$B$14:I$73, I$74,FALSE),"o")=$D$4,IFERROR(VLOOKUP(VLOOKUP($B27, Dependencies!$B$2:$G$230, 3,FALSE),$B$14:I$73, I$74,FALSE),"o")=$D$4,IFERROR(VLOOKUP(VLOOKUP($B27, Dependencies!$B$2:$G$230, 4,FALSE),$B$14:I$73, I$74,FALSE),"o")=$D$4,IFERROR(VLOOKUP(VLOOKUP($B27, Dependencies!$B$2:$G$230, 5,FALSE),$B$14:I$73, I$74,FALSE),"o")=$D$4,IFERROR(VLOOKUP(VLOOKUP($B27, Dependencies!$B$2:$G$230, 6,FALSE),$B$14:I$73, I$74,FALSE),"o")=$D$4),$D$4,IF(OR(IFERROR(VLOOKUP(VLOOKUP($B27, Dependencies!$B$2:$G$230, 2,FALSE), $B$14:I$73, I$74,FALSE),"o")=$D$5,IFERROR(VLOOKUP(VLOOKUP($B27, Dependencies!$B$2:$G$230, 3,FALSE), $B$14:I$73, I$74,FALSE),"o")=$D$5,IFERROR(VLOOKUP(VLOOKUP($B27, Dependencies!$B$2:$G$230, 4,FALSE), $B$14:I$73, I$74,FALSE),"o")=$D$5,IFERROR(VLOOKUP(VLOOKUP($B27, Dependencies!$B$2:$G$230, 5,FALSE), $B$14:I$73, I$74,FALSE),"o")=$D$5,IFERROR(VLOOKUP(VLOOKUP($B27, Dependencies!$B$2:$G$230, 6,FALSE), $B$14:I$73, I$74,FALSE),"o")=$D$5),$D$5,H27)))</f>
        <v>pr</v>
      </c>
      <c r="J27" s="94" t="s">
        <v>323</v>
      </c>
      <c r="K27" s="72" t="str">
        <f>IF(J27=$D$4,J27,IF(OR(IFERROR(VLOOKUP(VLOOKUP($B27, Dependencies!$B$2:$G$230, 2,FALSE),$B$14:K$73, K$74,FALSE),"o")=$D$4,IFERROR(VLOOKUP(VLOOKUP($B27, Dependencies!$B$2:$G$230, 3,FALSE),$B$14:K$73, K$74,FALSE),"o")=$D$4,IFERROR(VLOOKUP(VLOOKUP($B27, Dependencies!$B$2:$G$230, 4,FALSE),$B$14:K$73, K$74,FALSE),"o")=$D$4,IFERROR(VLOOKUP(VLOOKUP($B27, Dependencies!$B$2:$G$230, 5,FALSE),$B$14:K$73, K$74,FALSE),"o")=$D$4,IFERROR(VLOOKUP(VLOOKUP($B27, Dependencies!$B$2:$G$230, 6,FALSE),$B$14:K$73, K$74,FALSE),"o")=$D$4),$D$4,IF(OR(IFERROR(VLOOKUP(VLOOKUP($B27, Dependencies!$B$2:$G$230, 2,FALSE), $B$14:K$73, K$74,FALSE),"o")=$D$5,IFERROR(VLOOKUP(VLOOKUP($B27, Dependencies!$B$2:$G$230, 3,FALSE), $B$14:K$73, K$74,FALSE),"o")=$D$5,IFERROR(VLOOKUP(VLOOKUP($B27, Dependencies!$B$2:$G$230, 4,FALSE), $B$14:K$73, K$74,FALSE),"o")=$D$5,IFERROR(VLOOKUP(VLOOKUP($B27, Dependencies!$B$2:$G$230, 5,FALSE), $B$14:K$73, K$74,FALSE),"o")=$D$5,IFERROR(VLOOKUP(VLOOKUP($B27, Dependencies!$B$2:$G$230, 6,FALSE), $B$14:K$73, K$74,FALSE),"o")=$D$5),$D$5,J27)))</f>
        <v>o</v>
      </c>
      <c r="L27" s="94" t="s">
        <v>323</v>
      </c>
      <c r="M27" s="72" t="str">
        <f>IF(L27=$D$4,L27,IF(OR(IFERROR(VLOOKUP(VLOOKUP($B27, Dependencies!$B$2:$G$230, 2,FALSE),$B$14:M$73, M$74,FALSE),"o")=$D$4,IFERROR(VLOOKUP(VLOOKUP($B27, Dependencies!$B$2:$G$230, 3,FALSE),$B$14:M$73, M$74,FALSE),"o")=$D$4,IFERROR(VLOOKUP(VLOOKUP($B27, Dependencies!$B$2:$G$230, 4,FALSE),$B$14:M$73, M$74,FALSE),"o")=$D$4,IFERROR(VLOOKUP(VLOOKUP($B27, Dependencies!$B$2:$G$230, 5,FALSE),$B$14:M$73, M$74,FALSE),"o")=$D$4,IFERROR(VLOOKUP(VLOOKUP($B27, Dependencies!$B$2:$G$230, 6,FALSE),$B$14:M$73, M$74,FALSE),"o")=$D$4),$D$4,IF(OR(IFERROR(VLOOKUP(VLOOKUP($B27, Dependencies!$B$2:$G$230, 2,FALSE), $B$14:M$73, M$74,FALSE),"o")=$D$5,IFERROR(VLOOKUP(VLOOKUP($B27, Dependencies!$B$2:$G$230, 3,FALSE), $B$14:M$73, M$74,FALSE),"o")=$D$5,IFERROR(VLOOKUP(VLOOKUP($B27, Dependencies!$B$2:$G$230, 4,FALSE), $B$14:M$73, M$74,FALSE),"o")=$D$5,IFERROR(VLOOKUP(VLOOKUP($B27, Dependencies!$B$2:$G$230, 5,FALSE), $B$14:M$73, M$74,FALSE),"o")=$D$5,IFERROR(VLOOKUP(VLOOKUP($B27, Dependencies!$B$2:$G$230, 6,FALSE), $B$14:M$73, M$74,FALSE),"o")=$D$5),$D$5,L27)))</f>
        <v>o</v>
      </c>
      <c r="N27" s="94" t="s">
        <v>323</v>
      </c>
      <c r="O27" s="72" t="str">
        <f>IF(N27=$D$4,N27,IF(OR(IFERROR(VLOOKUP(VLOOKUP($B27, Dependencies!$B$2:$G$230, 2,FALSE),$B$14:O$73, O$74,FALSE),"o")=$D$4,IFERROR(VLOOKUP(VLOOKUP($B27, Dependencies!$B$2:$G$230, 3,FALSE),$B$14:O$73, O$74,FALSE),"o")=$D$4,IFERROR(VLOOKUP(VLOOKUP($B27, Dependencies!$B$2:$G$230, 4,FALSE),$B$14:O$73, O$74,FALSE),"o")=$D$4,IFERROR(VLOOKUP(VLOOKUP($B27, Dependencies!$B$2:$G$230, 5,FALSE),$B$14:O$73, O$74,FALSE),"o")=$D$4,IFERROR(VLOOKUP(VLOOKUP($B27, Dependencies!$B$2:$G$230, 6,FALSE),$B$14:O$73, O$74,FALSE),"o")=$D$4),$D$4,IF(OR(IFERROR(VLOOKUP(VLOOKUP($B27, Dependencies!$B$2:$G$230, 2,FALSE), $B$14:O$73, O$74,FALSE),"o")=$D$5,IFERROR(VLOOKUP(VLOOKUP($B27, Dependencies!$B$2:$G$230, 3,FALSE), $B$14:O$73, O$74,FALSE),"o")=$D$5,IFERROR(VLOOKUP(VLOOKUP($B27, Dependencies!$B$2:$G$230, 4,FALSE), $B$14:O$73, O$74,FALSE),"o")=$D$5,IFERROR(VLOOKUP(VLOOKUP($B27, Dependencies!$B$2:$G$230, 5,FALSE), $B$14:O$73, O$74,FALSE),"o")=$D$5,IFERROR(VLOOKUP(VLOOKUP($B27, Dependencies!$B$2:$G$230, 6,FALSE), $B$14:O$73, O$74,FALSE),"o")=$D$5),$D$5,N27)))</f>
        <v>o</v>
      </c>
      <c r="P27" s="94" t="s">
        <v>323</v>
      </c>
      <c r="Q27" s="72" t="str">
        <f>IF(P27=$D$4,P27,IF(OR(IFERROR(VLOOKUP(VLOOKUP($B27, Dependencies!$B$2:$G$230, 2,FALSE),$B$14:Q$73, Q$74,FALSE),"o")=$D$4,IFERROR(VLOOKUP(VLOOKUP($B27, Dependencies!$B$2:$G$230, 3,FALSE),$B$14:Q$73, Q$74,FALSE),"o")=$D$4,IFERROR(VLOOKUP(VLOOKUP($B27, Dependencies!$B$2:$G$230, 4,FALSE),$B$14:Q$73, Q$74,FALSE),"o")=$D$4,IFERROR(VLOOKUP(VLOOKUP($B27, Dependencies!$B$2:$G$230, 5,FALSE),$B$14:Q$73, Q$74,FALSE),"o")=$D$4,IFERROR(VLOOKUP(VLOOKUP($B27, Dependencies!$B$2:$G$230, 6,FALSE),$B$14:Q$73, Q$74,FALSE),"o")=$D$4),$D$4,IF(OR(IFERROR(VLOOKUP(VLOOKUP($B27, Dependencies!$B$2:$G$230, 2,FALSE), $B$14:Q$73, Q$74,FALSE),"o")=$D$5,IFERROR(VLOOKUP(VLOOKUP($B27, Dependencies!$B$2:$G$230, 3,FALSE), $B$14:Q$73, Q$74,FALSE),"o")=$D$5,IFERROR(VLOOKUP(VLOOKUP($B27, Dependencies!$B$2:$G$230, 4,FALSE), $B$14:Q$73, Q$74,FALSE),"o")=$D$5,IFERROR(VLOOKUP(VLOOKUP($B27, Dependencies!$B$2:$G$230, 5,FALSE), $B$14:Q$73, Q$74,FALSE),"o")=$D$5,IFERROR(VLOOKUP(VLOOKUP($B27, Dependencies!$B$2:$G$230, 6,FALSE), $B$14:Q$73, Q$74,FALSE),"o")=$D$5),$D$5,P27)))</f>
        <v>o</v>
      </c>
      <c r="R27" s="94" t="s">
        <v>323</v>
      </c>
      <c r="S27" s="72" t="str">
        <f>IF(R27=$D$4,R27,IF(OR(IFERROR(VLOOKUP(VLOOKUP($B27, Dependencies!$B$2:$G$230, 2,FALSE),$B$14:S$73, S$74,FALSE),"o")=$D$4,IFERROR(VLOOKUP(VLOOKUP($B27, Dependencies!$B$2:$G$230, 3,FALSE),$B$14:S$73, S$74,FALSE),"o")=$D$4,IFERROR(VLOOKUP(VLOOKUP($B27, Dependencies!$B$2:$G$230, 4,FALSE),$B$14:S$73, S$74,FALSE),"o")=$D$4,IFERROR(VLOOKUP(VLOOKUP($B27, Dependencies!$B$2:$G$230, 5,FALSE),$B$14:S$73, S$74,FALSE),"o")=$D$4,IFERROR(VLOOKUP(VLOOKUP($B27, Dependencies!$B$2:$G$230, 6,FALSE),$B$14:S$73, S$74,FALSE),"o")=$D$4),$D$4,IF(OR(IFERROR(VLOOKUP(VLOOKUP($B27, Dependencies!$B$2:$G$230, 2,FALSE), $B$14:S$73, S$74,FALSE),"o")=$D$5,IFERROR(VLOOKUP(VLOOKUP($B27, Dependencies!$B$2:$G$230, 3,FALSE), $B$14:S$73, S$74,FALSE),"o")=$D$5,IFERROR(VLOOKUP(VLOOKUP($B27, Dependencies!$B$2:$G$230, 4,FALSE), $B$14:S$73, S$74,FALSE),"o")=$D$5,IFERROR(VLOOKUP(VLOOKUP($B27, Dependencies!$B$2:$G$230, 5,FALSE), $B$14:S$73, S$74,FALSE),"o")=$D$5,IFERROR(VLOOKUP(VLOOKUP($B27, Dependencies!$B$2:$G$230, 6,FALSE), $B$14:S$73, S$74,FALSE),"o")=$D$5),$D$5,R27)))</f>
        <v>o</v>
      </c>
      <c r="T27" s="94" t="s">
        <v>323</v>
      </c>
      <c r="U27" s="72" t="str">
        <f>IF(T27=$D$4,T27,IF(OR(IFERROR(VLOOKUP(VLOOKUP($B27, Dependencies!$B$2:$G$230, 2,FALSE),$B$14:U$73, U$74,FALSE),"o")=$D$4,IFERROR(VLOOKUP(VLOOKUP($B27, Dependencies!$B$2:$G$230, 3,FALSE),$B$14:U$73, U$74,FALSE),"o")=$D$4,IFERROR(VLOOKUP(VLOOKUP($B27, Dependencies!$B$2:$G$230, 4,FALSE),$B$14:U$73, U$74,FALSE),"o")=$D$4,IFERROR(VLOOKUP(VLOOKUP($B27, Dependencies!$B$2:$G$230, 5,FALSE),$B$14:U$73, U$74,FALSE),"o")=$D$4,IFERROR(VLOOKUP(VLOOKUP($B27, Dependencies!$B$2:$G$230, 6,FALSE),$B$14:U$73, U$74,FALSE),"o")=$D$4),$D$4,IF(OR(IFERROR(VLOOKUP(VLOOKUP($B27, Dependencies!$B$2:$G$230, 2,FALSE), $B$14:U$73, U$74,FALSE),"o")=$D$5,IFERROR(VLOOKUP(VLOOKUP($B27, Dependencies!$B$2:$G$230, 3,FALSE), $B$14:U$73, U$74,FALSE),"o")=$D$5,IFERROR(VLOOKUP(VLOOKUP($B27, Dependencies!$B$2:$G$230, 4,FALSE), $B$14:U$73, U$74,FALSE),"o")=$D$5,IFERROR(VLOOKUP(VLOOKUP($B27, Dependencies!$B$2:$G$230, 5,FALSE), $B$14:U$73, U$74,FALSE),"o")=$D$5,IFERROR(VLOOKUP(VLOOKUP($B27, Dependencies!$B$2:$G$230, 6,FALSE), $B$14:U$73, U$74,FALSE),"o")=$D$5),$D$5,T27)))</f>
        <v>o</v>
      </c>
      <c r="V27" s="94" t="s">
        <v>323</v>
      </c>
      <c r="W27" s="72" t="str">
        <f>IF(V27=$D$4,V27,IF(OR(IFERROR(VLOOKUP(VLOOKUP($B27, Dependencies!$B$2:$G$230, 2,FALSE),$B$14:W$73, W$74,FALSE),"o")=$D$4,IFERROR(VLOOKUP(VLOOKUP($B27, Dependencies!$B$2:$G$230, 3,FALSE),$B$14:W$73, W$74,FALSE),"o")=$D$4,IFERROR(VLOOKUP(VLOOKUP($B27, Dependencies!$B$2:$G$230, 4,FALSE),$B$14:W$73, W$74,FALSE),"o")=$D$4,IFERROR(VLOOKUP(VLOOKUP($B27, Dependencies!$B$2:$G$230, 5,FALSE),$B$14:W$73, W$74,FALSE),"o")=$D$4,IFERROR(VLOOKUP(VLOOKUP($B27, Dependencies!$B$2:$G$230, 6,FALSE),$B$14:W$73, W$74,FALSE),"o")=$D$4),$D$4,IF(OR(IFERROR(VLOOKUP(VLOOKUP($B27, Dependencies!$B$2:$G$230, 2,FALSE), $B$14:W$73, W$74,FALSE),"o")=$D$5,IFERROR(VLOOKUP(VLOOKUP($B27, Dependencies!$B$2:$G$230, 3,FALSE), $B$14:W$73, W$74,FALSE),"o")=$D$5,IFERROR(VLOOKUP(VLOOKUP($B27, Dependencies!$B$2:$G$230, 4,FALSE), $B$14:W$73, W$74,FALSE),"o")=$D$5,IFERROR(VLOOKUP(VLOOKUP($B27, Dependencies!$B$2:$G$230, 5,FALSE), $B$14:W$73, W$74,FALSE),"o")=$D$5,IFERROR(VLOOKUP(VLOOKUP($B27, Dependencies!$B$2:$G$230, 6,FALSE), $B$14:W$73, W$74,FALSE),"o")=$D$5),$D$5,V27)))</f>
        <v>o</v>
      </c>
      <c r="X27" s="94" t="s">
        <v>323</v>
      </c>
      <c r="Y27" s="72" t="str">
        <f>IF(X27=$D$4,X27,IF(OR(IFERROR(VLOOKUP(VLOOKUP($B27, Dependencies!$B$2:$G$230, 2,FALSE),$B$14:Y$73, Y$74,FALSE),"o")=$D$4,IFERROR(VLOOKUP(VLOOKUP($B27, Dependencies!$B$2:$G$230, 3,FALSE),$B$14:Y$73, Y$74,FALSE),"o")=$D$4,IFERROR(VLOOKUP(VLOOKUP($B27, Dependencies!$B$2:$G$230, 4,FALSE),$B$14:Y$73, Y$74,FALSE),"o")=$D$4,IFERROR(VLOOKUP(VLOOKUP($B27, Dependencies!$B$2:$G$230, 5,FALSE),$B$14:Y$73, Y$74,FALSE),"o")=$D$4,IFERROR(VLOOKUP(VLOOKUP($B27, Dependencies!$B$2:$G$230, 6,FALSE),$B$14:Y$73, Y$74,FALSE),"o")=$D$4),$D$4,IF(OR(IFERROR(VLOOKUP(VLOOKUP($B27, Dependencies!$B$2:$G$230, 2,FALSE), $B$14:Y$73, Y$74,FALSE),"o")=$D$5,IFERROR(VLOOKUP(VLOOKUP($B27, Dependencies!$B$2:$G$230, 3,FALSE), $B$14:Y$73, Y$74,FALSE),"o")=$D$5,IFERROR(VLOOKUP(VLOOKUP($B27, Dependencies!$B$2:$G$230, 4,FALSE), $B$14:Y$73, Y$74,FALSE),"o")=$D$5,IFERROR(VLOOKUP(VLOOKUP($B27, Dependencies!$B$2:$G$230, 5,FALSE), $B$14:Y$73, Y$74,FALSE),"o")=$D$5,IFERROR(VLOOKUP(VLOOKUP($B27, Dependencies!$B$2:$G$230, 6,FALSE), $B$14:Y$73, Y$74,FALSE),"o")=$D$5),$D$5,X27)))</f>
        <v>o</v>
      </c>
      <c r="Z27" s="94" t="s">
        <v>323</v>
      </c>
      <c r="AA27" s="72" t="str">
        <f>IF(Z27=$D$4,Z27,IF(OR(IFERROR(VLOOKUP(VLOOKUP($B27, Dependencies!$B$2:$G$230, 2,FALSE),$B$14:AA$73, AA$74,FALSE),"o")=$D$4,IFERROR(VLOOKUP(VLOOKUP($B27, Dependencies!$B$2:$G$230, 3,FALSE),$B$14:AA$73, AA$74,FALSE),"o")=$D$4,IFERROR(VLOOKUP(VLOOKUP($B27, Dependencies!$B$2:$G$230, 4,FALSE),$B$14:AA$73, AA$74,FALSE),"o")=$D$4,IFERROR(VLOOKUP(VLOOKUP($B27, Dependencies!$B$2:$G$230, 5,FALSE),$B$14:AA$73, AA$74,FALSE),"o")=$D$4,IFERROR(VLOOKUP(VLOOKUP($B27, Dependencies!$B$2:$G$230, 6,FALSE),$B$14:AA$73, AA$74,FALSE),"o")=$D$4),$D$4,IF(OR(IFERROR(VLOOKUP(VLOOKUP($B27, Dependencies!$B$2:$G$230, 2,FALSE), $B$14:AA$73, AA$74,FALSE),"o")=$D$5,IFERROR(VLOOKUP(VLOOKUP($B27, Dependencies!$B$2:$G$230, 3,FALSE), $B$14:AA$73, AA$74,FALSE),"o")=$D$5,IFERROR(VLOOKUP(VLOOKUP($B27, Dependencies!$B$2:$G$230, 4,FALSE), $B$14:AA$73, AA$74,FALSE),"o")=$D$5,IFERROR(VLOOKUP(VLOOKUP($B27, Dependencies!$B$2:$G$230, 5,FALSE), $B$14:AA$73, AA$74,FALSE),"o")=$D$5,IFERROR(VLOOKUP(VLOOKUP($B27, Dependencies!$B$2:$G$230, 6,FALSE), $B$14:AA$73, AA$74,FALSE),"o")=$D$5),$D$5,Z27)))</f>
        <v>o</v>
      </c>
      <c r="AB27" s="94" t="s">
        <v>323</v>
      </c>
      <c r="AC27" s="72" t="str">
        <f>IF(AB27=$D$4,AB27,IF(OR(IFERROR(VLOOKUP(VLOOKUP($B27, Dependencies!$B$2:$G$230, 2,FALSE),$B$14:AC$73, AC$74,FALSE),"o")=$D$4,IFERROR(VLOOKUP(VLOOKUP($B27, Dependencies!$B$2:$G$230, 3,FALSE),$B$14:AC$73, AC$74,FALSE),"o")=$D$4,IFERROR(VLOOKUP(VLOOKUP($B27, Dependencies!$B$2:$G$230, 4,FALSE),$B$14:AC$73, AC$74,FALSE),"o")=$D$4,IFERROR(VLOOKUP(VLOOKUP($B27, Dependencies!$B$2:$G$230, 5,FALSE),$B$14:AC$73, AC$74,FALSE),"o")=$D$4,IFERROR(VLOOKUP(VLOOKUP($B27, Dependencies!$B$2:$G$230, 6,FALSE),$B$14:AC$73, AC$74,FALSE),"o")=$D$4),$D$4,IF(OR(IFERROR(VLOOKUP(VLOOKUP($B27, Dependencies!$B$2:$G$230, 2,FALSE), $B$14:AC$73, AC$74,FALSE),"o")=$D$5,IFERROR(VLOOKUP(VLOOKUP($B27, Dependencies!$B$2:$G$230, 3,FALSE), $B$14:AC$73, AC$74,FALSE),"o")=$D$5,IFERROR(VLOOKUP(VLOOKUP($B27, Dependencies!$B$2:$G$230, 4,FALSE), $B$14:AC$73, AC$74,FALSE),"o")=$D$5,IFERROR(VLOOKUP(VLOOKUP($B27, Dependencies!$B$2:$G$230, 5,FALSE), $B$14:AC$73, AC$74,FALSE),"o")=$D$5,IFERROR(VLOOKUP(VLOOKUP($B27, Dependencies!$B$2:$G$230, 6,FALSE), $B$14:AC$73, AC$74,FALSE),"o")=$D$5),$D$5,AB27)))</f>
        <v>o</v>
      </c>
      <c r="AD27" s="94" t="s">
        <v>323</v>
      </c>
      <c r="AE27" s="72" t="str">
        <f>IF(AD27=$D$4,AD27,IF(OR(IFERROR(VLOOKUP(VLOOKUP($B27, Dependencies!$B$2:$G$230, 2,FALSE),$B$14:AE$73, AE$74,FALSE),"o")=$D$4,IFERROR(VLOOKUP(VLOOKUP($B27, Dependencies!$B$2:$G$230, 3,FALSE),$B$14:AE$73, AE$74,FALSE),"o")=$D$4,IFERROR(VLOOKUP(VLOOKUP($B27, Dependencies!$B$2:$G$230, 4,FALSE),$B$14:AE$73, AE$74,FALSE),"o")=$D$4,IFERROR(VLOOKUP(VLOOKUP($B27, Dependencies!$B$2:$G$230, 5,FALSE),$B$14:AE$73, AE$74,FALSE),"o")=$D$4,IFERROR(VLOOKUP(VLOOKUP($B27, Dependencies!$B$2:$G$230, 6,FALSE),$B$14:AE$73, AE$74,FALSE),"o")=$D$4),$D$4,IF(OR(IFERROR(VLOOKUP(VLOOKUP($B27, Dependencies!$B$2:$G$230, 2,FALSE), $B$14:AE$73, AE$74,FALSE),"o")=$D$5,IFERROR(VLOOKUP(VLOOKUP($B27, Dependencies!$B$2:$G$230, 3,FALSE), $B$14:AE$73, AE$74,FALSE),"o")=$D$5,IFERROR(VLOOKUP(VLOOKUP($B27, Dependencies!$B$2:$G$230, 4,FALSE), $B$14:AE$73, AE$74,FALSE),"o")=$D$5,IFERROR(VLOOKUP(VLOOKUP($B27, Dependencies!$B$2:$G$230, 5,FALSE), $B$14:AE$73, AE$74,FALSE),"o")=$D$5,IFERROR(VLOOKUP(VLOOKUP($B27, Dependencies!$B$2:$G$230, 6,FALSE), $B$14:AE$73, AE$74,FALSE),"o")=$D$5),$D$5,AD27)))</f>
        <v>o</v>
      </c>
      <c r="AF27" s="94" t="s">
        <v>323</v>
      </c>
      <c r="AG27" s="72" t="str">
        <f>IF(AF27=$D$4,AF27,IF(OR(IFERROR(VLOOKUP(VLOOKUP($B27, Dependencies!$B$2:$G$230, 2,FALSE),$B$14:AG$73, AG$74,FALSE),"o")=$D$4,IFERROR(VLOOKUP(VLOOKUP($B27, Dependencies!$B$2:$G$230, 3,FALSE),$B$14:AG$73, AG$74,FALSE),"o")=$D$4,IFERROR(VLOOKUP(VLOOKUP($B27, Dependencies!$B$2:$G$230, 4,FALSE),$B$14:AG$73, AG$74,FALSE),"o")=$D$4,IFERROR(VLOOKUP(VLOOKUP($B27, Dependencies!$B$2:$G$230, 5,FALSE),$B$14:AG$73, AG$74,FALSE),"o")=$D$4,IFERROR(VLOOKUP(VLOOKUP($B27, Dependencies!$B$2:$G$230, 6,FALSE),$B$14:AG$73, AG$74,FALSE),"o")=$D$4),$D$4,IF(OR(IFERROR(VLOOKUP(VLOOKUP($B27, Dependencies!$B$2:$G$230, 2,FALSE), $B$14:AG$73, AG$74,FALSE),"o")=$D$5,IFERROR(VLOOKUP(VLOOKUP($B27, Dependencies!$B$2:$G$230, 3,FALSE), $B$14:AG$73, AG$74,FALSE),"o")=$D$5,IFERROR(VLOOKUP(VLOOKUP($B27, Dependencies!$B$2:$G$230, 4,FALSE), $B$14:AG$73, AG$74,FALSE),"o")=$D$5,IFERROR(VLOOKUP(VLOOKUP($B27, Dependencies!$B$2:$G$230, 5,FALSE), $B$14:AG$73, AG$74,FALSE),"o")=$D$5,IFERROR(VLOOKUP(VLOOKUP($B27, Dependencies!$B$2:$G$230, 6,FALSE), $B$14:AG$73, AG$74,FALSE),"o")=$D$5),$D$5,AF27)))</f>
        <v>o</v>
      </c>
      <c r="AH27" s="94" t="s">
        <v>323</v>
      </c>
      <c r="AI27" s="72" t="str">
        <f>IF(AH27=$D$4,AH27,IF(OR(IFERROR(VLOOKUP(VLOOKUP($B27, Dependencies!$B$2:$G$230, 2,FALSE),$B$14:AI$73, AI$74,FALSE),"o")=$D$4,IFERROR(VLOOKUP(VLOOKUP($B27, Dependencies!$B$2:$G$230, 3,FALSE),$B$14:AI$73, AI$74,FALSE),"o")=$D$4,IFERROR(VLOOKUP(VLOOKUP($B27, Dependencies!$B$2:$G$230, 4,FALSE),$B$14:AI$73, AI$74,FALSE),"o")=$D$4,IFERROR(VLOOKUP(VLOOKUP($B27, Dependencies!$B$2:$G$230, 5,FALSE),$B$14:AI$73, AI$74,FALSE),"o")=$D$4,IFERROR(VLOOKUP(VLOOKUP($B27, Dependencies!$B$2:$G$230, 6,FALSE),$B$14:AI$73, AI$74,FALSE),"o")=$D$4),$D$4,IF(OR(IFERROR(VLOOKUP(VLOOKUP($B27, Dependencies!$B$2:$G$230, 2,FALSE), $B$14:AI$73, AI$74,FALSE),"o")=$D$5,IFERROR(VLOOKUP(VLOOKUP($B27, Dependencies!$B$2:$G$230, 3,FALSE), $B$14:AI$73, AI$74,FALSE),"o")=$D$5,IFERROR(VLOOKUP(VLOOKUP($B27, Dependencies!$B$2:$G$230, 4,FALSE), $B$14:AI$73, AI$74,FALSE),"o")=$D$5,IFERROR(VLOOKUP(VLOOKUP($B27, Dependencies!$B$2:$G$230, 5,FALSE), $B$14:AI$73, AI$74,FALSE),"o")=$D$5,IFERROR(VLOOKUP(VLOOKUP($B27, Dependencies!$B$2:$G$230, 6,FALSE), $B$14:AI$73, AI$74,FALSE),"o")=$D$5),$D$5,AH27)))</f>
        <v>o</v>
      </c>
      <c r="AJ27" s="94" t="s">
        <v>323</v>
      </c>
      <c r="AK27" s="72" t="str">
        <f>IF(AJ27=$D$4,AJ27,IF(OR(IFERROR(VLOOKUP(VLOOKUP($B27, Dependencies!$B$2:$G$230, 2,FALSE),$B$14:AK$73, AK$74,FALSE),"o")=$D$4,IFERROR(VLOOKUP(VLOOKUP($B27, Dependencies!$B$2:$G$230, 3,FALSE),$B$14:AK$73, AK$74,FALSE),"o")=$D$4,IFERROR(VLOOKUP(VLOOKUP($B27, Dependencies!$B$2:$G$230, 4,FALSE),$B$14:AK$73, AK$74,FALSE),"o")=$D$4,IFERROR(VLOOKUP(VLOOKUP($B27, Dependencies!$B$2:$G$230, 5,FALSE),$B$14:AK$73, AK$74,FALSE),"o")=$D$4,IFERROR(VLOOKUP(VLOOKUP($B27, Dependencies!$B$2:$G$230, 6,FALSE),$B$14:AK$73, AK$74,FALSE),"o")=$D$4),$D$4,IF(OR(IFERROR(VLOOKUP(VLOOKUP($B27, Dependencies!$B$2:$G$230, 2,FALSE), $B$14:AK$73, AK$74,FALSE),"o")=$D$5,IFERROR(VLOOKUP(VLOOKUP($B27, Dependencies!$B$2:$G$230, 3,FALSE), $B$14:AK$73, AK$74,FALSE),"o")=$D$5,IFERROR(VLOOKUP(VLOOKUP($B27, Dependencies!$B$2:$G$230, 4,FALSE), $B$14:AK$73, AK$74,FALSE),"o")=$D$5,IFERROR(VLOOKUP(VLOOKUP($B27, Dependencies!$B$2:$G$230, 5,FALSE), $B$14:AK$73, AK$74,FALSE),"o")=$D$5,IFERROR(VLOOKUP(VLOOKUP($B27, Dependencies!$B$2:$G$230, 6,FALSE), $B$14:AK$73, AK$74,FALSE),"o")=$D$5),$D$5,AJ27)))</f>
        <v>o</v>
      </c>
      <c r="AL27" s="94" t="s">
        <v>323</v>
      </c>
      <c r="AM27" s="72" t="str">
        <f>IF(AL27=$D$4,AL27,IF(OR(IFERROR(VLOOKUP(VLOOKUP($B27, Dependencies!$B$2:$G$230, 2,FALSE),$B$14:AM$73, AM$74,FALSE),"o")=$D$4,IFERROR(VLOOKUP(VLOOKUP($B27, Dependencies!$B$2:$G$230, 3,FALSE),$B$14:AM$73, AM$74,FALSE),"o")=$D$4,IFERROR(VLOOKUP(VLOOKUP($B27, Dependencies!$B$2:$G$230, 4,FALSE),$B$14:AM$73, AM$74,FALSE),"o")=$D$4,IFERROR(VLOOKUP(VLOOKUP($B27, Dependencies!$B$2:$G$230, 5,FALSE),$B$14:AM$73, AM$74,FALSE),"o")=$D$4,IFERROR(VLOOKUP(VLOOKUP($B27, Dependencies!$B$2:$G$230, 6,FALSE),$B$14:AM$73, AM$74,FALSE),"o")=$D$4),$D$4,IF(OR(IFERROR(VLOOKUP(VLOOKUP($B27, Dependencies!$B$2:$G$230, 2,FALSE), $B$14:AM$73, AM$74,FALSE),"o")=$D$5,IFERROR(VLOOKUP(VLOOKUP($B27, Dependencies!$B$2:$G$230, 3,FALSE), $B$14:AM$73, AM$74,FALSE),"o")=$D$5,IFERROR(VLOOKUP(VLOOKUP($B27, Dependencies!$B$2:$G$230, 4,FALSE), $B$14:AM$73, AM$74,FALSE),"o")=$D$5,IFERROR(VLOOKUP(VLOOKUP($B27, Dependencies!$B$2:$G$230, 5,FALSE), $B$14:AM$73, AM$74,FALSE),"o")=$D$5,IFERROR(VLOOKUP(VLOOKUP($B27, Dependencies!$B$2:$G$230, 6,FALSE), $B$14:AM$73, AM$74,FALSE),"o")=$D$5),$D$5,AL27)))</f>
        <v>o</v>
      </c>
      <c r="AN27" s="94" t="s">
        <v>323</v>
      </c>
      <c r="AO27" s="72" t="str">
        <f>IF(AN27=$D$4,AN27,IF(OR(IFERROR(VLOOKUP(VLOOKUP($B27, Dependencies!$B$2:$G$230, 2,FALSE),$B$14:AO$73, AO$74,FALSE),"o")=$D$4,IFERROR(VLOOKUP(VLOOKUP($B27, Dependencies!$B$2:$G$230, 3,FALSE),$B$14:AO$73, AO$74,FALSE),"o")=$D$4,IFERROR(VLOOKUP(VLOOKUP($B27, Dependencies!$B$2:$G$230, 4,FALSE),$B$14:AO$73, AO$74,FALSE),"o")=$D$4,IFERROR(VLOOKUP(VLOOKUP($B27, Dependencies!$B$2:$G$230, 5,FALSE),$B$14:AO$73, AO$74,FALSE),"o")=$D$4,IFERROR(VLOOKUP(VLOOKUP($B27, Dependencies!$B$2:$G$230, 6,FALSE),$B$14:AO$73, AO$74,FALSE),"o")=$D$4),$D$4,IF(OR(IFERROR(VLOOKUP(VLOOKUP($B27, Dependencies!$B$2:$G$230, 2,FALSE), $B$14:AO$73, AO$74,FALSE),"o")=$D$5,IFERROR(VLOOKUP(VLOOKUP($B27, Dependencies!$B$2:$G$230, 3,FALSE), $B$14:AO$73, AO$74,FALSE),"o")=$D$5,IFERROR(VLOOKUP(VLOOKUP($B27, Dependencies!$B$2:$G$230, 4,FALSE), $B$14:AO$73, AO$74,FALSE),"o")=$D$5,IFERROR(VLOOKUP(VLOOKUP($B27, Dependencies!$B$2:$G$230, 5,FALSE), $B$14:AO$73, AO$74,FALSE),"o")=$D$5,IFERROR(VLOOKUP(VLOOKUP($B27, Dependencies!$B$2:$G$230, 6,FALSE), $B$14:AO$73, AO$74,FALSE),"o")=$D$5),$D$5,AN27)))</f>
        <v>o</v>
      </c>
      <c r="AP27" s="94" t="s">
        <v>323</v>
      </c>
      <c r="AQ27" s="72" t="str">
        <f>IF(AP27=$D$4,AP27,IF(OR(IFERROR(VLOOKUP(VLOOKUP($B27, Dependencies!$B$2:$G$230, 2,FALSE),$B$14:AQ$73, AQ$74,FALSE),"o")=$D$4,IFERROR(VLOOKUP(VLOOKUP($B27, Dependencies!$B$2:$G$230, 3,FALSE),$B$14:AQ$73, AQ$74,FALSE),"o")=$D$4,IFERROR(VLOOKUP(VLOOKUP($B27, Dependencies!$B$2:$G$230, 4,FALSE),$B$14:AQ$73, AQ$74,FALSE),"o")=$D$4,IFERROR(VLOOKUP(VLOOKUP($B27, Dependencies!$B$2:$G$230, 5,FALSE),$B$14:AQ$73, AQ$74,FALSE),"o")=$D$4,IFERROR(VLOOKUP(VLOOKUP($B27, Dependencies!$B$2:$G$230, 6,FALSE),$B$14:AQ$73, AQ$74,FALSE),"o")=$D$4),$D$4,IF(OR(IFERROR(VLOOKUP(VLOOKUP($B27, Dependencies!$B$2:$G$230, 2,FALSE), $B$14:AQ$73, AQ$74,FALSE),"o")=$D$5,IFERROR(VLOOKUP(VLOOKUP($B27, Dependencies!$B$2:$G$230, 3,FALSE), $B$14:AQ$73, AQ$74,FALSE),"o")=$D$5,IFERROR(VLOOKUP(VLOOKUP($B27, Dependencies!$B$2:$G$230, 4,FALSE), $B$14:AQ$73, AQ$74,FALSE),"o")=$D$5,IFERROR(VLOOKUP(VLOOKUP($B27, Dependencies!$B$2:$G$230, 5,FALSE), $B$14:AQ$73, AQ$74,FALSE),"o")=$D$5,IFERROR(VLOOKUP(VLOOKUP($B27, Dependencies!$B$2:$G$230, 6,FALSE), $B$14:AQ$73, AQ$74,FALSE),"o")=$D$5),$D$5,AP27)))</f>
        <v>o</v>
      </c>
      <c r="AR27" s="94" t="s">
        <v>323</v>
      </c>
      <c r="AS27" s="71" t="str">
        <f>IF(AR27=$D$4,AR27,IF(OR(IFERROR(VLOOKUP(VLOOKUP($B27, Dependencies!$B$2:$G$230, 2,FALSE),$B$14:AS$73, AS$74,FALSE),"o")=$D$4,IFERROR(VLOOKUP(VLOOKUP($B27, Dependencies!$B$2:$G$230, 3,FALSE),$B$14:AS$73, AS$74,FALSE),"o")=$D$4,IFERROR(VLOOKUP(VLOOKUP($B27, Dependencies!$B$2:$G$230, 4,FALSE),$B$14:AS$73, AS$74,FALSE),"o")=$D$4,IFERROR(VLOOKUP(VLOOKUP($B27, Dependencies!$B$2:$G$230, 5,FALSE),$B$14:AS$73, AS$74,FALSE),"o")=$D$4,IFERROR(VLOOKUP(VLOOKUP($B27, Dependencies!$B$2:$G$230, 6,FALSE),$B$14:AS$73, AS$74,FALSE),"o")=$D$4),$D$4,IF(OR(IFERROR(VLOOKUP(VLOOKUP($B27, Dependencies!$B$2:$G$230, 2,FALSE), $B$14:AS$73, AS$74,FALSE),"o")=$D$5,IFERROR(VLOOKUP(VLOOKUP($B27, Dependencies!$B$2:$G$230, 3,FALSE), $B$14:AS$73, AS$74,FALSE),"o")=$D$5,IFERROR(VLOOKUP(VLOOKUP($B27, Dependencies!$B$2:$G$230, 4,FALSE), $B$14:AS$73, AS$74,FALSE),"o")=$D$5,IFERROR(VLOOKUP(VLOOKUP($B27, Dependencies!$B$2:$G$230, 5,FALSE), $B$14:AS$73, AS$74,FALSE),"o")=$D$5,IFERROR(VLOOKUP(VLOOKUP($B27, Dependencies!$B$2:$G$230, 6,FALSE), $B$14:AS$73, AS$74,FALSE),"o")=$D$5),$D$5,AR27)))</f>
        <v>o</v>
      </c>
    </row>
    <row r="28" spans="1:47" x14ac:dyDescent="0.2">
      <c r="A28" s="40"/>
      <c r="B28" s="73" t="str">
        <f>MLEOsv2!A16</f>
        <v>MLEO_01_03</v>
      </c>
      <c r="C28" s="73">
        <f>MLEOsv2!C16</f>
        <v>2</v>
      </c>
      <c r="D28" s="42" t="str">
        <f>MLEOsv2!G16</f>
        <v>implement standard constructors.</v>
      </c>
      <c r="E28" s="51" t="b">
        <f>MLEOsv2!H16</f>
        <v>1</v>
      </c>
      <c r="F28" s="93" t="s">
        <v>320</v>
      </c>
      <c r="G28" s="70" t="str">
        <f>IF(F28=$D$4,F28,IF(OR(IFERROR(VLOOKUP(VLOOKUP($B28, Dependencies!$B$2:$G$230, 2,FALSE),$B$14:G$73, G$74,FALSE),"o")=$D$4,IFERROR(VLOOKUP(VLOOKUP($B28, Dependencies!$B$2:$G$230, 3,FALSE),$B$14:G$73, G$74,FALSE),"o")=$D$4,IFERROR(VLOOKUP(VLOOKUP($B28, Dependencies!$B$2:$G$230, 4,FALSE),$B$14:G$73, G$74,FALSE),"o")=$D$4,IFERROR(VLOOKUP(VLOOKUP($B28, Dependencies!$B$2:$G$230, 5,FALSE),$B$14:G$73, G$74,FALSE),"o")=$D$4,IFERROR(VLOOKUP(VLOOKUP($B28, Dependencies!$B$2:$G$230, 6,FALSE),$B$14:G$73, G$74,FALSE),"o")=$D$4),$D$4,IF(OR(IFERROR(VLOOKUP(VLOOKUP($B28, Dependencies!$B$2:$G$230, 2,FALSE), $B$14:G$73, G$74,FALSE),"o")=$D$5,IFERROR(VLOOKUP(VLOOKUP($B28, Dependencies!$B$2:$G$230, 3,FALSE), $B$14:G$73, G$74,FALSE),"o")=$D$5,IFERROR(VLOOKUP(VLOOKUP($B28, Dependencies!$B$2:$G$230, 4,FALSE), $B$14:G$73, G$74,FALSE),"o")=$D$5,IFERROR(VLOOKUP(VLOOKUP($B28, Dependencies!$B$2:$G$230, 5,FALSE), $B$14:G$73, G$74,FALSE),"o")=$D$5,IFERROR(VLOOKUP(VLOOKUP($B28, Dependencies!$B$2:$G$230, 6,FALSE), $B$14:G$73, G$74,FALSE),"o")=$D$5),$D$5,F28)))</f>
        <v>r</v>
      </c>
      <c r="H28" s="93" t="s">
        <v>321</v>
      </c>
      <c r="I28" s="70" t="str">
        <f>IF(H28=$D$4,H28,IF(OR(IFERROR(VLOOKUP(VLOOKUP($B28, Dependencies!$B$2:$G$230, 2,FALSE),$B$14:I$73, I$74,FALSE),"o")=$D$4,IFERROR(VLOOKUP(VLOOKUP($B28, Dependencies!$B$2:$G$230, 3,FALSE),$B$14:I$73, I$74,FALSE),"o")=$D$4,IFERROR(VLOOKUP(VLOOKUP($B28, Dependencies!$B$2:$G$230, 4,FALSE),$B$14:I$73, I$74,FALSE),"o")=$D$4,IFERROR(VLOOKUP(VLOOKUP($B28, Dependencies!$B$2:$G$230, 5,FALSE),$B$14:I$73, I$74,FALSE),"o")=$D$4,IFERROR(VLOOKUP(VLOOKUP($B28, Dependencies!$B$2:$G$230, 6,FALSE),$B$14:I$73, I$74,FALSE),"o")=$D$4),$D$4,IF(OR(IFERROR(VLOOKUP(VLOOKUP($B28, Dependencies!$B$2:$G$230, 2,FALSE), $B$14:I$73, I$74,FALSE),"o")=$D$5,IFERROR(VLOOKUP(VLOOKUP($B28, Dependencies!$B$2:$G$230, 3,FALSE), $B$14:I$73, I$74,FALSE),"o")=$D$5,IFERROR(VLOOKUP(VLOOKUP($B28, Dependencies!$B$2:$G$230, 4,FALSE), $B$14:I$73, I$74,FALSE),"o")=$D$5,IFERROR(VLOOKUP(VLOOKUP($B28, Dependencies!$B$2:$G$230, 5,FALSE), $B$14:I$73, I$74,FALSE),"o")=$D$5,IFERROR(VLOOKUP(VLOOKUP($B28, Dependencies!$B$2:$G$230, 6,FALSE), $B$14:I$73, I$74,FALSE),"o")=$D$5),$D$5,H28)))</f>
        <v>pr</v>
      </c>
      <c r="J28" s="93" t="s">
        <v>321</v>
      </c>
      <c r="K28" s="70" t="str">
        <f>IF(J28=$D$4,J28,IF(OR(IFERROR(VLOOKUP(VLOOKUP($B28, Dependencies!$B$2:$G$230, 2,FALSE),$B$14:K$73, K$74,FALSE),"o")=$D$4,IFERROR(VLOOKUP(VLOOKUP($B28, Dependencies!$B$2:$G$230, 3,FALSE),$B$14:K$73, K$74,FALSE),"o")=$D$4,IFERROR(VLOOKUP(VLOOKUP($B28, Dependencies!$B$2:$G$230, 4,FALSE),$B$14:K$73, K$74,FALSE),"o")=$D$4,IFERROR(VLOOKUP(VLOOKUP($B28, Dependencies!$B$2:$G$230, 5,FALSE),$B$14:K$73, K$74,FALSE),"o")=$D$4,IFERROR(VLOOKUP(VLOOKUP($B28, Dependencies!$B$2:$G$230, 6,FALSE),$B$14:K$73, K$74,FALSE),"o")=$D$4),$D$4,IF(OR(IFERROR(VLOOKUP(VLOOKUP($B28, Dependencies!$B$2:$G$230, 2,FALSE), $B$14:K$73, K$74,FALSE),"o")=$D$5,IFERROR(VLOOKUP(VLOOKUP($B28, Dependencies!$B$2:$G$230, 3,FALSE), $B$14:K$73, K$74,FALSE),"o")=$D$5,IFERROR(VLOOKUP(VLOOKUP($B28, Dependencies!$B$2:$G$230, 4,FALSE), $B$14:K$73, K$74,FALSE),"o")=$D$5,IFERROR(VLOOKUP(VLOOKUP($B28, Dependencies!$B$2:$G$230, 5,FALSE), $B$14:K$73, K$74,FALSE),"o")=$D$5,IFERROR(VLOOKUP(VLOOKUP($B28, Dependencies!$B$2:$G$230, 6,FALSE), $B$14:K$73, K$74,FALSE),"o")=$D$5),$D$5,J28)))</f>
        <v>r</v>
      </c>
      <c r="L28" s="93" t="s">
        <v>323</v>
      </c>
      <c r="M28" s="70" t="str">
        <f>IF(L28=$D$4,L28,IF(OR(IFERROR(VLOOKUP(VLOOKUP($B28, Dependencies!$B$2:$G$230, 2,FALSE),$B$14:M$73, M$74,FALSE),"o")=$D$4,IFERROR(VLOOKUP(VLOOKUP($B28, Dependencies!$B$2:$G$230, 3,FALSE),$B$14:M$73, M$74,FALSE),"o")=$D$4,IFERROR(VLOOKUP(VLOOKUP($B28, Dependencies!$B$2:$G$230, 4,FALSE),$B$14:M$73, M$74,FALSE),"o")=$D$4,IFERROR(VLOOKUP(VLOOKUP($B28, Dependencies!$B$2:$G$230, 5,FALSE),$B$14:M$73, M$74,FALSE),"o")=$D$4,IFERROR(VLOOKUP(VLOOKUP($B28, Dependencies!$B$2:$G$230, 6,FALSE),$B$14:M$73, M$74,FALSE),"o")=$D$4),$D$4,IF(OR(IFERROR(VLOOKUP(VLOOKUP($B28, Dependencies!$B$2:$G$230, 2,FALSE), $B$14:M$73, M$74,FALSE),"o")=$D$5,IFERROR(VLOOKUP(VLOOKUP($B28, Dependencies!$B$2:$G$230, 3,FALSE), $B$14:M$73, M$74,FALSE),"o")=$D$5,IFERROR(VLOOKUP(VLOOKUP($B28, Dependencies!$B$2:$G$230, 4,FALSE), $B$14:M$73, M$74,FALSE),"o")=$D$5,IFERROR(VLOOKUP(VLOOKUP($B28, Dependencies!$B$2:$G$230, 5,FALSE), $B$14:M$73, M$74,FALSE),"o")=$D$5,IFERROR(VLOOKUP(VLOOKUP($B28, Dependencies!$B$2:$G$230, 6,FALSE), $B$14:M$73, M$74,FALSE),"o")=$D$5),$D$5,L28)))</f>
        <v>r</v>
      </c>
      <c r="N28" s="93" t="s">
        <v>323</v>
      </c>
      <c r="O28" s="70" t="str">
        <f>IF(N28=$D$4,N28,IF(OR(IFERROR(VLOOKUP(VLOOKUP($B28, Dependencies!$B$2:$G$230, 2,FALSE),$B$14:O$73, O$74,FALSE),"o")=$D$4,IFERROR(VLOOKUP(VLOOKUP($B28, Dependencies!$B$2:$G$230, 3,FALSE),$B$14:O$73, O$74,FALSE),"o")=$D$4,IFERROR(VLOOKUP(VLOOKUP($B28, Dependencies!$B$2:$G$230, 4,FALSE),$B$14:O$73, O$74,FALSE),"o")=$D$4,IFERROR(VLOOKUP(VLOOKUP($B28, Dependencies!$B$2:$G$230, 5,FALSE),$B$14:O$73, O$74,FALSE),"o")=$D$4,IFERROR(VLOOKUP(VLOOKUP($B28, Dependencies!$B$2:$G$230, 6,FALSE),$B$14:O$73, O$74,FALSE),"o")=$D$4),$D$4,IF(OR(IFERROR(VLOOKUP(VLOOKUP($B28, Dependencies!$B$2:$G$230, 2,FALSE), $B$14:O$73, O$74,FALSE),"o")=$D$5,IFERROR(VLOOKUP(VLOOKUP($B28, Dependencies!$B$2:$G$230, 3,FALSE), $B$14:O$73, O$74,FALSE),"o")=$D$5,IFERROR(VLOOKUP(VLOOKUP($B28, Dependencies!$B$2:$G$230, 4,FALSE), $B$14:O$73, O$74,FALSE),"o")=$D$5,IFERROR(VLOOKUP(VLOOKUP($B28, Dependencies!$B$2:$G$230, 5,FALSE), $B$14:O$73, O$74,FALSE),"o")=$D$5,IFERROR(VLOOKUP(VLOOKUP($B28, Dependencies!$B$2:$G$230, 6,FALSE), $B$14:O$73, O$74,FALSE),"o")=$D$5),$D$5,N28)))</f>
        <v>o</v>
      </c>
      <c r="P28" s="93" t="s">
        <v>323</v>
      </c>
      <c r="Q28" s="70" t="str">
        <f>IF(P28=$D$4,P28,IF(OR(IFERROR(VLOOKUP(VLOOKUP($B28, Dependencies!$B$2:$G$230, 2,FALSE),$B$14:Q$73, Q$74,FALSE),"o")=$D$4,IFERROR(VLOOKUP(VLOOKUP($B28, Dependencies!$B$2:$G$230, 3,FALSE),$B$14:Q$73, Q$74,FALSE),"o")=$D$4,IFERROR(VLOOKUP(VLOOKUP($B28, Dependencies!$B$2:$G$230, 4,FALSE),$B$14:Q$73, Q$74,FALSE),"o")=$D$4,IFERROR(VLOOKUP(VLOOKUP($B28, Dependencies!$B$2:$G$230, 5,FALSE),$B$14:Q$73, Q$74,FALSE),"o")=$D$4,IFERROR(VLOOKUP(VLOOKUP($B28, Dependencies!$B$2:$G$230, 6,FALSE),$B$14:Q$73, Q$74,FALSE),"o")=$D$4),$D$4,IF(OR(IFERROR(VLOOKUP(VLOOKUP($B28, Dependencies!$B$2:$G$230, 2,FALSE), $B$14:Q$73, Q$74,FALSE),"o")=$D$5,IFERROR(VLOOKUP(VLOOKUP($B28, Dependencies!$B$2:$G$230, 3,FALSE), $B$14:Q$73, Q$74,FALSE),"o")=$D$5,IFERROR(VLOOKUP(VLOOKUP($B28, Dependencies!$B$2:$G$230, 4,FALSE), $B$14:Q$73, Q$74,FALSE),"o")=$D$5,IFERROR(VLOOKUP(VLOOKUP($B28, Dependencies!$B$2:$G$230, 5,FALSE), $B$14:Q$73, Q$74,FALSE),"o")=$D$5,IFERROR(VLOOKUP(VLOOKUP($B28, Dependencies!$B$2:$G$230, 6,FALSE), $B$14:Q$73, Q$74,FALSE),"o")=$D$5),$D$5,P28)))</f>
        <v>o</v>
      </c>
      <c r="R28" s="93" t="s">
        <v>323</v>
      </c>
      <c r="S28" s="70" t="str">
        <f>IF(R28=$D$4,R28,IF(OR(IFERROR(VLOOKUP(VLOOKUP($B28, Dependencies!$B$2:$G$230, 2,FALSE),$B$14:S$73, S$74,FALSE),"o")=$D$4,IFERROR(VLOOKUP(VLOOKUP($B28, Dependencies!$B$2:$G$230, 3,FALSE),$B$14:S$73, S$74,FALSE),"o")=$D$4,IFERROR(VLOOKUP(VLOOKUP($B28, Dependencies!$B$2:$G$230, 4,FALSE),$B$14:S$73, S$74,FALSE),"o")=$D$4,IFERROR(VLOOKUP(VLOOKUP($B28, Dependencies!$B$2:$G$230, 5,FALSE),$B$14:S$73, S$74,FALSE),"o")=$D$4,IFERROR(VLOOKUP(VLOOKUP($B28, Dependencies!$B$2:$G$230, 6,FALSE),$B$14:S$73, S$74,FALSE),"o")=$D$4),$D$4,IF(OR(IFERROR(VLOOKUP(VLOOKUP($B28, Dependencies!$B$2:$G$230, 2,FALSE), $B$14:S$73, S$74,FALSE),"o")=$D$5,IFERROR(VLOOKUP(VLOOKUP($B28, Dependencies!$B$2:$G$230, 3,FALSE), $B$14:S$73, S$74,FALSE),"o")=$D$5,IFERROR(VLOOKUP(VLOOKUP($B28, Dependencies!$B$2:$G$230, 4,FALSE), $B$14:S$73, S$74,FALSE),"o")=$D$5,IFERROR(VLOOKUP(VLOOKUP($B28, Dependencies!$B$2:$G$230, 5,FALSE), $B$14:S$73, S$74,FALSE),"o")=$D$5,IFERROR(VLOOKUP(VLOOKUP($B28, Dependencies!$B$2:$G$230, 6,FALSE), $B$14:S$73, S$74,FALSE),"o")=$D$5),$D$5,R28)))</f>
        <v>o</v>
      </c>
      <c r="T28" s="93" t="s">
        <v>323</v>
      </c>
      <c r="U28" s="70" t="str">
        <f>IF(T28=$D$4,T28,IF(OR(IFERROR(VLOOKUP(VLOOKUP($B28, Dependencies!$B$2:$G$230, 2,FALSE),$B$14:U$73, U$74,FALSE),"o")=$D$4,IFERROR(VLOOKUP(VLOOKUP($B28, Dependencies!$B$2:$G$230, 3,FALSE),$B$14:U$73, U$74,FALSE),"o")=$D$4,IFERROR(VLOOKUP(VLOOKUP($B28, Dependencies!$B$2:$G$230, 4,FALSE),$B$14:U$73, U$74,FALSE),"o")=$D$4,IFERROR(VLOOKUP(VLOOKUP($B28, Dependencies!$B$2:$G$230, 5,FALSE),$B$14:U$73, U$74,FALSE),"o")=$D$4,IFERROR(VLOOKUP(VLOOKUP($B28, Dependencies!$B$2:$G$230, 6,FALSE),$B$14:U$73, U$74,FALSE),"o")=$D$4),$D$4,IF(OR(IFERROR(VLOOKUP(VLOOKUP($B28, Dependencies!$B$2:$G$230, 2,FALSE), $B$14:U$73, U$74,FALSE),"o")=$D$5,IFERROR(VLOOKUP(VLOOKUP($B28, Dependencies!$B$2:$G$230, 3,FALSE), $B$14:U$73, U$74,FALSE),"o")=$D$5,IFERROR(VLOOKUP(VLOOKUP($B28, Dependencies!$B$2:$G$230, 4,FALSE), $B$14:U$73, U$74,FALSE),"o")=$D$5,IFERROR(VLOOKUP(VLOOKUP($B28, Dependencies!$B$2:$G$230, 5,FALSE), $B$14:U$73, U$74,FALSE),"o")=$D$5,IFERROR(VLOOKUP(VLOOKUP($B28, Dependencies!$B$2:$G$230, 6,FALSE), $B$14:U$73, U$74,FALSE),"o")=$D$5),$D$5,T28)))</f>
        <v>o</v>
      </c>
      <c r="V28" s="93" t="s">
        <v>323</v>
      </c>
      <c r="W28" s="70" t="str">
        <f>IF(V28=$D$4,V28,IF(OR(IFERROR(VLOOKUP(VLOOKUP($B28, Dependencies!$B$2:$G$230, 2,FALSE),$B$14:W$73, W$74,FALSE),"o")=$D$4,IFERROR(VLOOKUP(VLOOKUP($B28, Dependencies!$B$2:$G$230, 3,FALSE),$B$14:W$73, W$74,FALSE),"o")=$D$4,IFERROR(VLOOKUP(VLOOKUP($B28, Dependencies!$B$2:$G$230, 4,FALSE),$B$14:W$73, W$74,FALSE),"o")=$D$4,IFERROR(VLOOKUP(VLOOKUP($B28, Dependencies!$B$2:$G$230, 5,FALSE),$B$14:W$73, W$74,FALSE),"o")=$D$4,IFERROR(VLOOKUP(VLOOKUP($B28, Dependencies!$B$2:$G$230, 6,FALSE),$B$14:W$73, W$74,FALSE),"o")=$D$4),$D$4,IF(OR(IFERROR(VLOOKUP(VLOOKUP($B28, Dependencies!$B$2:$G$230, 2,FALSE), $B$14:W$73, W$74,FALSE),"o")=$D$5,IFERROR(VLOOKUP(VLOOKUP($B28, Dependencies!$B$2:$G$230, 3,FALSE), $B$14:W$73, W$74,FALSE),"o")=$D$5,IFERROR(VLOOKUP(VLOOKUP($B28, Dependencies!$B$2:$G$230, 4,FALSE), $B$14:W$73, W$74,FALSE),"o")=$D$5,IFERROR(VLOOKUP(VLOOKUP($B28, Dependencies!$B$2:$G$230, 5,FALSE), $B$14:W$73, W$74,FALSE),"o")=$D$5,IFERROR(VLOOKUP(VLOOKUP($B28, Dependencies!$B$2:$G$230, 6,FALSE), $B$14:W$73, W$74,FALSE),"o")=$D$5),$D$5,V28)))</f>
        <v>o</v>
      </c>
      <c r="X28" s="93" t="s">
        <v>323</v>
      </c>
      <c r="Y28" s="70" t="str">
        <f>IF(X28=$D$4,X28,IF(OR(IFERROR(VLOOKUP(VLOOKUP($B28, Dependencies!$B$2:$G$230, 2,FALSE),$B$14:Y$73, Y$74,FALSE),"o")=$D$4,IFERROR(VLOOKUP(VLOOKUP($B28, Dependencies!$B$2:$G$230, 3,FALSE),$B$14:Y$73, Y$74,FALSE),"o")=$D$4,IFERROR(VLOOKUP(VLOOKUP($B28, Dependencies!$B$2:$G$230, 4,FALSE),$B$14:Y$73, Y$74,FALSE),"o")=$D$4,IFERROR(VLOOKUP(VLOOKUP($B28, Dependencies!$B$2:$G$230, 5,FALSE),$B$14:Y$73, Y$74,FALSE),"o")=$D$4,IFERROR(VLOOKUP(VLOOKUP($B28, Dependencies!$B$2:$G$230, 6,FALSE),$B$14:Y$73, Y$74,FALSE),"o")=$D$4),$D$4,IF(OR(IFERROR(VLOOKUP(VLOOKUP($B28, Dependencies!$B$2:$G$230, 2,FALSE), $B$14:Y$73, Y$74,FALSE),"o")=$D$5,IFERROR(VLOOKUP(VLOOKUP($B28, Dependencies!$B$2:$G$230, 3,FALSE), $B$14:Y$73, Y$74,FALSE),"o")=$D$5,IFERROR(VLOOKUP(VLOOKUP($B28, Dependencies!$B$2:$G$230, 4,FALSE), $B$14:Y$73, Y$74,FALSE),"o")=$D$5,IFERROR(VLOOKUP(VLOOKUP($B28, Dependencies!$B$2:$G$230, 5,FALSE), $B$14:Y$73, Y$74,FALSE),"o")=$D$5,IFERROR(VLOOKUP(VLOOKUP($B28, Dependencies!$B$2:$G$230, 6,FALSE), $B$14:Y$73, Y$74,FALSE),"o")=$D$5),$D$5,X28)))</f>
        <v>o</v>
      </c>
      <c r="Z28" s="93" t="s">
        <v>323</v>
      </c>
      <c r="AA28" s="70" t="str">
        <f>IF(Z28=$D$4,Z28,IF(OR(IFERROR(VLOOKUP(VLOOKUP($B28, Dependencies!$B$2:$G$230, 2,FALSE),$B$14:AA$73, AA$74,FALSE),"o")=$D$4,IFERROR(VLOOKUP(VLOOKUP($B28, Dependencies!$B$2:$G$230, 3,FALSE),$B$14:AA$73, AA$74,FALSE),"o")=$D$4,IFERROR(VLOOKUP(VLOOKUP($B28, Dependencies!$B$2:$G$230, 4,FALSE),$B$14:AA$73, AA$74,FALSE),"o")=$D$4,IFERROR(VLOOKUP(VLOOKUP($B28, Dependencies!$B$2:$G$230, 5,FALSE),$B$14:AA$73, AA$74,FALSE),"o")=$D$4,IFERROR(VLOOKUP(VLOOKUP($B28, Dependencies!$B$2:$G$230, 6,FALSE),$B$14:AA$73, AA$74,FALSE),"o")=$D$4),$D$4,IF(OR(IFERROR(VLOOKUP(VLOOKUP($B28, Dependencies!$B$2:$G$230, 2,FALSE), $B$14:AA$73, AA$74,FALSE),"o")=$D$5,IFERROR(VLOOKUP(VLOOKUP($B28, Dependencies!$B$2:$G$230, 3,FALSE), $B$14:AA$73, AA$74,FALSE),"o")=$D$5,IFERROR(VLOOKUP(VLOOKUP($B28, Dependencies!$B$2:$G$230, 4,FALSE), $B$14:AA$73, AA$74,FALSE),"o")=$D$5,IFERROR(VLOOKUP(VLOOKUP($B28, Dependencies!$B$2:$G$230, 5,FALSE), $B$14:AA$73, AA$74,FALSE),"o")=$D$5,IFERROR(VLOOKUP(VLOOKUP($B28, Dependencies!$B$2:$G$230, 6,FALSE), $B$14:AA$73, AA$74,FALSE),"o")=$D$5),$D$5,Z28)))</f>
        <v>o</v>
      </c>
      <c r="AB28" s="93" t="s">
        <v>323</v>
      </c>
      <c r="AC28" s="70" t="str">
        <f>IF(AB28=$D$4,AB28,IF(OR(IFERROR(VLOOKUP(VLOOKUP($B28, Dependencies!$B$2:$G$230, 2,FALSE),$B$14:AC$73, AC$74,FALSE),"o")=$D$4,IFERROR(VLOOKUP(VLOOKUP($B28, Dependencies!$B$2:$G$230, 3,FALSE),$B$14:AC$73, AC$74,FALSE),"o")=$D$4,IFERROR(VLOOKUP(VLOOKUP($B28, Dependencies!$B$2:$G$230, 4,FALSE),$B$14:AC$73, AC$74,FALSE),"o")=$D$4,IFERROR(VLOOKUP(VLOOKUP($B28, Dependencies!$B$2:$G$230, 5,FALSE),$B$14:AC$73, AC$74,FALSE),"o")=$D$4,IFERROR(VLOOKUP(VLOOKUP($B28, Dependencies!$B$2:$G$230, 6,FALSE),$B$14:AC$73, AC$74,FALSE),"o")=$D$4),$D$4,IF(OR(IFERROR(VLOOKUP(VLOOKUP($B28, Dependencies!$B$2:$G$230, 2,FALSE), $B$14:AC$73, AC$74,FALSE),"o")=$D$5,IFERROR(VLOOKUP(VLOOKUP($B28, Dependencies!$B$2:$G$230, 3,FALSE), $B$14:AC$73, AC$74,FALSE),"o")=$D$5,IFERROR(VLOOKUP(VLOOKUP($B28, Dependencies!$B$2:$G$230, 4,FALSE), $B$14:AC$73, AC$74,FALSE),"o")=$D$5,IFERROR(VLOOKUP(VLOOKUP($B28, Dependencies!$B$2:$G$230, 5,FALSE), $B$14:AC$73, AC$74,FALSE),"o")=$D$5,IFERROR(VLOOKUP(VLOOKUP($B28, Dependencies!$B$2:$G$230, 6,FALSE), $B$14:AC$73, AC$74,FALSE),"o")=$D$5),$D$5,AB28)))</f>
        <v>o</v>
      </c>
      <c r="AD28" s="93" t="s">
        <v>323</v>
      </c>
      <c r="AE28" s="70" t="str">
        <f>IF(AD28=$D$4,AD28,IF(OR(IFERROR(VLOOKUP(VLOOKUP($B28, Dependencies!$B$2:$G$230, 2,FALSE),$B$14:AE$73, AE$74,FALSE),"o")=$D$4,IFERROR(VLOOKUP(VLOOKUP($B28, Dependencies!$B$2:$G$230, 3,FALSE),$B$14:AE$73, AE$74,FALSE),"o")=$D$4,IFERROR(VLOOKUP(VLOOKUP($B28, Dependencies!$B$2:$G$230, 4,FALSE),$B$14:AE$73, AE$74,FALSE),"o")=$D$4,IFERROR(VLOOKUP(VLOOKUP($B28, Dependencies!$B$2:$G$230, 5,FALSE),$B$14:AE$73, AE$74,FALSE),"o")=$D$4,IFERROR(VLOOKUP(VLOOKUP($B28, Dependencies!$B$2:$G$230, 6,FALSE),$B$14:AE$73, AE$74,FALSE),"o")=$D$4),$D$4,IF(OR(IFERROR(VLOOKUP(VLOOKUP($B28, Dependencies!$B$2:$G$230, 2,FALSE), $B$14:AE$73, AE$74,FALSE),"o")=$D$5,IFERROR(VLOOKUP(VLOOKUP($B28, Dependencies!$B$2:$G$230, 3,FALSE), $B$14:AE$73, AE$74,FALSE),"o")=$D$5,IFERROR(VLOOKUP(VLOOKUP($B28, Dependencies!$B$2:$G$230, 4,FALSE), $B$14:AE$73, AE$74,FALSE),"o")=$D$5,IFERROR(VLOOKUP(VLOOKUP($B28, Dependencies!$B$2:$G$230, 5,FALSE), $B$14:AE$73, AE$74,FALSE),"o")=$D$5,IFERROR(VLOOKUP(VLOOKUP($B28, Dependencies!$B$2:$G$230, 6,FALSE), $B$14:AE$73, AE$74,FALSE),"o")=$D$5),$D$5,AD28)))</f>
        <v>o</v>
      </c>
      <c r="AF28" s="93" t="s">
        <v>323</v>
      </c>
      <c r="AG28" s="70" t="str">
        <f>IF(AF28=$D$4,AF28,IF(OR(IFERROR(VLOOKUP(VLOOKUP($B28, Dependencies!$B$2:$G$230, 2,FALSE),$B$14:AG$73, AG$74,FALSE),"o")=$D$4,IFERROR(VLOOKUP(VLOOKUP($B28, Dependencies!$B$2:$G$230, 3,FALSE),$B$14:AG$73, AG$74,FALSE),"o")=$D$4,IFERROR(VLOOKUP(VLOOKUP($B28, Dependencies!$B$2:$G$230, 4,FALSE),$B$14:AG$73, AG$74,FALSE),"o")=$D$4,IFERROR(VLOOKUP(VLOOKUP($B28, Dependencies!$B$2:$G$230, 5,FALSE),$B$14:AG$73, AG$74,FALSE),"o")=$D$4,IFERROR(VLOOKUP(VLOOKUP($B28, Dependencies!$B$2:$G$230, 6,FALSE),$B$14:AG$73, AG$74,FALSE),"o")=$D$4),$D$4,IF(OR(IFERROR(VLOOKUP(VLOOKUP($B28, Dependencies!$B$2:$G$230, 2,FALSE), $B$14:AG$73, AG$74,FALSE),"o")=$D$5,IFERROR(VLOOKUP(VLOOKUP($B28, Dependencies!$B$2:$G$230, 3,FALSE), $B$14:AG$73, AG$74,FALSE),"o")=$D$5,IFERROR(VLOOKUP(VLOOKUP($B28, Dependencies!$B$2:$G$230, 4,FALSE), $B$14:AG$73, AG$74,FALSE),"o")=$D$5,IFERROR(VLOOKUP(VLOOKUP($B28, Dependencies!$B$2:$G$230, 5,FALSE), $B$14:AG$73, AG$74,FALSE),"o")=$D$5,IFERROR(VLOOKUP(VLOOKUP($B28, Dependencies!$B$2:$G$230, 6,FALSE), $B$14:AG$73, AG$74,FALSE),"o")=$D$5),$D$5,AF28)))</f>
        <v>o</v>
      </c>
      <c r="AH28" s="93" t="s">
        <v>323</v>
      </c>
      <c r="AI28" s="70" t="str">
        <f>IF(AH28=$D$4,AH28,IF(OR(IFERROR(VLOOKUP(VLOOKUP($B28, Dependencies!$B$2:$G$230, 2,FALSE),$B$14:AI$73, AI$74,FALSE),"o")=$D$4,IFERROR(VLOOKUP(VLOOKUP($B28, Dependencies!$B$2:$G$230, 3,FALSE),$B$14:AI$73, AI$74,FALSE),"o")=$D$4,IFERROR(VLOOKUP(VLOOKUP($B28, Dependencies!$B$2:$G$230, 4,FALSE),$B$14:AI$73, AI$74,FALSE),"o")=$D$4,IFERROR(VLOOKUP(VLOOKUP($B28, Dependencies!$B$2:$G$230, 5,FALSE),$B$14:AI$73, AI$74,FALSE),"o")=$D$4,IFERROR(VLOOKUP(VLOOKUP($B28, Dependencies!$B$2:$G$230, 6,FALSE),$B$14:AI$73, AI$74,FALSE),"o")=$D$4),$D$4,IF(OR(IFERROR(VLOOKUP(VLOOKUP($B28, Dependencies!$B$2:$G$230, 2,FALSE), $B$14:AI$73, AI$74,FALSE),"o")=$D$5,IFERROR(VLOOKUP(VLOOKUP($B28, Dependencies!$B$2:$G$230, 3,FALSE), $B$14:AI$73, AI$74,FALSE),"o")=$D$5,IFERROR(VLOOKUP(VLOOKUP($B28, Dependencies!$B$2:$G$230, 4,FALSE), $B$14:AI$73, AI$74,FALSE),"o")=$D$5,IFERROR(VLOOKUP(VLOOKUP($B28, Dependencies!$B$2:$G$230, 5,FALSE), $B$14:AI$73, AI$74,FALSE),"o")=$D$5,IFERROR(VLOOKUP(VLOOKUP($B28, Dependencies!$B$2:$G$230, 6,FALSE), $B$14:AI$73, AI$74,FALSE),"o")=$D$5),$D$5,AH28)))</f>
        <v>o</v>
      </c>
      <c r="AJ28" s="93" t="s">
        <v>323</v>
      </c>
      <c r="AK28" s="70" t="str">
        <f>IF(AJ28=$D$4,AJ28,IF(OR(IFERROR(VLOOKUP(VLOOKUP($B28, Dependencies!$B$2:$G$230, 2,FALSE),$B$14:AK$73, AK$74,FALSE),"o")=$D$4,IFERROR(VLOOKUP(VLOOKUP($B28, Dependencies!$B$2:$G$230, 3,FALSE),$B$14:AK$73, AK$74,FALSE),"o")=$D$4,IFERROR(VLOOKUP(VLOOKUP($B28, Dependencies!$B$2:$G$230, 4,FALSE),$B$14:AK$73, AK$74,FALSE),"o")=$D$4,IFERROR(VLOOKUP(VLOOKUP($B28, Dependencies!$B$2:$G$230, 5,FALSE),$B$14:AK$73, AK$74,FALSE),"o")=$D$4,IFERROR(VLOOKUP(VLOOKUP($B28, Dependencies!$B$2:$G$230, 6,FALSE),$B$14:AK$73, AK$74,FALSE),"o")=$D$4),$D$4,IF(OR(IFERROR(VLOOKUP(VLOOKUP($B28, Dependencies!$B$2:$G$230, 2,FALSE), $B$14:AK$73, AK$74,FALSE),"o")=$D$5,IFERROR(VLOOKUP(VLOOKUP($B28, Dependencies!$B$2:$G$230, 3,FALSE), $B$14:AK$73, AK$74,FALSE),"o")=$D$5,IFERROR(VLOOKUP(VLOOKUP($B28, Dependencies!$B$2:$G$230, 4,FALSE), $B$14:AK$73, AK$74,FALSE),"o")=$D$5,IFERROR(VLOOKUP(VLOOKUP($B28, Dependencies!$B$2:$G$230, 5,FALSE), $B$14:AK$73, AK$74,FALSE),"o")=$D$5,IFERROR(VLOOKUP(VLOOKUP($B28, Dependencies!$B$2:$G$230, 6,FALSE), $B$14:AK$73, AK$74,FALSE),"o")=$D$5),$D$5,AJ28)))</f>
        <v>o</v>
      </c>
      <c r="AL28" s="93" t="s">
        <v>323</v>
      </c>
      <c r="AM28" s="70" t="str">
        <f>IF(AL28=$D$4,AL28,IF(OR(IFERROR(VLOOKUP(VLOOKUP($B28, Dependencies!$B$2:$G$230, 2,FALSE),$B$14:AM$73, AM$74,FALSE),"o")=$D$4,IFERROR(VLOOKUP(VLOOKUP($B28, Dependencies!$B$2:$G$230, 3,FALSE),$B$14:AM$73, AM$74,FALSE),"o")=$D$4,IFERROR(VLOOKUP(VLOOKUP($B28, Dependencies!$B$2:$G$230, 4,FALSE),$B$14:AM$73, AM$74,FALSE),"o")=$D$4,IFERROR(VLOOKUP(VLOOKUP($B28, Dependencies!$B$2:$G$230, 5,FALSE),$B$14:AM$73, AM$74,FALSE),"o")=$D$4,IFERROR(VLOOKUP(VLOOKUP($B28, Dependencies!$B$2:$G$230, 6,FALSE),$B$14:AM$73, AM$74,FALSE),"o")=$D$4),$D$4,IF(OR(IFERROR(VLOOKUP(VLOOKUP($B28, Dependencies!$B$2:$G$230, 2,FALSE), $B$14:AM$73, AM$74,FALSE),"o")=$D$5,IFERROR(VLOOKUP(VLOOKUP($B28, Dependencies!$B$2:$G$230, 3,FALSE), $B$14:AM$73, AM$74,FALSE),"o")=$D$5,IFERROR(VLOOKUP(VLOOKUP($B28, Dependencies!$B$2:$G$230, 4,FALSE), $B$14:AM$73, AM$74,FALSE),"o")=$D$5,IFERROR(VLOOKUP(VLOOKUP($B28, Dependencies!$B$2:$G$230, 5,FALSE), $B$14:AM$73, AM$74,FALSE),"o")=$D$5,IFERROR(VLOOKUP(VLOOKUP($B28, Dependencies!$B$2:$G$230, 6,FALSE), $B$14:AM$73, AM$74,FALSE),"o")=$D$5),$D$5,AL28)))</f>
        <v>o</v>
      </c>
      <c r="AN28" s="93" t="s">
        <v>323</v>
      </c>
      <c r="AO28" s="70" t="str">
        <f>IF(AN28=$D$4,AN28,IF(OR(IFERROR(VLOOKUP(VLOOKUP($B28, Dependencies!$B$2:$G$230, 2,FALSE),$B$14:AO$73, AO$74,FALSE),"o")=$D$4,IFERROR(VLOOKUP(VLOOKUP($B28, Dependencies!$B$2:$G$230, 3,FALSE),$B$14:AO$73, AO$74,FALSE),"o")=$D$4,IFERROR(VLOOKUP(VLOOKUP($B28, Dependencies!$B$2:$G$230, 4,FALSE),$B$14:AO$73, AO$74,FALSE),"o")=$D$4,IFERROR(VLOOKUP(VLOOKUP($B28, Dependencies!$B$2:$G$230, 5,FALSE),$B$14:AO$73, AO$74,FALSE),"o")=$D$4,IFERROR(VLOOKUP(VLOOKUP($B28, Dependencies!$B$2:$G$230, 6,FALSE),$B$14:AO$73, AO$74,FALSE),"o")=$D$4),$D$4,IF(OR(IFERROR(VLOOKUP(VLOOKUP($B28, Dependencies!$B$2:$G$230, 2,FALSE), $B$14:AO$73, AO$74,FALSE),"o")=$D$5,IFERROR(VLOOKUP(VLOOKUP($B28, Dependencies!$B$2:$G$230, 3,FALSE), $B$14:AO$73, AO$74,FALSE),"o")=$D$5,IFERROR(VLOOKUP(VLOOKUP($B28, Dependencies!$B$2:$G$230, 4,FALSE), $B$14:AO$73, AO$74,FALSE),"o")=$D$5,IFERROR(VLOOKUP(VLOOKUP($B28, Dependencies!$B$2:$G$230, 5,FALSE), $B$14:AO$73, AO$74,FALSE),"o")=$D$5,IFERROR(VLOOKUP(VLOOKUP($B28, Dependencies!$B$2:$G$230, 6,FALSE), $B$14:AO$73, AO$74,FALSE),"o")=$D$5),$D$5,AN28)))</f>
        <v>o</v>
      </c>
      <c r="AP28" s="93" t="s">
        <v>323</v>
      </c>
      <c r="AQ28" s="70" t="str">
        <f>IF(AP28=$D$4,AP28,IF(OR(IFERROR(VLOOKUP(VLOOKUP($B28, Dependencies!$B$2:$G$230, 2,FALSE),$B$14:AQ$73, AQ$74,FALSE),"o")=$D$4,IFERROR(VLOOKUP(VLOOKUP($B28, Dependencies!$B$2:$G$230, 3,FALSE),$B$14:AQ$73, AQ$74,FALSE),"o")=$D$4,IFERROR(VLOOKUP(VLOOKUP($B28, Dependencies!$B$2:$G$230, 4,FALSE),$B$14:AQ$73, AQ$74,FALSE),"o")=$D$4,IFERROR(VLOOKUP(VLOOKUP($B28, Dependencies!$B$2:$G$230, 5,FALSE),$B$14:AQ$73, AQ$74,FALSE),"o")=$D$4,IFERROR(VLOOKUP(VLOOKUP($B28, Dependencies!$B$2:$G$230, 6,FALSE),$B$14:AQ$73, AQ$74,FALSE),"o")=$D$4),$D$4,IF(OR(IFERROR(VLOOKUP(VLOOKUP($B28, Dependencies!$B$2:$G$230, 2,FALSE), $B$14:AQ$73, AQ$74,FALSE),"o")=$D$5,IFERROR(VLOOKUP(VLOOKUP($B28, Dependencies!$B$2:$G$230, 3,FALSE), $B$14:AQ$73, AQ$74,FALSE),"o")=$D$5,IFERROR(VLOOKUP(VLOOKUP($B28, Dependencies!$B$2:$G$230, 4,FALSE), $B$14:AQ$73, AQ$74,FALSE),"o")=$D$5,IFERROR(VLOOKUP(VLOOKUP($B28, Dependencies!$B$2:$G$230, 5,FALSE), $B$14:AQ$73, AQ$74,FALSE),"o")=$D$5,IFERROR(VLOOKUP(VLOOKUP($B28, Dependencies!$B$2:$G$230, 6,FALSE), $B$14:AQ$73, AQ$74,FALSE),"o")=$D$5),$D$5,AP28)))</f>
        <v>o</v>
      </c>
      <c r="AR28" s="93" t="s">
        <v>323</v>
      </c>
      <c r="AS28" s="69" t="str">
        <f>IF(AR28=$D$4,AR28,IF(OR(IFERROR(VLOOKUP(VLOOKUP($B28, Dependencies!$B$2:$G$230, 2,FALSE),$B$14:AS$73, AS$74,FALSE),"o")=$D$4,IFERROR(VLOOKUP(VLOOKUP($B28, Dependencies!$B$2:$G$230, 3,FALSE),$B$14:AS$73, AS$74,FALSE),"o")=$D$4,IFERROR(VLOOKUP(VLOOKUP($B28, Dependencies!$B$2:$G$230, 4,FALSE),$B$14:AS$73, AS$74,FALSE),"o")=$D$4,IFERROR(VLOOKUP(VLOOKUP($B28, Dependencies!$B$2:$G$230, 5,FALSE),$B$14:AS$73, AS$74,FALSE),"o")=$D$4,IFERROR(VLOOKUP(VLOOKUP($B28, Dependencies!$B$2:$G$230, 6,FALSE),$B$14:AS$73, AS$74,FALSE),"o")=$D$4),$D$4,IF(OR(IFERROR(VLOOKUP(VLOOKUP($B28, Dependencies!$B$2:$G$230, 2,FALSE), $B$14:AS$73, AS$74,FALSE),"o")=$D$5,IFERROR(VLOOKUP(VLOOKUP($B28, Dependencies!$B$2:$G$230, 3,FALSE), $B$14:AS$73, AS$74,FALSE),"o")=$D$5,IFERROR(VLOOKUP(VLOOKUP($B28, Dependencies!$B$2:$G$230, 4,FALSE), $B$14:AS$73, AS$74,FALSE),"o")=$D$5,IFERROR(VLOOKUP(VLOOKUP($B28, Dependencies!$B$2:$G$230, 5,FALSE), $B$14:AS$73, AS$74,FALSE),"o")=$D$5,IFERROR(VLOOKUP(VLOOKUP($B28, Dependencies!$B$2:$G$230, 6,FALSE), $B$14:AS$73, AS$74,FALSE),"o")=$D$5),$D$5,AR28)))</f>
        <v>o</v>
      </c>
    </row>
    <row r="29" spans="1:47" x14ac:dyDescent="0.2">
      <c r="A29" s="40"/>
      <c r="B29" s="74" t="str">
        <f>MLEOsv2!A17</f>
        <v>MLEO_01_04</v>
      </c>
      <c r="C29" s="74">
        <f>MLEOsv2!C17</f>
        <v>2</v>
      </c>
      <c r="D29" s="44" t="str">
        <f>MLEOsv2!G17</f>
        <v>implement custom constructors.</v>
      </c>
      <c r="E29" s="68" t="b">
        <f>MLEOsv2!H17</f>
        <v>1</v>
      </c>
      <c r="F29" s="94" t="s">
        <v>320</v>
      </c>
      <c r="G29" s="72" t="str">
        <f>IF(F29=$D$4,F29,IF(OR(IFERROR(VLOOKUP(VLOOKUP($B29, Dependencies!$B$2:$G$230, 2,FALSE),$B$14:G$73, G$74,FALSE),"o")=$D$4,IFERROR(VLOOKUP(VLOOKUP($B29, Dependencies!$B$2:$G$230, 3,FALSE),$B$14:G$73, G$74,FALSE),"o")=$D$4,IFERROR(VLOOKUP(VLOOKUP($B29, Dependencies!$B$2:$G$230, 4,FALSE),$B$14:G$73, G$74,FALSE),"o")=$D$4,IFERROR(VLOOKUP(VLOOKUP($B29, Dependencies!$B$2:$G$230, 5,FALSE),$B$14:G$73, G$74,FALSE),"o")=$D$4,IFERROR(VLOOKUP(VLOOKUP($B29, Dependencies!$B$2:$G$230, 6,FALSE),$B$14:G$73, G$74,FALSE),"o")=$D$4),$D$4,IF(OR(IFERROR(VLOOKUP(VLOOKUP($B29, Dependencies!$B$2:$G$230, 2,FALSE), $B$14:G$73, G$74,FALSE),"o")=$D$5,IFERROR(VLOOKUP(VLOOKUP($B29, Dependencies!$B$2:$G$230, 3,FALSE), $B$14:G$73, G$74,FALSE),"o")=$D$5,IFERROR(VLOOKUP(VLOOKUP($B29, Dependencies!$B$2:$G$230, 4,FALSE), $B$14:G$73, G$74,FALSE),"o")=$D$5,IFERROR(VLOOKUP(VLOOKUP($B29, Dependencies!$B$2:$G$230, 5,FALSE), $B$14:G$73, G$74,FALSE),"o")=$D$5,IFERROR(VLOOKUP(VLOOKUP($B29, Dependencies!$B$2:$G$230, 6,FALSE), $B$14:G$73, G$74,FALSE),"o")=$D$5),$D$5,F29)))</f>
        <v>r</v>
      </c>
      <c r="H29" s="94" t="s">
        <v>321</v>
      </c>
      <c r="I29" s="72" t="str">
        <f>IF(H29=$D$4,H29,IF(OR(IFERROR(VLOOKUP(VLOOKUP($B29, Dependencies!$B$2:$G$230, 2,FALSE),$B$14:I$73, I$74,FALSE),"o")=$D$4,IFERROR(VLOOKUP(VLOOKUP($B29, Dependencies!$B$2:$G$230, 3,FALSE),$B$14:I$73, I$74,FALSE),"o")=$D$4,IFERROR(VLOOKUP(VLOOKUP($B29, Dependencies!$B$2:$G$230, 4,FALSE),$B$14:I$73, I$74,FALSE),"o")=$D$4,IFERROR(VLOOKUP(VLOOKUP($B29, Dependencies!$B$2:$G$230, 5,FALSE),$B$14:I$73, I$74,FALSE),"o")=$D$4,IFERROR(VLOOKUP(VLOOKUP($B29, Dependencies!$B$2:$G$230, 6,FALSE),$B$14:I$73, I$74,FALSE),"o")=$D$4),$D$4,IF(OR(IFERROR(VLOOKUP(VLOOKUP($B29, Dependencies!$B$2:$G$230, 2,FALSE), $B$14:I$73, I$74,FALSE),"o")=$D$5,IFERROR(VLOOKUP(VLOOKUP($B29, Dependencies!$B$2:$G$230, 3,FALSE), $B$14:I$73, I$74,FALSE),"o")=$D$5,IFERROR(VLOOKUP(VLOOKUP($B29, Dependencies!$B$2:$G$230, 4,FALSE), $B$14:I$73, I$74,FALSE),"o")=$D$5,IFERROR(VLOOKUP(VLOOKUP($B29, Dependencies!$B$2:$G$230, 5,FALSE), $B$14:I$73, I$74,FALSE),"o")=$D$5,IFERROR(VLOOKUP(VLOOKUP($B29, Dependencies!$B$2:$G$230, 6,FALSE), $B$14:I$73, I$74,FALSE),"o")=$D$5),$D$5,H29)))</f>
        <v>pr</v>
      </c>
      <c r="J29" s="94" t="s">
        <v>321</v>
      </c>
      <c r="K29" s="72" t="str">
        <f>IF(J29=$D$4,J29,IF(OR(IFERROR(VLOOKUP(VLOOKUP($B29, Dependencies!$B$2:$G$230, 2,FALSE),$B$14:K$73, K$74,FALSE),"o")=$D$4,IFERROR(VLOOKUP(VLOOKUP($B29, Dependencies!$B$2:$G$230, 3,FALSE),$B$14:K$73, K$74,FALSE),"o")=$D$4,IFERROR(VLOOKUP(VLOOKUP($B29, Dependencies!$B$2:$G$230, 4,FALSE),$B$14:K$73, K$74,FALSE),"o")=$D$4,IFERROR(VLOOKUP(VLOOKUP($B29, Dependencies!$B$2:$G$230, 5,FALSE),$B$14:K$73, K$74,FALSE),"o")=$D$4,IFERROR(VLOOKUP(VLOOKUP($B29, Dependencies!$B$2:$G$230, 6,FALSE),$B$14:K$73, K$74,FALSE),"o")=$D$4),$D$4,IF(OR(IFERROR(VLOOKUP(VLOOKUP($B29, Dependencies!$B$2:$G$230, 2,FALSE), $B$14:K$73, K$74,FALSE),"o")=$D$5,IFERROR(VLOOKUP(VLOOKUP($B29, Dependencies!$B$2:$G$230, 3,FALSE), $B$14:K$73, K$74,FALSE),"o")=$D$5,IFERROR(VLOOKUP(VLOOKUP($B29, Dependencies!$B$2:$G$230, 4,FALSE), $B$14:K$73, K$74,FALSE),"o")=$D$5,IFERROR(VLOOKUP(VLOOKUP($B29, Dependencies!$B$2:$G$230, 5,FALSE), $B$14:K$73, K$74,FALSE),"o")=$D$5,IFERROR(VLOOKUP(VLOOKUP($B29, Dependencies!$B$2:$G$230, 6,FALSE), $B$14:K$73, K$74,FALSE),"o")=$D$5),$D$5,J29)))</f>
        <v>r</v>
      </c>
      <c r="L29" s="94" t="s">
        <v>323</v>
      </c>
      <c r="M29" s="72" t="str">
        <f>IF(L29=$D$4,L29,IF(OR(IFERROR(VLOOKUP(VLOOKUP($B29, Dependencies!$B$2:$G$230, 2,FALSE),$B$14:M$73, M$74,FALSE),"o")=$D$4,IFERROR(VLOOKUP(VLOOKUP($B29, Dependencies!$B$2:$G$230, 3,FALSE),$B$14:M$73, M$74,FALSE),"o")=$D$4,IFERROR(VLOOKUP(VLOOKUP($B29, Dependencies!$B$2:$G$230, 4,FALSE),$B$14:M$73, M$74,FALSE),"o")=$D$4,IFERROR(VLOOKUP(VLOOKUP($B29, Dependencies!$B$2:$G$230, 5,FALSE),$B$14:M$73, M$74,FALSE),"o")=$D$4,IFERROR(VLOOKUP(VLOOKUP($B29, Dependencies!$B$2:$G$230, 6,FALSE),$B$14:M$73, M$74,FALSE),"o")=$D$4),$D$4,IF(OR(IFERROR(VLOOKUP(VLOOKUP($B29, Dependencies!$B$2:$G$230, 2,FALSE), $B$14:M$73, M$74,FALSE),"o")=$D$5,IFERROR(VLOOKUP(VLOOKUP($B29, Dependencies!$B$2:$G$230, 3,FALSE), $B$14:M$73, M$74,FALSE),"o")=$D$5,IFERROR(VLOOKUP(VLOOKUP($B29, Dependencies!$B$2:$G$230, 4,FALSE), $B$14:M$73, M$74,FALSE),"o")=$D$5,IFERROR(VLOOKUP(VLOOKUP($B29, Dependencies!$B$2:$G$230, 5,FALSE), $B$14:M$73, M$74,FALSE),"o")=$D$5,IFERROR(VLOOKUP(VLOOKUP($B29, Dependencies!$B$2:$G$230, 6,FALSE), $B$14:M$73, M$74,FALSE),"o")=$D$5),$D$5,L29)))</f>
        <v>r</v>
      </c>
      <c r="N29" s="94" t="s">
        <v>323</v>
      </c>
      <c r="O29" s="72" t="str">
        <f>IF(N29=$D$4,N29,IF(OR(IFERROR(VLOOKUP(VLOOKUP($B29, Dependencies!$B$2:$G$230, 2,FALSE),$B$14:O$73, O$74,FALSE),"o")=$D$4,IFERROR(VLOOKUP(VLOOKUP($B29, Dependencies!$B$2:$G$230, 3,FALSE),$B$14:O$73, O$74,FALSE),"o")=$D$4,IFERROR(VLOOKUP(VLOOKUP($B29, Dependencies!$B$2:$G$230, 4,FALSE),$B$14:O$73, O$74,FALSE),"o")=$D$4,IFERROR(VLOOKUP(VLOOKUP($B29, Dependencies!$B$2:$G$230, 5,FALSE),$B$14:O$73, O$74,FALSE),"o")=$D$4,IFERROR(VLOOKUP(VLOOKUP($B29, Dependencies!$B$2:$G$230, 6,FALSE),$B$14:O$73, O$74,FALSE),"o")=$D$4),$D$4,IF(OR(IFERROR(VLOOKUP(VLOOKUP($B29, Dependencies!$B$2:$G$230, 2,FALSE), $B$14:O$73, O$74,FALSE),"o")=$D$5,IFERROR(VLOOKUP(VLOOKUP($B29, Dependencies!$B$2:$G$230, 3,FALSE), $B$14:O$73, O$74,FALSE),"o")=$D$5,IFERROR(VLOOKUP(VLOOKUP($B29, Dependencies!$B$2:$G$230, 4,FALSE), $B$14:O$73, O$74,FALSE),"o")=$D$5,IFERROR(VLOOKUP(VLOOKUP($B29, Dependencies!$B$2:$G$230, 5,FALSE), $B$14:O$73, O$74,FALSE),"o")=$D$5,IFERROR(VLOOKUP(VLOOKUP($B29, Dependencies!$B$2:$G$230, 6,FALSE), $B$14:O$73, O$74,FALSE),"o")=$D$5),$D$5,N29)))</f>
        <v>o</v>
      </c>
      <c r="P29" s="94" t="s">
        <v>323</v>
      </c>
      <c r="Q29" s="72" t="str">
        <f>IF(P29=$D$4,P29,IF(OR(IFERROR(VLOOKUP(VLOOKUP($B29, Dependencies!$B$2:$G$230, 2,FALSE),$B$14:Q$73, Q$74,FALSE),"o")=$D$4,IFERROR(VLOOKUP(VLOOKUP($B29, Dependencies!$B$2:$G$230, 3,FALSE),$B$14:Q$73, Q$74,FALSE),"o")=$D$4,IFERROR(VLOOKUP(VLOOKUP($B29, Dependencies!$B$2:$G$230, 4,FALSE),$B$14:Q$73, Q$74,FALSE),"o")=$D$4,IFERROR(VLOOKUP(VLOOKUP($B29, Dependencies!$B$2:$G$230, 5,FALSE),$B$14:Q$73, Q$74,FALSE),"o")=$D$4,IFERROR(VLOOKUP(VLOOKUP($B29, Dependencies!$B$2:$G$230, 6,FALSE),$B$14:Q$73, Q$74,FALSE),"o")=$D$4),$D$4,IF(OR(IFERROR(VLOOKUP(VLOOKUP($B29, Dependencies!$B$2:$G$230, 2,FALSE), $B$14:Q$73, Q$74,FALSE),"o")=$D$5,IFERROR(VLOOKUP(VLOOKUP($B29, Dependencies!$B$2:$G$230, 3,FALSE), $B$14:Q$73, Q$74,FALSE),"o")=$D$5,IFERROR(VLOOKUP(VLOOKUP($B29, Dependencies!$B$2:$G$230, 4,FALSE), $B$14:Q$73, Q$74,FALSE),"o")=$D$5,IFERROR(VLOOKUP(VLOOKUP($B29, Dependencies!$B$2:$G$230, 5,FALSE), $B$14:Q$73, Q$74,FALSE),"o")=$D$5,IFERROR(VLOOKUP(VLOOKUP($B29, Dependencies!$B$2:$G$230, 6,FALSE), $B$14:Q$73, Q$74,FALSE),"o")=$D$5),$D$5,P29)))</f>
        <v>o</v>
      </c>
      <c r="R29" s="94" t="s">
        <v>323</v>
      </c>
      <c r="S29" s="72" t="str">
        <f>IF(R29=$D$4,R29,IF(OR(IFERROR(VLOOKUP(VLOOKUP($B29, Dependencies!$B$2:$G$230, 2,FALSE),$B$14:S$73, S$74,FALSE),"o")=$D$4,IFERROR(VLOOKUP(VLOOKUP($B29, Dependencies!$B$2:$G$230, 3,FALSE),$B$14:S$73, S$74,FALSE),"o")=$D$4,IFERROR(VLOOKUP(VLOOKUP($B29, Dependencies!$B$2:$G$230, 4,FALSE),$B$14:S$73, S$74,FALSE),"o")=$D$4,IFERROR(VLOOKUP(VLOOKUP($B29, Dependencies!$B$2:$G$230, 5,FALSE),$B$14:S$73, S$74,FALSE),"o")=$D$4,IFERROR(VLOOKUP(VLOOKUP($B29, Dependencies!$B$2:$G$230, 6,FALSE),$B$14:S$73, S$74,FALSE),"o")=$D$4),$D$4,IF(OR(IFERROR(VLOOKUP(VLOOKUP($B29, Dependencies!$B$2:$G$230, 2,FALSE), $B$14:S$73, S$74,FALSE),"o")=$D$5,IFERROR(VLOOKUP(VLOOKUP($B29, Dependencies!$B$2:$G$230, 3,FALSE), $B$14:S$73, S$74,FALSE),"o")=$D$5,IFERROR(VLOOKUP(VLOOKUP($B29, Dependencies!$B$2:$G$230, 4,FALSE), $B$14:S$73, S$74,FALSE),"o")=$D$5,IFERROR(VLOOKUP(VLOOKUP($B29, Dependencies!$B$2:$G$230, 5,FALSE), $B$14:S$73, S$74,FALSE),"o")=$D$5,IFERROR(VLOOKUP(VLOOKUP($B29, Dependencies!$B$2:$G$230, 6,FALSE), $B$14:S$73, S$74,FALSE),"o")=$D$5),$D$5,R29)))</f>
        <v>o</v>
      </c>
      <c r="T29" s="94" t="s">
        <v>323</v>
      </c>
      <c r="U29" s="72" t="str">
        <f>IF(T29=$D$4,T29,IF(OR(IFERROR(VLOOKUP(VLOOKUP($B29, Dependencies!$B$2:$G$230, 2,FALSE),$B$14:U$73, U$74,FALSE),"o")=$D$4,IFERROR(VLOOKUP(VLOOKUP($B29, Dependencies!$B$2:$G$230, 3,FALSE),$B$14:U$73, U$74,FALSE),"o")=$D$4,IFERROR(VLOOKUP(VLOOKUP($B29, Dependencies!$B$2:$G$230, 4,FALSE),$B$14:U$73, U$74,FALSE),"o")=$D$4,IFERROR(VLOOKUP(VLOOKUP($B29, Dependencies!$B$2:$G$230, 5,FALSE),$B$14:U$73, U$74,FALSE),"o")=$D$4,IFERROR(VLOOKUP(VLOOKUP($B29, Dependencies!$B$2:$G$230, 6,FALSE),$B$14:U$73, U$74,FALSE),"o")=$D$4),$D$4,IF(OR(IFERROR(VLOOKUP(VLOOKUP($B29, Dependencies!$B$2:$G$230, 2,FALSE), $B$14:U$73, U$74,FALSE),"o")=$D$5,IFERROR(VLOOKUP(VLOOKUP($B29, Dependencies!$B$2:$G$230, 3,FALSE), $B$14:U$73, U$74,FALSE),"o")=$D$5,IFERROR(VLOOKUP(VLOOKUP($B29, Dependencies!$B$2:$G$230, 4,FALSE), $B$14:U$73, U$74,FALSE),"o")=$D$5,IFERROR(VLOOKUP(VLOOKUP($B29, Dependencies!$B$2:$G$230, 5,FALSE), $B$14:U$73, U$74,FALSE),"o")=$D$5,IFERROR(VLOOKUP(VLOOKUP($B29, Dependencies!$B$2:$G$230, 6,FALSE), $B$14:U$73, U$74,FALSE),"o")=$D$5),$D$5,T29)))</f>
        <v>o</v>
      </c>
      <c r="V29" s="94" t="s">
        <v>323</v>
      </c>
      <c r="W29" s="72" t="str">
        <f>IF(V29=$D$4,V29,IF(OR(IFERROR(VLOOKUP(VLOOKUP($B29, Dependencies!$B$2:$G$230, 2,FALSE),$B$14:W$73, W$74,FALSE),"o")=$D$4,IFERROR(VLOOKUP(VLOOKUP($B29, Dependencies!$B$2:$G$230, 3,FALSE),$B$14:W$73, W$74,FALSE),"o")=$D$4,IFERROR(VLOOKUP(VLOOKUP($B29, Dependencies!$B$2:$G$230, 4,FALSE),$B$14:W$73, W$74,FALSE),"o")=$D$4,IFERROR(VLOOKUP(VLOOKUP($B29, Dependencies!$B$2:$G$230, 5,FALSE),$B$14:W$73, W$74,FALSE),"o")=$D$4,IFERROR(VLOOKUP(VLOOKUP($B29, Dependencies!$B$2:$G$230, 6,FALSE),$B$14:W$73, W$74,FALSE),"o")=$D$4),$D$4,IF(OR(IFERROR(VLOOKUP(VLOOKUP($B29, Dependencies!$B$2:$G$230, 2,FALSE), $B$14:W$73, W$74,FALSE),"o")=$D$5,IFERROR(VLOOKUP(VLOOKUP($B29, Dependencies!$B$2:$G$230, 3,FALSE), $B$14:W$73, W$74,FALSE),"o")=$D$5,IFERROR(VLOOKUP(VLOOKUP($B29, Dependencies!$B$2:$G$230, 4,FALSE), $B$14:W$73, W$74,FALSE),"o")=$D$5,IFERROR(VLOOKUP(VLOOKUP($B29, Dependencies!$B$2:$G$230, 5,FALSE), $B$14:W$73, W$74,FALSE),"o")=$D$5,IFERROR(VLOOKUP(VLOOKUP($B29, Dependencies!$B$2:$G$230, 6,FALSE), $B$14:W$73, W$74,FALSE),"o")=$D$5),$D$5,V29)))</f>
        <v>o</v>
      </c>
      <c r="X29" s="94" t="s">
        <v>323</v>
      </c>
      <c r="Y29" s="72" t="str">
        <f>IF(X29=$D$4,X29,IF(OR(IFERROR(VLOOKUP(VLOOKUP($B29, Dependencies!$B$2:$G$230, 2,FALSE),$B$14:Y$73, Y$74,FALSE),"o")=$D$4,IFERROR(VLOOKUP(VLOOKUP($B29, Dependencies!$B$2:$G$230, 3,FALSE),$B$14:Y$73, Y$74,FALSE),"o")=$D$4,IFERROR(VLOOKUP(VLOOKUP($B29, Dependencies!$B$2:$G$230, 4,FALSE),$B$14:Y$73, Y$74,FALSE),"o")=$D$4,IFERROR(VLOOKUP(VLOOKUP($B29, Dependencies!$B$2:$G$230, 5,FALSE),$B$14:Y$73, Y$74,FALSE),"o")=$D$4,IFERROR(VLOOKUP(VLOOKUP($B29, Dependencies!$B$2:$G$230, 6,FALSE),$B$14:Y$73, Y$74,FALSE),"o")=$D$4),$D$4,IF(OR(IFERROR(VLOOKUP(VLOOKUP($B29, Dependencies!$B$2:$G$230, 2,FALSE), $B$14:Y$73, Y$74,FALSE),"o")=$D$5,IFERROR(VLOOKUP(VLOOKUP($B29, Dependencies!$B$2:$G$230, 3,FALSE), $B$14:Y$73, Y$74,FALSE),"o")=$D$5,IFERROR(VLOOKUP(VLOOKUP($B29, Dependencies!$B$2:$G$230, 4,FALSE), $B$14:Y$73, Y$74,FALSE),"o")=$D$5,IFERROR(VLOOKUP(VLOOKUP($B29, Dependencies!$B$2:$G$230, 5,FALSE), $B$14:Y$73, Y$74,FALSE),"o")=$D$5,IFERROR(VLOOKUP(VLOOKUP($B29, Dependencies!$B$2:$G$230, 6,FALSE), $B$14:Y$73, Y$74,FALSE),"o")=$D$5),$D$5,X29)))</f>
        <v>o</v>
      </c>
      <c r="Z29" s="94" t="s">
        <v>323</v>
      </c>
      <c r="AA29" s="72" t="str">
        <f>IF(Z29=$D$4,Z29,IF(OR(IFERROR(VLOOKUP(VLOOKUP($B29, Dependencies!$B$2:$G$230, 2,FALSE),$B$14:AA$73, AA$74,FALSE),"o")=$D$4,IFERROR(VLOOKUP(VLOOKUP($B29, Dependencies!$B$2:$G$230, 3,FALSE),$B$14:AA$73, AA$74,FALSE),"o")=$D$4,IFERROR(VLOOKUP(VLOOKUP($B29, Dependencies!$B$2:$G$230, 4,FALSE),$B$14:AA$73, AA$74,FALSE),"o")=$D$4,IFERROR(VLOOKUP(VLOOKUP($B29, Dependencies!$B$2:$G$230, 5,FALSE),$B$14:AA$73, AA$74,FALSE),"o")=$D$4,IFERROR(VLOOKUP(VLOOKUP($B29, Dependencies!$B$2:$G$230, 6,FALSE),$B$14:AA$73, AA$74,FALSE),"o")=$D$4),$D$4,IF(OR(IFERROR(VLOOKUP(VLOOKUP($B29, Dependencies!$B$2:$G$230, 2,FALSE), $B$14:AA$73, AA$74,FALSE),"o")=$D$5,IFERROR(VLOOKUP(VLOOKUP($B29, Dependencies!$B$2:$G$230, 3,FALSE), $B$14:AA$73, AA$74,FALSE),"o")=$D$5,IFERROR(VLOOKUP(VLOOKUP($B29, Dependencies!$B$2:$G$230, 4,FALSE), $B$14:AA$73, AA$74,FALSE),"o")=$D$5,IFERROR(VLOOKUP(VLOOKUP($B29, Dependencies!$B$2:$G$230, 5,FALSE), $B$14:AA$73, AA$74,FALSE),"o")=$D$5,IFERROR(VLOOKUP(VLOOKUP($B29, Dependencies!$B$2:$G$230, 6,FALSE), $B$14:AA$73, AA$74,FALSE),"o")=$D$5),$D$5,Z29)))</f>
        <v>o</v>
      </c>
      <c r="AB29" s="94" t="s">
        <v>323</v>
      </c>
      <c r="AC29" s="72" t="str">
        <f>IF(AB29=$D$4,AB29,IF(OR(IFERROR(VLOOKUP(VLOOKUP($B29, Dependencies!$B$2:$G$230, 2,FALSE),$B$14:AC$73, AC$74,FALSE),"o")=$D$4,IFERROR(VLOOKUP(VLOOKUP($B29, Dependencies!$B$2:$G$230, 3,FALSE),$B$14:AC$73, AC$74,FALSE),"o")=$D$4,IFERROR(VLOOKUP(VLOOKUP($B29, Dependencies!$B$2:$G$230, 4,FALSE),$B$14:AC$73, AC$74,FALSE),"o")=$D$4,IFERROR(VLOOKUP(VLOOKUP($B29, Dependencies!$B$2:$G$230, 5,FALSE),$B$14:AC$73, AC$74,FALSE),"o")=$D$4,IFERROR(VLOOKUP(VLOOKUP($B29, Dependencies!$B$2:$G$230, 6,FALSE),$B$14:AC$73, AC$74,FALSE),"o")=$D$4),$D$4,IF(OR(IFERROR(VLOOKUP(VLOOKUP($B29, Dependencies!$B$2:$G$230, 2,FALSE), $B$14:AC$73, AC$74,FALSE),"o")=$D$5,IFERROR(VLOOKUP(VLOOKUP($B29, Dependencies!$B$2:$G$230, 3,FALSE), $B$14:AC$73, AC$74,FALSE),"o")=$D$5,IFERROR(VLOOKUP(VLOOKUP($B29, Dependencies!$B$2:$G$230, 4,FALSE), $B$14:AC$73, AC$74,FALSE),"o")=$D$5,IFERROR(VLOOKUP(VLOOKUP($B29, Dependencies!$B$2:$G$230, 5,FALSE), $B$14:AC$73, AC$74,FALSE),"o")=$D$5,IFERROR(VLOOKUP(VLOOKUP($B29, Dependencies!$B$2:$G$230, 6,FALSE), $B$14:AC$73, AC$74,FALSE),"o")=$D$5),$D$5,AB29)))</f>
        <v>o</v>
      </c>
      <c r="AD29" s="94" t="s">
        <v>323</v>
      </c>
      <c r="AE29" s="72" t="str">
        <f>IF(AD29=$D$4,AD29,IF(OR(IFERROR(VLOOKUP(VLOOKUP($B29, Dependencies!$B$2:$G$230, 2,FALSE),$B$14:AE$73, AE$74,FALSE),"o")=$D$4,IFERROR(VLOOKUP(VLOOKUP($B29, Dependencies!$B$2:$G$230, 3,FALSE),$B$14:AE$73, AE$74,FALSE),"o")=$D$4,IFERROR(VLOOKUP(VLOOKUP($B29, Dependencies!$B$2:$G$230, 4,FALSE),$B$14:AE$73, AE$74,FALSE),"o")=$D$4,IFERROR(VLOOKUP(VLOOKUP($B29, Dependencies!$B$2:$G$230, 5,FALSE),$B$14:AE$73, AE$74,FALSE),"o")=$D$4,IFERROR(VLOOKUP(VLOOKUP($B29, Dependencies!$B$2:$G$230, 6,FALSE),$B$14:AE$73, AE$74,FALSE),"o")=$D$4),$D$4,IF(OR(IFERROR(VLOOKUP(VLOOKUP($B29, Dependencies!$B$2:$G$230, 2,FALSE), $B$14:AE$73, AE$74,FALSE),"o")=$D$5,IFERROR(VLOOKUP(VLOOKUP($B29, Dependencies!$B$2:$G$230, 3,FALSE), $B$14:AE$73, AE$74,FALSE),"o")=$D$5,IFERROR(VLOOKUP(VLOOKUP($B29, Dependencies!$B$2:$G$230, 4,FALSE), $B$14:AE$73, AE$74,FALSE),"o")=$D$5,IFERROR(VLOOKUP(VLOOKUP($B29, Dependencies!$B$2:$G$230, 5,FALSE), $B$14:AE$73, AE$74,FALSE),"o")=$D$5,IFERROR(VLOOKUP(VLOOKUP($B29, Dependencies!$B$2:$G$230, 6,FALSE), $B$14:AE$73, AE$74,FALSE),"o")=$D$5),$D$5,AD29)))</f>
        <v>o</v>
      </c>
      <c r="AF29" s="94" t="s">
        <v>323</v>
      </c>
      <c r="AG29" s="72" t="str">
        <f>IF(AF29=$D$4,AF29,IF(OR(IFERROR(VLOOKUP(VLOOKUP($B29, Dependencies!$B$2:$G$230, 2,FALSE),$B$14:AG$73, AG$74,FALSE),"o")=$D$4,IFERROR(VLOOKUP(VLOOKUP($B29, Dependencies!$B$2:$G$230, 3,FALSE),$B$14:AG$73, AG$74,FALSE),"o")=$D$4,IFERROR(VLOOKUP(VLOOKUP($B29, Dependencies!$B$2:$G$230, 4,FALSE),$B$14:AG$73, AG$74,FALSE),"o")=$D$4,IFERROR(VLOOKUP(VLOOKUP($B29, Dependencies!$B$2:$G$230, 5,FALSE),$B$14:AG$73, AG$74,FALSE),"o")=$D$4,IFERROR(VLOOKUP(VLOOKUP($B29, Dependencies!$B$2:$G$230, 6,FALSE),$B$14:AG$73, AG$74,FALSE),"o")=$D$4),$D$4,IF(OR(IFERROR(VLOOKUP(VLOOKUP($B29, Dependencies!$B$2:$G$230, 2,FALSE), $B$14:AG$73, AG$74,FALSE),"o")=$D$5,IFERROR(VLOOKUP(VLOOKUP($B29, Dependencies!$B$2:$G$230, 3,FALSE), $B$14:AG$73, AG$74,FALSE),"o")=$D$5,IFERROR(VLOOKUP(VLOOKUP($B29, Dependencies!$B$2:$G$230, 4,FALSE), $B$14:AG$73, AG$74,FALSE),"o")=$D$5,IFERROR(VLOOKUP(VLOOKUP($B29, Dependencies!$B$2:$G$230, 5,FALSE), $B$14:AG$73, AG$74,FALSE),"o")=$D$5,IFERROR(VLOOKUP(VLOOKUP($B29, Dependencies!$B$2:$G$230, 6,FALSE), $B$14:AG$73, AG$74,FALSE),"o")=$D$5),$D$5,AF29)))</f>
        <v>o</v>
      </c>
      <c r="AH29" s="94" t="s">
        <v>323</v>
      </c>
      <c r="AI29" s="72" t="str">
        <f>IF(AH29=$D$4,AH29,IF(OR(IFERROR(VLOOKUP(VLOOKUP($B29, Dependencies!$B$2:$G$230, 2,FALSE),$B$14:AI$73, AI$74,FALSE),"o")=$D$4,IFERROR(VLOOKUP(VLOOKUP($B29, Dependencies!$B$2:$G$230, 3,FALSE),$B$14:AI$73, AI$74,FALSE),"o")=$D$4,IFERROR(VLOOKUP(VLOOKUP($B29, Dependencies!$B$2:$G$230, 4,FALSE),$B$14:AI$73, AI$74,FALSE),"o")=$D$4,IFERROR(VLOOKUP(VLOOKUP($B29, Dependencies!$B$2:$G$230, 5,FALSE),$B$14:AI$73, AI$74,FALSE),"o")=$D$4,IFERROR(VLOOKUP(VLOOKUP($B29, Dependencies!$B$2:$G$230, 6,FALSE),$B$14:AI$73, AI$74,FALSE),"o")=$D$4),$D$4,IF(OR(IFERROR(VLOOKUP(VLOOKUP($B29, Dependencies!$B$2:$G$230, 2,FALSE), $B$14:AI$73, AI$74,FALSE),"o")=$D$5,IFERROR(VLOOKUP(VLOOKUP($B29, Dependencies!$B$2:$G$230, 3,FALSE), $B$14:AI$73, AI$74,FALSE),"o")=$D$5,IFERROR(VLOOKUP(VLOOKUP($B29, Dependencies!$B$2:$G$230, 4,FALSE), $B$14:AI$73, AI$74,FALSE),"o")=$D$5,IFERROR(VLOOKUP(VLOOKUP($B29, Dependencies!$B$2:$G$230, 5,FALSE), $B$14:AI$73, AI$74,FALSE),"o")=$D$5,IFERROR(VLOOKUP(VLOOKUP($B29, Dependencies!$B$2:$G$230, 6,FALSE), $B$14:AI$73, AI$74,FALSE),"o")=$D$5),$D$5,AH29)))</f>
        <v>o</v>
      </c>
      <c r="AJ29" s="94" t="s">
        <v>323</v>
      </c>
      <c r="AK29" s="72" t="str">
        <f>IF(AJ29=$D$4,AJ29,IF(OR(IFERROR(VLOOKUP(VLOOKUP($B29, Dependencies!$B$2:$G$230, 2,FALSE),$B$14:AK$73, AK$74,FALSE),"o")=$D$4,IFERROR(VLOOKUP(VLOOKUP($B29, Dependencies!$B$2:$G$230, 3,FALSE),$B$14:AK$73, AK$74,FALSE),"o")=$D$4,IFERROR(VLOOKUP(VLOOKUP($B29, Dependencies!$B$2:$G$230, 4,FALSE),$B$14:AK$73, AK$74,FALSE),"o")=$D$4,IFERROR(VLOOKUP(VLOOKUP($B29, Dependencies!$B$2:$G$230, 5,FALSE),$B$14:AK$73, AK$74,FALSE),"o")=$D$4,IFERROR(VLOOKUP(VLOOKUP($B29, Dependencies!$B$2:$G$230, 6,FALSE),$B$14:AK$73, AK$74,FALSE),"o")=$D$4),$D$4,IF(OR(IFERROR(VLOOKUP(VLOOKUP($B29, Dependencies!$B$2:$G$230, 2,FALSE), $B$14:AK$73, AK$74,FALSE),"o")=$D$5,IFERROR(VLOOKUP(VLOOKUP($B29, Dependencies!$B$2:$G$230, 3,FALSE), $B$14:AK$73, AK$74,FALSE),"o")=$D$5,IFERROR(VLOOKUP(VLOOKUP($B29, Dependencies!$B$2:$G$230, 4,FALSE), $B$14:AK$73, AK$74,FALSE),"o")=$D$5,IFERROR(VLOOKUP(VLOOKUP($B29, Dependencies!$B$2:$G$230, 5,FALSE), $B$14:AK$73, AK$74,FALSE),"o")=$D$5,IFERROR(VLOOKUP(VLOOKUP($B29, Dependencies!$B$2:$G$230, 6,FALSE), $B$14:AK$73, AK$74,FALSE),"o")=$D$5),$D$5,AJ29)))</f>
        <v>o</v>
      </c>
      <c r="AL29" s="94" t="s">
        <v>323</v>
      </c>
      <c r="AM29" s="72" t="str">
        <f>IF(AL29=$D$4,AL29,IF(OR(IFERROR(VLOOKUP(VLOOKUP($B29, Dependencies!$B$2:$G$230, 2,FALSE),$B$14:AM$73, AM$74,FALSE),"o")=$D$4,IFERROR(VLOOKUP(VLOOKUP($B29, Dependencies!$B$2:$G$230, 3,FALSE),$B$14:AM$73, AM$74,FALSE),"o")=$D$4,IFERROR(VLOOKUP(VLOOKUP($B29, Dependencies!$B$2:$G$230, 4,FALSE),$B$14:AM$73, AM$74,FALSE),"o")=$D$4,IFERROR(VLOOKUP(VLOOKUP($B29, Dependencies!$B$2:$G$230, 5,FALSE),$B$14:AM$73, AM$74,FALSE),"o")=$D$4,IFERROR(VLOOKUP(VLOOKUP($B29, Dependencies!$B$2:$G$230, 6,FALSE),$B$14:AM$73, AM$74,FALSE),"o")=$D$4),$D$4,IF(OR(IFERROR(VLOOKUP(VLOOKUP($B29, Dependencies!$B$2:$G$230, 2,FALSE), $B$14:AM$73, AM$74,FALSE),"o")=$D$5,IFERROR(VLOOKUP(VLOOKUP($B29, Dependencies!$B$2:$G$230, 3,FALSE), $B$14:AM$73, AM$74,FALSE),"o")=$D$5,IFERROR(VLOOKUP(VLOOKUP($B29, Dependencies!$B$2:$G$230, 4,FALSE), $B$14:AM$73, AM$74,FALSE),"o")=$D$5,IFERROR(VLOOKUP(VLOOKUP($B29, Dependencies!$B$2:$G$230, 5,FALSE), $B$14:AM$73, AM$74,FALSE),"o")=$D$5,IFERROR(VLOOKUP(VLOOKUP($B29, Dependencies!$B$2:$G$230, 6,FALSE), $B$14:AM$73, AM$74,FALSE),"o")=$D$5),$D$5,AL29)))</f>
        <v>o</v>
      </c>
      <c r="AN29" s="94" t="s">
        <v>323</v>
      </c>
      <c r="AO29" s="72" t="str">
        <f>IF(AN29=$D$4,AN29,IF(OR(IFERROR(VLOOKUP(VLOOKUP($B29, Dependencies!$B$2:$G$230, 2,FALSE),$B$14:AO$73, AO$74,FALSE),"o")=$D$4,IFERROR(VLOOKUP(VLOOKUP($B29, Dependencies!$B$2:$G$230, 3,FALSE),$B$14:AO$73, AO$74,FALSE),"o")=$D$4,IFERROR(VLOOKUP(VLOOKUP($B29, Dependencies!$B$2:$G$230, 4,FALSE),$B$14:AO$73, AO$74,FALSE),"o")=$D$4,IFERROR(VLOOKUP(VLOOKUP($B29, Dependencies!$B$2:$G$230, 5,FALSE),$B$14:AO$73, AO$74,FALSE),"o")=$D$4,IFERROR(VLOOKUP(VLOOKUP($B29, Dependencies!$B$2:$G$230, 6,FALSE),$B$14:AO$73, AO$74,FALSE),"o")=$D$4),$D$4,IF(OR(IFERROR(VLOOKUP(VLOOKUP($B29, Dependencies!$B$2:$G$230, 2,FALSE), $B$14:AO$73, AO$74,FALSE),"o")=$D$5,IFERROR(VLOOKUP(VLOOKUP($B29, Dependencies!$B$2:$G$230, 3,FALSE), $B$14:AO$73, AO$74,FALSE),"o")=$D$5,IFERROR(VLOOKUP(VLOOKUP($B29, Dependencies!$B$2:$G$230, 4,FALSE), $B$14:AO$73, AO$74,FALSE),"o")=$D$5,IFERROR(VLOOKUP(VLOOKUP($B29, Dependencies!$B$2:$G$230, 5,FALSE), $B$14:AO$73, AO$74,FALSE),"o")=$D$5,IFERROR(VLOOKUP(VLOOKUP($B29, Dependencies!$B$2:$G$230, 6,FALSE), $B$14:AO$73, AO$74,FALSE),"o")=$D$5),$D$5,AN29)))</f>
        <v>o</v>
      </c>
      <c r="AP29" s="94" t="s">
        <v>323</v>
      </c>
      <c r="AQ29" s="72" t="str">
        <f>IF(AP29=$D$4,AP29,IF(OR(IFERROR(VLOOKUP(VLOOKUP($B29, Dependencies!$B$2:$G$230, 2,FALSE),$B$14:AQ$73, AQ$74,FALSE),"o")=$D$4,IFERROR(VLOOKUP(VLOOKUP($B29, Dependencies!$B$2:$G$230, 3,FALSE),$B$14:AQ$73, AQ$74,FALSE),"o")=$D$4,IFERROR(VLOOKUP(VLOOKUP($B29, Dependencies!$B$2:$G$230, 4,FALSE),$B$14:AQ$73, AQ$74,FALSE),"o")=$D$4,IFERROR(VLOOKUP(VLOOKUP($B29, Dependencies!$B$2:$G$230, 5,FALSE),$B$14:AQ$73, AQ$74,FALSE),"o")=$D$4,IFERROR(VLOOKUP(VLOOKUP($B29, Dependencies!$B$2:$G$230, 6,FALSE),$B$14:AQ$73, AQ$74,FALSE),"o")=$D$4),$D$4,IF(OR(IFERROR(VLOOKUP(VLOOKUP($B29, Dependencies!$B$2:$G$230, 2,FALSE), $B$14:AQ$73, AQ$74,FALSE),"o")=$D$5,IFERROR(VLOOKUP(VLOOKUP($B29, Dependencies!$B$2:$G$230, 3,FALSE), $B$14:AQ$73, AQ$74,FALSE),"o")=$D$5,IFERROR(VLOOKUP(VLOOKUP($B29, Dependencies!$B$2:$G$230, 4,FALSE), $B$14:AQ$73, AQ$74,FALSE),"o")=$D$5,IFERROR(VLOOKUP(VLOOKUP($B29, Dependencies!$B$2:$G$230, 5,FALSE), $B$14:AQ$73, AQ$74,FALSE),"o")=$D$5,IFERROR(VLOOKUP(VLOOKUP($B29, Dependencies!$B$2:$G$230, 6,FALSE), $B$14:AQ$73, AQ$74,FALSE),"o")=$D$5),$D$5,AP29)))</f>
        <v>o</v>
      </c>
      <c r="AR29" s="94" t="s">
        <v>323</v>
      </c>
      <c r="AS29" s="71" t="str">
        <f>IF(AR29=$D$4,AR29,IF(OR(IFERROR(VLOOKUP(VLOOKUP($B29, Dependencies!$B$2:$G$230, 2,FALSE),$B$14:AS$73, AS$74,FALSE),"o")=$D$4,IFERROR(VLOOKUP(VLOOKUP($B29, Dependencies!$B$2:$G$230, 3,FALSE),$B$14:AS$73, AS$74,FALSE),"o")=$D$4,IFERROR(VLOOKUP(VLOOKUP($B29, Dependencies!$B$2:$G$230, 4,FALSE),$B$14:AS$73, AS$74,FALSE),"o")=$D$4,IFERROR(VLOOKUP(VLOOKUP($B29, Dependencies!$B$2:$G$230, 5,FALSE),$B$14:AS$73, AS$74,FALSE),"o")=$D$4,IFERROR(VLOOKUP(VLOOKUP($B29, Dependencies!$B$2:$G$230, 6,FALSE),$B$14:AS$73, AS$74,FALSE),"o")=$D$4),$D$4,IF(OR(IFERROR(VLOOKUP(VLOOKUP($B29, Dependencies!$B$2:$G$230, 2,FALSE), $B$14:AS$73, AS$74,FALSE),"o")=$D$5,IFERROR(VLOOKUP(VLOOKUP($B29, Dependencies!$B$2:$G$230, 3,FALSE), $B$14:AS$73, AS$74,FALSE),"o")=$D$5,IFERROR(VLOOKUP(VLOOKUP($B29, Dependencies!$B$2:$G$230, 4,FALSE), $B$14:AS$73, AS$74,FALSE),"o")=$D$5,IFERROR(VLOOKUP(VLOOKUP($B29, Dependencies!$B$2:$G$230, 5,FALSE), $B$14:AS$73, AS$74,FALSE),"o")=$D$5,IFERROR(VLOOKUP(VLOOKUP($B29, Dependencies!$B$2:$G$230, 6,FALSE), $B$14:AS$73, AS$74,FALSE),"o")=$D$5),$D$5,AR29)))</f>
        <v>o</v>
      </c>
    </row>
    <row r="30" spans="1:47" x14ac:dyDescent="0.2">
      <c r="A30" s="40"/>
      <c r="B30" s="73" t="str">
        <f>MLEOsv2!A18</f>
        <v>MLEO_01_05</v>
      </c>
      <c r="C30" s="73">
        <f>MLEOsv2!C18</f>
        <v>2</v>
      </c>
      <c r="D30" s="42" t="str">
        <f>MLEOsv2!G18</f>
        <v>implement overloaded methods.</v>
      </c>
      <c r="E30" s="51" t="b">
        <f>MLEOsv2!H18</f>
        <v>0</v>
      </c>
      <c r="F30" s="93" t="s">
        <v>320</v>
      </c>
      <c r="G30" s="70" t="str">
        <f>IF(F30=$D$4,F30,IF(OR(IFERROR(VLOOKUP(VLOOKUP($B30, Dependencies!$B$2:$G$230, 2,FALSE),$B$14:G$73, G$74,FALSE),"o")=$D$4,IFERROR(VLOOKUP(VLOOKUP($B30, Dependencies!$B$2:$G$230, 3,FALSE),$B$14:G$73, G$74,FALSE),"o")=$D$4,IFERROR(VLOOKUP(VLOOKUP($B30, Dependencies!$B$2:$G$230, 4,FALSE),$B$14:G$73, G$74,FALSE),"o")=$D$4,IFERROR(VLOOKUP(VLOOKUP($B30, Dependencies!$B$2:$G$230, 5,FALSE),$B$14:G$73, G$74,FALSE),"o")=$D$4,IFERROR(VLOOKUP(VLOOKUP($B30, Dependencies!$B$2:$G$230, 6,FALSE),$B$14:G$73, G$74,FALSE),"o")=$D$4),$D$4,IF(OR(IFERROR(VLOOKUP(VLOOKUP($B30, Dependencies!$B$2:$G$230, 2,FALSE), $B$14:G$73, G$74,FALSE),"o")=$D$5,IFERROR(VLOOKUP(VLOOKUP($B30, Dependencies!$B$2:$G$230, 3,FALSE), $B$14:G$73, G$74,FALSE),"o")=$D$5,IFERROR(VLOOKUP(VLOOKUP($B30, Dependencies!$B$2:$G$230, 4,FALSE), $B$14:G$73, G$74,FALSE),"o")=$D$5,IFERROR(VLOOKUP(VLOOKUP($B30, Dependencies!$B$2:$G$230, 5,FALSE), $B$14:G$73, G$74,FALSE),"o")=$D$5,IFERROR(VLOOKUP(VLOOKUP($B30, Dependencies!$B$2:$G$230, 6,FALSE), $B$14:G$73, G$74,FALSE),"o")=$D$5),$D$5,F30)))</f>
        <v>r</v>
      </c>
      <c r="H30" s="93" t="s">
        <v>321</v>
      </c>
      <c r="I30" s="70" t="str">
        <f>IF(H30=$D$4,H30,IF(OR(IFERROR(VLOOKUP(VLOOKUP($B30, Dependencies!$B$2:$G$230, 2,FALSE),$B$14:I$73, I$74,FALSE),"o")=$D$4,IFERROR(VLOOKUP(VLOOKUP($B30, Dependencies!$B$2:$G$230, 3,FALSE),$B$14:I$73, I$74,FALSE),"o")=$D$4,IFERROR(VLOOKUP(VLOOKUP($B30, Dependencies!$B$2:$G$230, 4,FALSE),$B$14:I$73, I$74,FALSE),"o")=$D$4,IFERROR(VLOOKUP(VLOOKUP($B30, Dependencies!$B$2:$G$230, 5,FALSE),$B$14:I$73, I$74,FALSE),"o")=$D$4,IFERROR(VLOOKUP(VLOOKUP($B30, Dependencies!$B$2:$G$230, 6,FALSE),$B$14:I$73, I$74,FALSE),"o")=$D$4),$D$4,IF(OR(IFERROR(VLOOKUP(VLOOKUP($B30, Dependencies!$B$2:$G$230, 2,FALSE), $B$14:I$73, I$74,FALSE),"o")=$D$5,IFERROR(VLOOKUP(VLOOKUP($B30, Dependencies!$B$2:$G$230, 3,FALSE), $B$14:I$73, I$74,FALSE),"o")=$D$5,IFERROR(VLOOKUP(VLOOKUP($B30, Dependencies!$B$2:$G$230, 4,FALSE), $B$14:I$73, I$74,FALSE),"o")=$D$5,IFERROR(VLOOKUP(VLOOKUP($B30, Dependencies!$B$2:$G$230, 5,FALSE), $B$14:I$73, I$74,FALSE),"o")=$D$5,IFERROR(VLOOKUP(VLOOKUP($B30, Dependencies!$B$2:$G$230, 6,FALSE), $B$14:I$73, I$74,FALSE),"o")=$D$5),$D$5,H30)))</f>
        <v>pr</v>
      </c>
      <c r="J30" s="93" t="s">
        <v>323</v>
      </c>
      <c r="K30" s="70" t="str">
        <f>IF(J30=$D$4,J30,IF(OR(IFERROR(VLOOKUP(VLOOKUP($B30, Dependencies!$B$2:$G$230, 2,FALSE),$B$14:K$73, K$74,FALSE),"o")=$D$4,IFERROR(VLOOKUP(VLOOKUP($B30, Dependencies!$B$2:$G$230, 3,FALSE),$B$14:K$73, K$74,FALSE),"o")=$D$4,IFERROR(VLOOKUP(VLOOKUP($B30, Dependencies!$B$2:$G$230, 4,FALSE),$B$14:K$73, K$74,FALSE),"o")=$D$4,IFERROR(VLOOKUP(VLOOKUP($B30, Dependencies!$B$2:$G$230, 5,FALSE),$B$14:K$73, K$74,FALSE),"o")=$D$4,IFERROR(VLOOKUP(VLOOKUP($B30, Dependencies!$B$2:$G$230, 6,FALSE),$B$14:K$73, K$74,FALSE),"o")=$D$4),$D$4,IF(OR(IFERROR(VLOOKUP(VLOOKUP($B30, Dependencies!$B$2:$G$230, 2,FALSE), $B$14:K$73, K$74,FALSE),"o")=$D$5,IFERROR(VLOOKUP(VLOOKUP($B30, Dependencies!$B$2:$G$230, 3,FALSE), $B$14:K$73, K$74,FALSE),"o")=$D$5,IFERROR(VLOOKUP(VLOOKUP($B30, Dependencies!$B$2:$G$230, 4,FALSE), $B$14:K$73, K$74,FALSE),"o")=$D$5,IFERROR(VLOOKUP(VLOOKUP($B30, Dependencies!$B$2:$G$230, 5,FALSE), $B$14:K$73, K$74,FALSE),"o")=$D$5,IFERROR(VLOOKUP(VLOOKUP($B30, Dependencies!$B$2:$G$230, 6,FALSE), $B$14:K$73, K$74,FALSE),"o")=$D$5),$D$5,J30)))</f>
        <v>o</v>
      </c>
      <c r="L30" s="93" t="s">
        <v>323</v>
      </c>
      <c r="M30" s="70" t="str">
        <f>IF(L30=$D$4,L30,IF(OR(IFERROR(VLOOKUP(VLOOKUP($B30, Dependencies!$B$2:$G$230, 2,FALSE),$B$14:M$73, M$74,FALSE),"o")=$D$4,IFERROR(VLOOKUP(VLOOKUP($B30, Dependencies!$B$2:$G$230, 3,FALSE),$B$14:M$73, M$74,FALSE),"o")=$D$4,IFERROR(VLOOKUP(VLOOKUP($B30, Dependencies!$B$2:$G$230, 4,FALSE),$B$14:M$73, M$74,FALSE),"o")=$D$4,IFERROR(VLOOKUP(VLOOKUP($B30, Dependencies!$B$2:$G$230, 5,FALSE),$B$14:M$73, M$74,FALSE),"o")=$D$4,IFERROR(VLOOKUP(VLOOKUP($B30, Dependencies!$B$2:$G$230, 6,FALSE),$B$14:M$73, M$74,FALSE),"o")=$D$4),$D$4,IF(OR(IFERROR(VLOOKUP(VLOOKUP($B30, Dependencies!$B$2:$G$230, 2,FALSE), $B$14:M$73, M$74,FALSE),"o")=$D$5,IFERROR(VLOOKUP(VLOOKUP($B30, Dependencies!$B$2:$G$230, 3,FALSE), $B$14:M$73, M$74,FALSE),"o")=$D$5,IFERROR(VLOOKUP(VLOOKUP($B30, Dependencies!$B$2:$G$230, 4,FALSE), $B$14:M$73, M$74,FALSE),"o")=$D$5,IFERROR(VLOOKUP(VLOOKUP($B30, Dependencies!$B$2:$G$230, 5,FALSE), $B$14:M$73, M$74,FALSE),"o")=$D$5,IFERROR(VLOOKUP(VLOOKUP($B30, Dependencies!$B$2:$G$230, 6,FALSE), $B$14:M$73, M$74,FALSE),"o")=$D$5),$D$5,L30)))</f>
        <v>o</v>
      </c>
      <c r="N30" s="93" t="s">
        <v>323</v>
      </c>
      <c r="O30" s="70" t="str">
        <f>IF(N30=$D$4,N30,IF(OR(IFERROR(VLOOKUP(VLOOKUP($B30, Dependencies!$B$2:$G$230, 2,FALSE),$B$14:O$73, O$74,FALSE),"o")=$D$4,IFERROR(VLOOKUP(VLOOKUP($B30, Dependencies!$B$2:$G$230, 3,FALSE),$B$14:O$73, O$74,FALSE),"o")=$D$4,IFERROR(VLOOKUP(VLOOKUP($B30, Dependencies!$B$2:$G$230, 4,FALSE),$B$14:O$73, O$74,FALSE),"o")=$D$4,IFERROR(VLOOKUP(VLOOKUP($B30, Dependencies!$B$2:$G$230, 5,FALSE),$B$14:O$73, O$74,FALSE),"o")=$D$4,IFERROR(VLOOKUP(VLOOKUP($B30, Dependencies!$B$2:$G$230, 6,FALSE),$B$14:O$73, O$74,FALSE),"o")=$D$4),$D$4,IF(OR(IFERROR(VLOOKUP(VLOOKUP($B30, Dependencies!$B$2:$G$230, 2,FALSE), $B$14:O$73, O$74,FALSE),"o")=$D$5,IFERROR(VLOOKUP(VLOOKUP($B30, Dependencies!$B$2:$G$230, 3,FALSE), $B$14:O$73, O$74,FALSE),"o")=$D$5,IFERROR(VLOOKUP(VLOOKUP($B30, Dependencies!$B$2:$G$230, 4,FALSE), $B$14:O$73, O$74,FALSE),"o")=$D$5,IFERROR(VLOOKUP(VLOOKUP($B30, Dependencies!$B$2:$G$230, 5,FALSE), $B$14:O$73, O$74,FALSE),"o")=$D$5,IFERROR(VLOOKUP(VLOOKUP($B30, Dependencies!$B$2:$G$230, 6,FALSE), $B$14:O$73, O$74,FALSE),"o")=$D$5),$D$5,N30)))</f>
        <v>o</v>
      </c>
      <c r="P30" s="93" t="s">
        <v>323</v>
      </c>
      <c r="Q30" s="70" t="str">
        <f>IF(P30=$D$4,P30,IF(OR(IFERROR(VLOOKUP(VLOOKUP($B30, Dependencies!$B$2:$G$230, 2,FALSE),$B$14:Q$73, Q$74,FALSE),"o")=$D$4,IFERROR(VLOOKUP(VLOOKUP($B30, Dependencies!$B$2:$G$230, 3,FALSE),$B$14:Q$73, Q$74,FALSE),"o")=$D$4,IFERROR(VLOOKUP(VLOOKUP($B30, Dependencies!$B$2:$G$230, 4,FALSE),$B$14:Q$73, Q$74,FALSE),"o")=$D$4,IFERROR(VLOOKUP(VLOOKUP($B30, Dependencies!$B$2:$G$230, 5,FALSE),$B$14:Q$73, Q$74,FALSE),"o")=$D$4,IFERROR(VLOOKUP(VLOOKUP($B30, Dependencies!$B$2:$G$230, 6,FALSE),$B$14:Q$73, Q$74,FALSE),"o")=$D$4),$D$4,IF(OR(IFERROR(VLOOKUP(VLOOKUP($B30, Dependencies!$B$2:$G$230, 2,FALSE), $B$14:Q$73, Q$74,FALSE),"o")=$D$5,IFERROR(VLOOKUP(VLOOKUP($B30, Dependencies!$B$2:$G$230, 3,FALSE), $B$14:Q$73, Q$74,FALSE),"o")=$D$5,IFERROR(VLOOKUP(VLOOKUP($B30, Dependencies!$B$2:$G$230, 4,FALSE), $B$14:Q$73, Q$74,FALSE),"o")=$D$5,IFERROR(VLOOKUP(VLOOKUP($B30, Dependencies!$B$2:$G$230, 5,FALSE), $B$14:Q$73, Q$74,FALSE),"o")=$D$5,IFERROR(VLOOKUP(VLOOKUP($B30, Dependencies!$B$2:$G$230, 6,FALSE), $B$14:Q$73, Q$74,FALSE),"o")=$D$5),$D$5,P30)))</f>
        <v>o</v>
      </c>
      <c r="R30" s="93" t="s">
        <v>323</v>
      </c>
      <c r="S30" s="70" t="str">
        <f>IF(R30=$D$4,R30,IF(OR(IFERROR(VLOOKUP(VLOOKUP($B30, Dependencies!$B$2:$G$230, 2,FALSE),$B$14:S$73, S$74,FALSE),"o")=$D$4,IFERROR(VLOOKUP(VLOOKUP($B30, Dependencies!$B$2:$G$230, 3,FALSE),$B$14:S$73, S$74,FALSE),"o")=$D$4,IFERROR(VLOOKUP(VLOOKUP($B30, Dependencies!$B$2:$G$230, 4,FALSE),$B$14:S$73, S$74,FALSE),"o")=$D$4,IFERROR(VLOOKUP(VLOOKUP($B30, Dependencies!$B$2:$G$230, 5,FALSE),$B$14:S$73, S$74,FALSE),"o")=$D$4,IFERROR(VLOOKUP(VLOOKUP($B30, Dependencies!$B$2:$G$230, 6,FALSE),$B$14:S$73, S$74,FALSE),"o")=$D$4),$D$4,IF(OR(IFERROR(VLOOKUP(VLOOKUP($B30, Dependencies!$B$2:$G$230, 2,FALSE), $B$14:S$73, S$74,FALSE),"o")=$D$5,IFERROR(VLOOKUP(VLOOKUP($B30, Dependencies!$B$2:$G$230, 3,FALSE), $B$14:S$73, S$74,FALSE),"o")=$D$5,IFERROR(VLOOKUP(VLOOKUP($B30, Dependencies!$B$2:$G$230, 4,FALSE), $B$14:S$73, S$74,FALSE),"o")=$D$5,IFERROR(VLOOKUP(VLOOKUP($B30, Dependencies!$B$2:$G$230, 5,FALSE), $B$14:S$73, S$74,FALSE),"o")=$D$5,IFERROR(VLOOKUP(VLOOKUP($B30, Dependencies!$B$2:$G$230, 6,FALSE), $B$14:S$73, S$74,FALSE),"o")=$D$5),$D$5,R30)))</f>
        <v>o</v>
      </c>
      <c r="T30" s="93" t="s">
        <v>323</v>
      </c>
      <c r="U30" s="70" t="str">
        <f>IF(T30=$D$4,T30,IF(OR(IFERROR(VLOOKUP(VLOOKUP($B30, Dependencies!$B$2:$G$230, 2,FALSE),$B$14:U$73, U$74,FALSE),"o")=$D$4,IFERROR(VLOOKUP(VLOOKUP($B30, Dependencies!$B$2:$G$230, 3,FALSE),$B$14:U$73, U$74,FALSE),"o")=$D$4,IFERROR(VLOOKUP(VLOOKUP($B30, Dependencies!$B$2:$G$230, 4,FALSE),$B$14:U$73, U$74,FALSE),"o")=$D$4,IFERROR(VLOOKUP(VLOOKUP($B30, Dependencies!$B$2:$G$230, 5,FALSE),$B$14:U$73, U$74,FALSE),"o")=$D$4,IFERROR(VLOOKUP(VLOOKUP($B30, Dependencies!$B$2:$G$230, 6,FALSE),$B$14:U$73, U$74,FALSE),"o")=$D$4),$D$4,IF(OR(IFERROR(VLOOKUP(VLOOKUP($B30, Dependencies!$B$2:$G$230, 2,FALSE), $B$14:U$73, U$74,FALSE),"o")=$D$5,IFERROR(VLOOKUP(VLOOKUP($B30, Dependencies!$B$2:$G$230, 3,FALSE), $B$14:U$73, U$74,FALSE),"o")=$D$5,IFERROR(VLOOKUP(VLOOKUP($B30, Dependencies!$B$2:$G$230, 4,FALSE), $B$14:U$73, U$74,FALSE),"o")=$D$5,IFERROR(VLOOKUP(VLOOKUP($B30, Dependencies!$B$2:$G$230, 5,FALSE), $B$14:U$73, U$74,FALSE),"o")=$D$5,IFERROR(VLOOKUP(VLOOKUP($B30, Dependencies!$B$2:$G$230, 6,FALSE), $B$14:U$73, U$74,FALSE),"o")=$D$5),$D$5,T30)))</f>
        <v>o</v>
      </c>
      <c r="V30" s="93" t="s">
        <v>323</v>
      </c>
      <c r="W30" s="70" t="str">
        <f>IF(V30=$D$4,V30,IF(OR(IFERROR(VLOOKUP(VLOOKUP($B30, Dependencies!$B$2:$G$230, 2,FALSE),$B$14:W$73, W$74,FALSE),"o")=$D$4,IFERROR(VLOOKUP(VLOOKUP($B30, Dependencies!$B$2:$G$230, 3,FALSE),$B$14:W$73, W$74,FALSE),"o")=$D$4,IFERROR(VLOOKUP(VLOOKUP($B30, Dependencies!$B$2:$G$230, 4,FALSE),$B$14:W$73, W$74,FALSE),"o")=$D$4,IFERROR(VLOOKUP(VLOOKUP($B30, Dependencies!$B$2:$G$230, 5,FALSE),$B$14:W$73, W$74,FALSE),"o")=$D$4,IFERROR(VLOOKUP(VLOOKUP($B30, Dependencies!$B$2:$G$230, 6,FALSE),$B$14:W$73, W$74,FALSE),"o")=$D$4),$D$4,IF(OR(IFERROR(VLOOKUP(VLOOKUP($B30, Dependencies!$B$2:$G$230, 2,FALSE), $B$14:W$73, W$74,FALSE),"o")=$D$5,IFERROR(VLOOKUP(VLOOKUP($B30, Dependencies!$B$2:$G$230, 3,FALSE), $B$14:W$73, W$74,FALSE),"o")=$D$5,IFERROR(VLOOKUP(VLOOKUP($B30, Dependencies!$B$2:$G$230, 4,FALSE), $B$14:W$73, W$74,FALSE),"o")=$D$5,IFERROR(VLOOKUP(VLOOKUP($B30, Dependencies!$B$2:$G$230, 5,FALSE), $B$14:W$73, W$74,FALSE),"o")=$D$5,IFERROR(VLOOKUP(VLOOKUP($B30, Dependencies!$B$2:$G$230, 6,FALSE), $B$14:W$73, W$74,FALSE),"o")=$D$5),$D$5,V30)))</f>
        <v>o</v>
      </c>
      <c r="X30" s="93" t="s">
        <v>323</v>
      </c>
      <c r="Y30" s="70" t="str">
        <f>IF(X30=$D$4,X30,IF(OR(IFERROR(VLOOKUP(VLOOKUP($B30, Dependencies!$B$2:$G$230, 2,FALSE),$B$14:Y$73, Y$74,FALSE),"o")=$D$4,IFERROR(VLOOKUP(VLOOKUP($B30, Dependencies!$B$2:$G$230, 3,FALSE),$B$14:Y$73, Y$74,FALSE),"o")=$D$4,IFERROR(VLOOKUP(VLOOKUP($B30, Dependencies!$B$2:$G$230, 4,FALSE),$B$14:Y$73, Y$74,FALSE),"o")=$D$4,IFERROR(VLOOKUP(VLOOKUP($B30, Dependencies!$B$2:$G$230, 5,FALSE),$B$14:Y$73, Y$74,FALSE),"o")=$D$4,IFERROR(VLOOKUP(VLOOKUP($B30, Dependencies!$B$2:$G$230, 6,FALSE),$B$14:Y$73, Y$74,FALSE),"o")=$D$4),$D$4,IF(OR(IFERROR(VLOOKUP(VLOOKUP($B30, Dependencies!$B$2:$G$230, 2,FALSE), $B$14:Y$73, Y$74,FALSE),"o")=$D$5,IFERROR(VLOOKUP(VLOOKUP($B30, Dependencies!$B$2:$G$230, 3,FALSE), $B$14:Y$73, Y$74,FALSE),"o")=$D$5,IFERROR(VLOOKUP(VLOOKUP($B30, Dependencies!$B$2:$G$230, 4,FALSE), $B$14:Y$73, Y$74,FALSE),"o")=$D$5,IFERROR(VLOOKUP(VLOOKUP($B30, Dependencies!$B$2:$G$230, 5,FALSE), $B$14:Y$73, Y$74,FALSE),"o")=$D$5,IFERROR(VLOOKUP(VLOOKUP($B30, Dependencies!$B$2:$G$230, 6,FALSE), $B$14:Y$73, Y$74,FALSE),"o")=$D$5),$D$5,X30)))</f>
        <v>o</v>
      </c>
      <c r="Z30" s="93" t="s">
        <v>323</v>
      </c>
      <c r="AA30" s="70" t="str">
        <f>IF(Z30=$D$4,Z30,IF(OR(IFERROR(VLOOKUP(VLOOKUP($B30, Dependencies!$B$2:$G$230, 2,FALSE),$B$14:AA$73, AA$74,FALSE),"o")=$D$4,IFERROR(VLOOKUP(VLOOKUP($B30, Dependencies!$B$2:$G$230, 3,FALSE),$B$14:AA$73, AA$74,FALSE),"o")=$D$4,IFERROR(VLOOKUP(VLOOKUP($B30, Dependencies!$B$2:$G$230, 4,FALSE),$B$14:AA$73, AA$74,FALSE),"o")=$D$4,IFERROR(VLOOKUP(VLOOKUP($B30, Dependencies!$B$2:$G$230, 5,FALSE),$B$14:AA$73, AA$74,FALSE),"o")=$D$4,IFERROR(VLOOKUP(VLOOKUP($B30, Dependencies!$B$2:$G$230, 6,FALSE),$B$14:AA$73, AA$74,FALSE),"o")=$D$4),$D$4,IF(OR(IFERROR(VLOOKUP(VLOOKUP($B30, Dependencies!$B$2:$G$230, 2,FALSE), $B$14:AA$73, AA$74,FALSE),"o")=$D$5,IFERROR(VLOOKUP(VLOOKUP($B30, Dependencies!$B$2:$G$230, 3,FALSE), $B$14:AA$73, AA$74,FALSE),"o")=$D$5,IFERROR(VLOOKUP(VLOOKUP($B30, Dependencies!$B$2:$G$230, 4,FALSE), $B$14:AA$73, AA$74,FALSE),"o")=$D$5,IFERROR(VLOOKUP(VLOOKUP($B30, Dependencies!$B$2:$G$230, 5,FALSE), $B$14:AA$73, AA$74,FALSE),"o")=$D$5,IFERROR(VLOOKUP(VLOOKUP($B30, Dependencies!$B$2:$G$230, 6,FALSE), $B$14:AA$73, AA$74,FALSE),"o")=$D$5),$D$5,Z30)))</f>
        <v>o</v>
      </c>
      <c r="AB30" s="93" t="s">
        <v>323</v>
      </c>
      <c r="AC30" s="70" t="str">
        <f>IF(AB30=$D$4,AB30,IF(OR(IFERROR(VLOOKUP(VLOOKUP($B30, Dependencies!$B$2:$G$230, 2,FALSE),$B$14:AC$73, AC$74,FALSE),"o")=$D$4,IFERROR(VLOOKUP(VLOOKUP($B30, Dependencies!$B$2:$G$230, 3,FALSE),$B$14:AC$73, AC$74,FALSE),"o")=$D$4,IFERROR(VLOOKUP(VLOOKUP($B30, Dependencies!$B$2:$G$230, 4,FALSE),$B$14:AC$73, AC$74,FALSE),"o")=$D$4,IFERROR(VLOOKUP(VLOOKUP($B30, Dependencies!$B$2:$G$230, 5,FALSE),$B$14:AC$73, AC$74,FALSE),"o")=$D$4,IFERROR(VLOOKUP(VLOOKUP($B30, Dependencies!$B$2:$G$230, 6,FALSE),$B$14:AC$73, AC$74,FALSE),"o")=$D$4),$D$4,IF(OR(IFERROR(VLOOKUP(VLOOKUP($B30, Dependencies!$B$2:$G$230, 2,FALSE), $B$14:AC$73, AC$74,FALSE),"o")=$D$5,IFERROR(VLOOKUP(VLOOKUP($B30, Dependencies!$B$2:$G$230, 3,FALSE), $B$14:AC$73, AC$74,FALSE),"o")=$D$5,IFERROR(VLOOKUP(VLOOKUP($B30, Dependencies!$B$2:$G$230, 4,FALSE), $B$14:AC$73, AC$74,FALSE),"o")=$D$5,IFERROR(VLOOKUP(VLOOKUP($B30, Dependencies!$B$2:$G$230, 5,FALSE), $B$14:AC$73, AC$74,FALSE),"o")=$D$5,IFERROR(VLOOKUP(VLOOKUP($B30, Dependencies!$B$2:$G$230, 6,FALSE), $B$14:AC$73, AC$74,FALSE),"o")=$D$5),$D$5,AB30)))</f>
        <v>o</v>
      </c>
      <c r="AD30" s="93" t="s">
        <v>323</v>
      </c>
      <c r="AE30" s="70" t="str">
        <f>IF(AD30=$D$4,AD30,IF(OR(IFERROR(VLOOKUP(VLOOKUP($B30, Dependencies!$B$2:$G$230, 2,FALSE),$B$14:AE$73, AE$74,FALSE),"o")=$D$4,IFERROR(VLOOKUP(VLOOKUP($B30, Dependencies!$B$2:$G$230, 3,FALSE),$B$14:AE$73, AE$74,FALSE),"o")=$D$4,IFERROR(VLOOKUP(VLOOKUP($B30, Dependencies!$B$2:$G$230, 4,FALSE),$B$14:AE$73, AE$74,FALSE),"o")=$D$4,IFERROR(VLOOKUP(VLOOKUP($B30, Dependencies!$B$2:$G$230, 5,FALSE),$B$14:AE$73, AE$74,FALSE),"o")=$D$4,IFERROR(VLOOKUP(VLOOKUP($B30, Dependencies!$B$2:$G$230, 6,FALSE),$B$14:AE$73, AE$74,FALSE),"o")=$D$4),$D$4,IF(OR(IFERROR(VLOOKUP(VLOOKUP($B30, Dependencies!$B$2:$G$230, 2,FALSE), $B$14:AE$73, AE$74,FALSE),"o")=$D$5,IFERROR(VLOOKUP(VLOOKUP($B30, Dependencies!$B$2:$G$230, 3,FALSE), $B$14:AE$73, AE$74,FALSE),"o")=$D$5,IFERROR(VLOOKUP(VLOOKUP($B30, Dependencies!$B$2:$G$230, 4,FALSE), $B$14:AE$73, AE$74,FALSE),"o")=$D$5,IFERROR(VLOOKUP(VLOOKUP($B30, Dependencies!$B$2:$G$230, 5,FALSE), $B$14:AE$73, AE$74,FALSE),"o")=$D$5,IFERROR(VLOOKUP(VLOOKUP($B30, Dependencies!$B$2:$G$230, 6,FALSE), $B$14:AE$73, AE$74,FALSE),"o")=$D$5),$D$5,AD30)))</f>
        <v>o</v>
      </c>
      <c r="AF30" s="93" t="s">
        <v>323</v>
      </c>
      <c r="AG30" s="70" t="str">
        <f>IF(AF30=$D$4,AF30,IF(OR(IFERROR(VLOOKUP(VLOOKUP($B30, Dependencies!$B$2:$G$230, 2,FALSE),$B$14:AG$73, AG$74,FALSE),"o")=$D$4,IFERROR(VLOOKUP(VLOOKUP($B30, Dependencies!$B$2:$G$230, 3,FALSE),$B$14:AG$73, AG$74,FALSE),"o")=$D$4,IFERROR(VLOOKUP(VLOOKUP($B30, Dependencies!$B$2:$G$230, 4,FALSE),$B$14:AG$73, AG$74,FALSE),"o")=$D$4,IFERROR(VLOOKUP(VLOOKUP($B30, Dependencies!$B$2:$G$230, 5,FALSE),$B$14:AG$73, AG$74,FALSE),"o")=$D$4,IFERROR(VLOOKUP(VLOOKUP($B30, Dependencies!$B$2:$G$230, 6,FALSE),$B$14:AG$73, AG$74,FALSE),"o")=$D$4),$D$4,IF(OR(IFERROR(VLOOKUP(VLOOKUP($B30, Dependencies!$B$2:$G$230, 2,FALSE), $B$14:AG$73, AG$74,FALSE),"o")=$D$5,IFERROR(VLOOKUP(VLOOKUP($B30, Dependencies!$B$2:$G$230, 3,FALSE), $B$14:AG$73, AG$74,FALSE),"o")=$D$5,IFERROR(VLOOKUP(VLOOKUP($B30, Dependencies!$B$2:$G$230, 4,FALSE), $B$14:AG$73, AG$74,FALSE),"o")=$D$5,IFERROR(VLOOKUP(VLOOKUP($B30, Dependencies!$B$2:$G$230, 5,FALSE), $B$14:AG$73, AG$74,FALSE),"o")=$D$5,IFERROR(VLOOKUP(VLOOKUP($B30, Dependencies!$B$2:$G$230, 6,FALSE), $B$14:AG$73, AG$74,FALSE),"o")=$D$5),$D$5,AF30)))</f>
        <v>o</v>
      </c>
      <c r="AH30" s="93" t="s">
        <v>323</v>
      </c>
      <c r="AI30" s="70" t="str">
        <f>IF(AH30=$D$4,AH30,IF(OR(IFERROR(VLOOKUP(VLOOKUP($B30, Dependencies!$B$2:$G$230, 2,FALSE),$B$14:AI$73, AI$74,FALSE),"o")=$D$4,IFERROR(VLOOKUP(VLOOKUP($B30, Dependencies!$B$2:$G$230, 3,FALSE),$B$14:AI$73, AI$74,FALSE),"o")=$D$4,IFERROR(VLOOKUP(VLOOKUP($B30, Dependencies!$B$2:$G$230, 4,FALSE),$B$14:AI$73, AI$74,FALSE),"o")=$D$4,IFERROR(VLOOKUP(VLOOKUP($B30, Dependencies!$B$2:$G$230, 5,FALSE),$B$14:AI$73, AI$74,FALSE),"o")=$D$4,IFERROR(VLOOKUP(VLOOKUP($B30, Dependencies!$B$2:$G$230, 6,FALSE),$B$14:AI$73, AI$74,FALSE),"o")=$D$4),$D$4,IF(OR(IFERROR(VLOOKUP(VLOOKUP($B30, Dependencies!$B$2:$G$230, 2,FALSE), $B$14:AI$73, AI$74,FALSE),"o")=$D$5,IFERROR(VLOOKUP(VLOOKUP($B30, Dependencies!$B$2:$G$230, 3,FALSE), $B$14:AI$73, AI$74,FALSE),"o")=$D$5,IFERROR(VLOOKUP(VLOOKUP($B30, Dependencies!$B$2:$G$230, 4,FALSE), $B$14:AI$73, AI$74,FALSE),"o")=$D$5,IFERROR(VLOOKUP(VLOOKUP($B30, Dependencies!$B$2:$G$230, 5,FALSE), $B$14:AI$73, AI$74,FALSE),"o")=$D$5,IFERROR(VLOOKUP(VLOOKUP($B30, Dependencies!$B$2:$G$230, 6,FALSE), $B$14:AI$73, AI$74,FALSE),"o")=$D$5),$D$5,AH30)))</f>
        <v>o</v>
      </c>
      <c r="AJ30" s="93" t="s">
        <v>323</v>
      </c>
      <c r="AK30" s="70" t="str">
        <f>IF(AJ30=$D$4,AJ30,IF(OR(IFERROR(VLOOKUP(VLOOKUP($B30, Dependencies!$B$2:$G$230, 2,FALSE),$B$14:AK$73, AK$74,FALSE),"o")=$D$4,IFERROR(VLOOKUP(VLOOKUP($B30, Dependencies!$B$2:$G$230, 3,FALSE),$B$14:AK$73, AK$74,FALSE),"o")=$D$4,IFERROR(VLOOKUP(VLOOKUP($B30, Dependencies!$B$2:$G$230, 4,FALSE),$B$14:AK$73, AK$74,FALSE),"o")=$D$4,IFERROR(VLOOKUP(VLOOKUP($B30, Dependencies!$B$2:$G$230, 5,FALSE),$B$14:AK$73, AK$74,FALSE),"o")=$D$4,IFERROR(VLOOKUP(VLOOKUP($B30, Dependencies!$B$2:$G$230, 6,FALSE),$B$14:AK$73, AK$74,FALSE),"o")=$D$4),$D$4,IF(OR(IFERROR(VLOOKUP(VLOOKUP($B30, Dependencies!$B$2:$G$230, 2,FALSE), $B$14:AK$73, AK$74,FALSE),"o")=$D$5,IFERROR(VLOOKUP(VLOOKUP($B30, Dependencies!$B$2:$G$230, 3,FALSE), $B$14:AK$73, AK$74,FALSE),"o")=$D$5,IFERROR(VLOOKUP(VLOOKUP($B30, Dependencies!$B$2:$G$230, 4,FALSE), $B$14:AK$73, AK$74,FALSE),"o")=$D$5,IFERROR(VLOOKUP(VLOOKUP($B30, Dependencies!$B$2:$G$230, 5,FALSE), $B$14:AK$73, AK$74,FALSE),"o")=$D$5,IFERROR(VLOOKUP(VLOOKUP($B30, Dependencies!$B$2:$G$230, 6,FALSE), $B$14:AK$73, AK$74,FALSE),"o")=$D$5),$D$5,AJ30)))</f>
        <v>o</v>
      </c>
      <c r="AL30" s="93" t="s">
        <v>323</v>
      </c>
      <c r="AM30" s="70" t="str">
        <f>IF(AL30=$D$4,AL30,IF(OR(IFERROR(VLOOKUP(VLOOKUP($B30, Dependencies!$B$2:$G$230, 2,FALSE),$B$14:AM$73, AM$74,FALSE),"o")=$D$4,IFERROR(VLOOKUP(VLOOKUP($B30, Dependencies!$B$2:$G$230, 3,FALSE),$B$14:AM$73, AM$74,FALSE),"o")=$D$4,IFERROR(VLOOKUP(VLOOKUP($B30, Dependencies!$B$2:$G$230, 4,FALSE),$B$14:AM$73, AM$74,FALSE),"o")=$D$4,IFERROR(VLOOKUP(VLOOKUP($B30, Dependencies!$B$2:$G$230, 5,FALSE),$B$14:AM$73, AM$74,FALSE),"o")=$D$4,IFERROR(VLOOKUP(VLOOKUP($B30, Dependencies!$B$2:$G$230, 6,FALSE),$B$14:AM$73, AM$74,FALSE),"o")=$D$4),$D$4,IF(OR(IFERROR(VLOOKUP(VLOOKUP($B30, Dependencies!$B$2:$G$230, 2,FALSE), $B$14:AM$73, AM$74,FALSE),"o")=$D$5,IFERROR(VLOOKUP(VLOOKUP($B30, Dependencies!$B$2:$G$230, 3,FALSE), $B$14:AM$73, AM$74,FALSE),"o")=$D$5,IFERROR(VLOOKUP(VLOOKUP($B30, Dependencies!$B$2:$G$230, 4,FALSE), $B$14:AM$73, AM$74,FALSE),"o")=$D$5,IFERROR(VLOOKUP(VLOOKUP($B30, Dependencies!$B$2:$G$230, 5,FALSE), $B$14:AM$73, AM$74,FALSE),"o")=$D$5,IFERROR(VLOOKUP(VLOOKUP($B30, Dependencies!$B$2:$G$230, 6,FALSE), $B$14:AM$73, AM$74,FALSE),"o")=$D$5),$D$5,AL30)))</f>
        <v>o</v>
      </c>
      <c r="AN30" s="93" t="s">
        <v>323</v>
      </c>
      <c r="AO30" s="70" t="str">
        <f>IF(AN30=$D$4,AN30,IF(OR(IFERROR(VLOOKUP(VLOOKUP($B30, Dependencies!$B$2:$G$230, 2,FALSE),$B$14:AO$73, AO$74,FALSE),"o")=$D$4,IFERROR(VLOOKUP(VLOOKUP($B30, Dependencies!$B$2:$G$230, 3,FALSE),$B$14:AO$73, AO$74,FALSE),"o")=$D$4,IFERROR(VLOOKUP(VLOOKUP($B30, Dependencies!$B$2:$G$230, 4,FALSE),$B$14:AO$73, AO$74,FALSE),"o")=$D$4,IFERROR(VLOOKUP(VLOOKUP($B30, Dependencies!$B$2:$G$230, 5,FALSE),$B$14:AO$73, AO$74,FALSE),"o")=$D$4,IFERROR(VLOOKUP(VLOOKUP($B30, Dependencies!$B$2:$G$230, 6,FALSE),$B$14:AO$73, AO$74,FALSE),"o")=$D$4),$D$4,IF(OR(IFERROR(VLOOKUP(VLOOKUP($B30, Dependencies!$B$2:$G$230, 2,FALSE), $B$14:AO$73, AO$74,FALSE),"o")=$D$5,IFERROR(VLOOKUP(VLOOKUP($B30, Dependencies!$B$2:$G$230, 3,FALSE), $B$14:AO$73, AO$74,FALSE),"o")=$D$5,IFERROR(VLOOKUP(VLOOKUP($B30, Dependencies!$B$2:$G$230, 4,FALSE), $B$14:AO$73, AO$74,FALSE),"o")=$D$5,IFERROR(VLOOKUP(VLOOKUP($B30, Dependencies!$B$2:$G$230, 5,FALSE), $B$14:AO$73, AO$74,FALSE),"o")=$D$5,IFERROR(VLOOKUP(VLOOKUP($B30, Dependencies!$B$2:$G$230, 6,FALSE), $B$14:AO$73, AO$74,FALSE),"o")=$D$5),$D$5,AN30)))</f>
        <v>o</v>
      </c>
      <c r="AP30" s="93" t="s">
        <v>323</v>
      </c>
      <c r="AQ30" s="70" t="str">
        <f>IF(AP30=$D$4,AP30,IF(OR(IFERROR(VLOOKUP(VLOOKUP($B30, Dependencies!$B$2:$G$230, 2,FALSE),$B$14:AQ$73, AQ$74,FALSE),"o")=$D$4,IFERROR(VLOOKUP(VLOOKUP($B30, Dependencies!$B$2:$G$230, 3,FALSE),$B$14:AQ$73, AQ$74,FALSE),"o")=$D$4,IFERROR(VLOOKUP(VLOOKUP($B30, Dependencies!$B$2:$G$230, 4,FALSE),$B$14:AQ$73, AQ$74,FALSE),"o")=$D$4,IFERROR(VLOOKUP(VLOOKUP($B30, Dependencies!$B$2:$G$230, 5,FALSE),$B$14:AQ$73, AQ$74,FALSE),"o")=$D$4,IFERROR(VLOOKUP(VLOOKUP($B30, Dependencies!$B$2:$G$230, 6,FALSE),$B$14:AQ$73, AQ$74,FALSE),"o")=$D$4),$D$4,IF(OR(IFERROR(VLOOKUP(VLOOKUP($B30, Dependencies!$B$2:$G$230, 2,FALSE), $B$14:AQ$73, AQ$74,FALSE),"o")=$D$5,IFERROR(VLOOKUP(VLOOKUP($B30, Dependencies!$B$2:$G$230, 3,FALSE), $B$14:AQ$73, AQ$74,FALSE),"o")=$D$5,IFERROR(VLOOKUP(VLOOKUP($B30, Dependencies!$B$2:$G$230, 4,FALSE), $B$14:AQ$73, AQ$74,FALSE),"o")=$D$5,IFERROR(VLOOKUP(VLOOKUP($B30, Dependencies!$B$2:$G$230, 5,FALSE), $B$14:AQ$73, AQ$74,FALSE),"o")=$D$5,IFERROR(VLOOKUP(VLOOKUP($B30, Dependencies!$B$2:$G$230, 6,FALSE), $B$14:AQ$73, AQ$74,FALSE),"o")=$D$5),$D$5,AP30)))</f>
        <v>o</v>
      </c>
      <c r="AR30" s="93" t="s">
        <v>323</v>
      </c>
      <c r="AS30" s="69" t="str">
        <f>IF(AR30=$D$4,AR30,IF(OR(IFERROR(VLOOKUP(VLOOKUP($B30, Dependencies!$B$2:$G$230, 2,FALSE),$B$14:AS$73, AS$74,FALSE),"o")=$D$4,IFERROR(VLOOKUP(VLOOKUP($B30, Dependencies!$B$2:$G$230, 3,FALSE),$B$14:AS$73, AS$74,FALSE),"o")=$D$4,IFERROR(VLOOKUP(VLOOKUP($B30, Dependencies!$B$2:$G$230, 4,FALSE),$B$14:AS$73, AS$74,FALSE),"o")=$D$4,IFERROR(VLOOKUP(VLOOKUP($B30, Dependencies!$B$2:$G$230, 5,FALSE),$B$14:AS$73, AS$74,FALSE),"o")=$D$4,IFERROR(VLOOKUP(VLOOKUP($B30, Dependencies!$B$2:$G$230, 6,FALSE),$B$14:AS$73, AS$74,FALSE),"o")=$D$4),$D$4,IF(OR(IFERROR(VLOOKUP(VLOOKUP($B30, Dependencies!$B$2:$G$230, 2,FALSE), $B$14:AS$73, AS$74,FALSE),"o")=$D$5,IFERROR(VLOOKUP(VLOOKUP($B30, Dependencies!$B$2:$G$230, 3,FALSE), $B$14:AS$73, AS$74,FALSE),"o")=$D$5,IFERROR(VLOOKUP(VLOOKUP($B30, Dependencies!$B$2:$G$230, 4,FALSE), $B$14:AS$73, AS$74,FALSE),"o")=$D$5,IFERROR(VLOOKUP(VLOOKUP($B30, Dependencies!$B$2:$G$230, 5,FALSE), $B$14:AS$73, AS$74,FALSE),"o")=$D$5,IFERROR(VLOOKUP(VLOOKUP($B30, Dependencies!$B$2:$G$230, 6,FALSE), $B$14:AS$73, AS$74,FALSE),"o")=$D$5),$D$5,AR30)))</f>
        <v>o</v>
      </c>
    </row>
    <row r="31" spans="1:47" x14ac:dyDescent="0.2">
      <c r="A31" s="40"/>
      <c r="B31" s="74" t="str">
        <f>MLEOsv2!A19</f>
        <v>MLEO_01_06</v>
      </c>
      <c r="C31" s="74">
        <f>MLEOsv2!C19</f>
        <v>2</v>
      </c>
      <c r="D31" s="44" t="str">
        <f>MLEOsv2!G19</f>
        <v>implement constructors calling other constructors.</v>
      </c>
      <c r="E31" s="68" t="b">
        <f>MLEOsv2!H19</f>
        <v>1</v>
      </c>
      <c r="F31" s="94" t="s">
        <v>320</v>
      </c>
      <c r="G31" s="72" t="str">
        <f>IF(F31=$D$4,F31,IF(OR(IFERROR(VLOOKUP(VLOOKUP($B31, Dependencies!$B$2:$G$230, 2,FALSE),$B$14:G$73, G$74,FALSE),"o")=$D$4,IFERROR(VLOOKUP(VLOOKUP($B31, Dependencies!$B$2:$G$230, 3,FALSE),$B$14:G$73, G$74,FALSE),"o")=$D$4,IFERROR(VLOOKUP(VLOOKUP($B31, Dependencies!$B$2:$G$230, 4,FALSE),$B$14:G$73, G$74,FALSE),"o")=$D$4,IFERROR(VLOOKUP(VLOOKUP($B31, Dependencies!$B$2:$G$230, 5,FALSE),$B$14:G$73, G$74,FALSE),"o")=$D$4,IFERROR(VLOOKUP(VLOOKUP($B31, Dependencies!$B$2:$G$230, 6,FALSE),$B$14:G$73, G$74,FALSE),"o")=$D$4),$D$4,IF(OR(IFERROR(VLOOKUP(VLOOKUP($B31, Dependencies!$B$2:$G$230, 2,FALSE), $B$14:G$73, G$74,FALSE),"o")=$D$5,IFERROR(VLOOKUP(VLOOKUP($B31, Dependencies!$B$2:$G$230, 3,FALSE), $B$14:G$73, G$74,FALSE),"o")=$D$5,IFERROR(VLOOKUP(VLOOKUP($B31, Dependencies!$B$2:$G$230, 4,FALSE), $B$14:G$73, G$74,FALSE),"o")=$D$5,IFERROR(VLOOKUP(VLOOKUP($B31, Dependencies!$B$2:$G$230, 5,FALSE), $B$14:G$73, G$74,FALSE),"o")=$D$5,IFERROR(VLOOKUP(VLOOKUP($B31, Dependencies!$B$2:$G$230, 6,FALSE), $B$14:G$73, G$74,FALSE),"o")=$D$5),$D$5,F31)))</f>
        <v>r</v>
      </c>
      <c r="H31" s="94" t="s">
        <v>321</v>
      </c>
      <c r="I31" s="72" t="str">
        <f>IF(H31=$D$4,H31,IF(OR(IFERROR(VLOOKUP(VLOOKUP($B31, Dependencies!$B$2:$G$230, 2,FALSE),$B$14:I$73, I$74,FALSE),"o")=$D$4,IFERROR(VLOOKUP(VLOOKUP($B31, Dependencies!$B$2:$G$230, 3,FALSE),$B$14:I$73, I$74,FALSE),"o")=$D$4,IFERROR(VLOOKUP(VLOOKUP($B31, Dependencies!$B$2:$G$230, 4,FALSE),$B$14:I$73, I$74,FALSE),"o")=$D$4,IFERROR(VLOOKUP(VLOOKUP($B31, Dependencies!$B$2:$G$230, 5,FALSE),$B$14:I$73, I$74,FALSE),"o")=$D$4,IFERROR(VLOOKUP(VLOOKUP($B31, Dependencies!$B$2:$G$230, 6,FALSE),$B$14:I$73, I$74,FALSE),"o")=$D$4),$D$4,IF(OR(IFERROR(VLOOKUP(VLOOKUP($B31, Dependencies!$B$2:$G$230, 2,FALSE), $B$14:I$73, I$74,FALSE),"o")=$D$5,IFERROR(VLOOKUP(VLOOKUP($B31, Dependencies!$B$2:$G$230, 3,FALSE), $B$14:I$73, I$74,FALSE),"o")=$D$5,IFERROR(VLOOKUP(VLOOKUP($B31, Dependencies!$B$2:$G$230, 4,FALSE), $B$14:I$73, I$74,FALSE),"o")=$D$5,IFERROR(VLOOKUP(VLOOKUP($B31, Dependencies!$B$2:$G$230, 5,FALSE), $B$14:I$73, I$74,FALSE),"o")=$D$5,IFERROR(VLOOKUP(VLOOKUP($B31, Dependencies!$B$2:$G$230, 6,FALSE), $B$14:I$73, I$74,FALSE),"o")=$D$5),$D$5,H31)))</f>
        <v>pr</v>
      </c>
      <c r="J31" s="94" t="s">
        <v>320</v>
      </c>
      <c r="K31" s="72" t="str">
        <f>IF(J31=$D$4,J31,IF(OR(IFERROR(VLOOKUP(VLOOKUP($B31, Dependencies!$B$2:$G$230, 2,FALSE),$B$14:K$73, K$74,FALSE),"o")=$D$4,IFERROR(VLOOKUP(VLOOKUP($B31, Dependencies!$B$2:$G$230, 3,FALSE),$B$14:K$73, K$74,FALSE),"o")=$D$4,IFERROR(VLOOKUP(VLOOKUP($B31, Dependencies!$B$2:$G$230, 4,FALSE),$B$14:K$73, K$74,FALSE),"o")=$D$4,IFERROR(VLOOKUP(VLOOKUP($B31, Dependencies!$B$2:$G$230, 5,FALSE),$B$14:K$73, K$74,FALSE),"o")=$D$4,IFERROR(VLOOKUP(VLOOKUP($B31, Dependencies!$B$2:$G$230, 6,FALSE),$B$14:K$73, K$74,FALSE),"o")=$D$4),$D$4,IF(OR(IFERROR(VLOOKUP(VLOOKUP($B31, Dependencies!$B$2:$G$230, 2,FALSE), $B$14:K$73, K$74,FALSE),"o")=$D$5,IFERROR(VLOOKUP(VLOOKUP($B31, Dependencies!$B$2:$G$230, 3,FALSE), $B$14:K$73, K$74,FALSE),"o")=$D$5,IFERROR(VLOOKUP(VLOOKUP($B31, Dependencies!$B$2:$G$230, 4,FALSE), $B$14:K$73, K$74,FALSE),"o")=$D$5,IFERROR(VLOOKUP(VLOOKUP($B31, Dependencies!$B$2:$G$230, 5,FALSE), $B$14:K$73, K$74,FALSE),"o")=$D$5,IFERROR(VLOOKUP(VLOOKUP($B31, Dependencies!$B$2:$G$230, 6,FALSE), $B$14:K$73, K$74,FALSE),"o")=$D$5),$D$5,J31)))</f>
        <v>r</v>
      </c>
      <c r="L31" s="94" t="s">
        <v>323</v>
      </c>
      <c r="M31" s="72" t="str">
        <f>IF(L31=$D$4,L31,IF(OR(IFERROR(VLOOKUP(VLOOKUP($B31, Dependencies!$B$2:$G$230, 2,FALSE),$B$14:M$73, M$74,FALSE),"o")=$D$4,IFERROR(VLOOKUP(VLOOKUP($B31, Dependencies!$B$2:$G$230, 3,FALSE),$B$14:M$73, M$74,FALSE),"o")=$D$4,IFERROR(VLOOKUP(VLOOKUP($B31, Dependencies!$B$2:$G$230, 4,FALSE),$B$14:M$73, M$74,FALSE),"o")=$D$4,IFERROR(VLOOKUP(VLOOKUP($B31, Dependencies!$B$2:$G$230, 5,FALSE),$B$14:M$73, M$74,FALSE),"o")=$D$4,IFERROR(VLOOKUP(VLOOKUP($B31, Dependencies!$B$2:$G$230, 6,FALSE),$B$14:M$73, M$74,FALSE),"o")=$D$4),$D$4,IF(OR(IFERROR(VLOOKUP(VLOOKUP($B31, Dependencies!$B$2:$G$230, 2,FALSE), $B$14:M$73, M$74,FALSE),"o")=$D$5,IFERROR(VLOOKUP(VLOOKUP($B31, Dependencies!$B$2:$G$230, 3,FALSE), $B$14:M$73, M$74,FALSE),"o")=$D$5,IFERROR(VLOOKUP(VLOOKUP($B31, Dependencies!$B$2:$G$230, 4,FALSE), $B$14:M$73, M$74,FALSE),"o")=$D$5,IFERROR(VLOOKUP(VLOOKUP($B31, Dependencies!$B$2:$G$230, 5,FALSE), $B$14:M$73, M$74,FALSE),"o")=$D$5,IFERROR(VLOOKUP(VLOOKUP($B31, Dependencies!$B$2:$G$230, 6,FALSE), $B$14:M$73, M$74,FALSE),"o")=$D$5),$D$5,L31)))</f>
        <v>r</v>
      </c>
      <c r="N31" s="94" t="s">
        <v>323</v>
      </c>
      <c r="O31" s="72" t="str">
        <f>IF(N31=$D$4,N31,IF(OR(IFERROR(VLOOKUP(VLOOKUP($B31, Dependencies!$B$2:$G$230, 2,FALSE),$B$14:O$73, O$74,FALSE),"o")=$D$4,IFERROR(VLOOKUP(VLOOKUP($B31, Dependencies!$B$2:$G$230, 3,FALSE),$B$14:O$73, O$74,FALSE),"o")=$D$4,IFERROR(VLOOKUP(VLOOKUP($B31, Dependencies!$B$2:$G$230, 4,FALSE),$B$14:O$73, O$74,FALSE),"o")=$D$4,IFERROR(VLOOKUP(VLOOKUP($B31, Dependencies!$B$2:$G$230, 5,FALSE),$B$14:O$73, O$74,FALSE),"o")=$D$4,IFERROR(VLOOKUP(VLOOKUP($B31, Dependencies!$B$2:$G$230, 6,FALSE),$B$14:O$73, O$74,FALSE),"o")=$D$4),$D$4,IF(OR(IFERROR(VLOOKUP(VLOOKUP($B31, Dependencies!$B$2:$G$230, 2,FALSE), $B$14:O$73, O$74,FALSE),"o")=$D$5,IFERROR(VLOOKUP(VLOOKUP($B31, Dependencies!$B$2:$G$230, 3,FALSE), $B$14:O$73, O$74,FALSE),"o")=$D$5,IFERROR(VLOOKUP(VLOOKUP($B31, Dependencies!$B$2:$G$230, 4,FALSE), $B$14:O$73, O$74,FALSE),"o")=$D$5,IFERROR(VLOOKUP(VLOOKUP($B31, Dependencies!$B$2:$G$230, 5,FALSE), $B$14:O$73, O$74,FALSE),"o")=$D$5,IFERROR(VLOOKUP(VLOOKUP($B31, Dependencies!$B$2:$G$230, 6,FALSE), $B$14:O$73, O$74,FALSE),"o")=$D$5),$D$5,N31)))</f>
        <v>o</v>
      </c>
      <c r="P31" s="94" t="s">
        <v>323</v>
      </c>
      <c r="Q31" s="72" t="str">
        <f>IF(P31=$D$4,P31,IF(OR(IFERROR(VLOOKUP(VLOOKUP($B31, Dependencies!$B$2:$G$230, 2,FALSE),$B$14:Q$73, Q$74,FALSE),"o")=$D$4,IFERROR(VLOOKUP(VLOOKUP($B31, Dependencies!$B$2:$G$230, 3,FALSE),$B$14:Q$73, Q$74,FALSE),"o")=$D$4,IFERROR(VLOOKUP(VLOOKUP($B31, Dependencies!$B$2:$G$230, 4,FALSE),$B$14:Q$73, Q$74,FALSE),"o")=$D$4,IFERROR(VLOOKUP(VLOOKUP($B31, Dependencies!$B$2:$G$230, 5,FALSE),$B$14:Q$73, Q$74,FALSE),"o")=$D$4,IFERROR(VLOOKUP(VLOOKUP($B31, Dependencies!$B$2:$G$230, 6,FALSE),$B$14:Q$73, Q$74,FALSE),"o")=$D$4),$D$4,IF(OR(IFERROR(VLOOKUP(VLOOKUP($B31, Dependencies!$B$2:$G$230, 2,FALSE), $B$14:Q$73, Q$74,FALSE),"o")=$D$5,IFERROR(VLOOKUP(VLOOKUP($B31, Dependencies!$B$2:$G$230, 3,FALSE), $B$14:Q$73, Q$74,FALSE),"o")=$D$5,IFERROR(VLOOKUP(VLOOKUP($B31, Dependencies!$B$2:$G$230, 4,FALSE), $B$14:Q$73, Q$74,FALSE),"o")=$D$5,IFERROR(VLOOKUP(VLOOKUP($B31, Dependencies!$B$2:$G$230, 5,FALSE), $B$14:Q$73, Q$74,FALSE),"o")=$D$5,IFERROR(VLOOKUP(VLOOKUP($B31, Dependencies!$B$2:$G$230, 6,FALSE), $B$14:Q$73, Q$74,FALSE),"o")=$D$5),$D$5,P31)))</f>
        <v>o</v>
      </c>
      <c r="R31" s="94" t="s">
        <v>323</v>
      </c>
      <c r="S31" s="72" t="str">
        <f>IF(R31=$D$4,R31,IF(OR(IFERROR(VLOOKUP(VLOOKUP($B31, Dependencies!$B$2:$G$230, 2,FALSE),$B$14:S$73, S$74,FALSE),"o")=$D$4,IFERROR(VLOOKUP(VLOOKUP($B31, Dependencies!$B$2:$G$230, 3,FALSE),$B$14:S$73, S$74,FALSE),"o")=$D$4,IFERROR(VLOOKUP(VLOOKUP($B31, Dependencies!$B$2:$G$230, 4,FALSE),$B$14:S$73, S$74,FALSE),"o")=$D$4,IFERROR(VLOOKUP(VLOOKUP($B31, Dependencies!$B$2:$G$230, 5,FALSE),$B$14:S$73, S$74,FALSE),"o")=$D$4,IFERROR(VLOOKUP(VLOOKUP($B31, Dependencies!$B$2:$G$230, 6,FALSE),$B$14:S$73, S$74,FALSE),"o")=$D$4),$D$4,IF(OR(IFERROR(VLOOKUP(VLOOKUP($B31, Dependencies!$B$2:$G$230, 2,FALSE), $B$14:S$73, S$74,FALSE),"o")=$D$5,IFERROR(VLOOKUP(VLOOKUP($B31, Dependencies!$B$2:$G$230, 3,FALSE), $B$14:S$73, S$74,FALSE),"o")=$D$5,IFERROR(VLOOKUP(VLOOKUP($B31, Dependencies!$B$2:$G$230, 4,FALSE), $B$14:S$73, S$74,FALSE),"o")=$D$5,IFERROR(VLOOKUP(VLOOKUP($B31, Dependencies!$B$2:$G$230, 5,FALSE), $B$14:S$73, S$74,FALSE),"o")=$D$5,IFERROR(VLOOKUP(VLOOKUP($B31, Dependencies!$B$2:$G$230, 6,FALSE), $B$14:S$73, S$74,FALSE),"o")=$D$5),$D$5,R31)))</f>
        <v>o</v>
      </c>
      <c r="T31" s="94" t="s">
        <v>323</v>
      </c>
      <c r="U31" s="72" t="str">
        <f>IF(T31=$D$4,T31,IF(OR(IFERROR(VLOOKUP(VLOOKUP($B31, Dependencies!$B$2:$G$230, 2,FALSE),$B$14:U$73, U$74,FALSE),"o")=$D$4,IFERROR(VLOOKUP(VLOOKUP($B31, Dependencies!$B$2:$G$230, 3,FALSE),$B$14:U$73, U$74,FALSE),"o")=$D$4,IFERROR(VLOOKUP(VLOOKUP($B31, Dependencies!$B$2:$G$230, 4,FALSE),$B$14:U$73, U$74,FALSE),"o")=$D$4,IFERROR(VLOOKUP(VLOOKUP($B31, Dependencies!$B$2:$G$230, 5,FALSE),$B$14:U$73, U$74,FALSE),"o")=$D$4,IFERROR(VLOOKUP(VLOOKUP($B31, Dependencies!$B$2:$G$230, 6,FALSE),$B$14:U$73, U$74,FALSE),"o")=$D$4),$D$4,IF(OR(IFERROR(VLOOKUP(VLOOKUP($B31, Dependencies!$B$2:$G$230, 2,FALSE), $B$14:U$73, U$74,FALSE),"o")=$D$5,IFERROR(VLOOKUP(VLOOKUP($B31, Dependencies!$B$2:$G$230, 3,FALSE), $B$14:U$73, U$74,FALSE),"o")=$D$5,IFERROR(VLOOKUP(VLOOKUP($B31, Dependencies!$B$2:$G$230, 4,FALSE), $B$14:U$73, U$74,FALSE),"o")=$D$5,IFERROR(VLOOKUP(VLOOKUP($B31, Dependencies!$B$2:$G$230, 5,FALSE), $B$14:U$73, U$74,FALSE),"o")=$D$5,IFERROR(VLOOKUP(VLOOKUP($B31, Dependencies!$B$2:$G$230, 6,FALSE), $B$14:U$73, U$74,FALSE),"o")=$D$5),$D$5,T31)))</f>
        <v>o</v>
      </c>
      <c r="V31" s="94" t="s">
        <v>323</v>
      </c>
      <c r="W31" s="72" t="str">
        <f>IF(V31=$D$4,V31,IF(OR(IFERROR(VLOOKUP(VLOOKUP($B31, Dependencies!$B$2:$G$230, 2,FALSE),$B$14:W$73, W$74,FALSE),"o")=$D$4,IFERROR(VLOOKUP(VLOOKUP($B31, Dependencies!$B$2:$G$230, 3,FALSE),$B$14:W$73, W$74,FALSE),"o")=$D$4,IFERROR(VLOOKUP(VLOOKUP($B31, Dependencies!$B$2:$G$230, 4,FALSE),$B$14:W$73, W$74,FALSE),"o")=$D$4,IFERROR(VLOOKUP(VLOOKUP($B31, Dependencies!$B$2:$G$230, 5,FALSE),$B$14:W$73, W$74,FALSE),"o")=$D$4,IFERROR(VLOOKUP(VLOOKUP($B31, Dependencies!$B$2:$G$230, 6,FALSE),$B$14:W$73, W$74,FALSE),"o")=$D$4),$D$4,IF(OR(IFERROR(VLOOKUP(VLOOKUP($B31, Dependencies!$B$2:$G$230, 2,FALSE), $B$14:W$73, W$74,FALSE),"o")=$D$5,IFERROR(VLOOKUP(VLOOKUP($B31, Dependencies!$B$2:$G$230, 3,FALSE), $B$14:W$73, W$74,FALSE),"o")=$D$5,IFERROR(VLOOKUP(VLOOKUP($B31, Dependencies!$B$2:$G$230, 4,FALSE), $B$14:W$73, W$74,FALSE),"o")=$D$5,IFERROR(VLOOKUP(VLOOKUP($B31, Dependencies!$B$2:$G$230, 5,FALSE), $B$14:W$73, W$74,FALSE),"o")=$D$5,IFERROR(VLOOKUP(VLOOKUP($B31, Dependencies!$B$2:$G$230, 6,FALSE), $B$14:W$73, W$74,FALSE),"o")=$D$5),$D$5,V31)))</f>
        <v>o</v>
      </c>
      <c r="X31" s="94" t="s">
        <v>323</v>
      </c>
      <c r="Y31" s="72" t="str">
        <f>IF(X31=$D$4,X31,IF(OR(IFERROR(VLOOKUP(VLOOKUP($B31, Dependencies!$B$2:$G$230, 2,FALSE),$B$14:Y$73, Y$74,FALSE),"o")=$D$4,IFERROR(VLOOKUP(VLOOKUP($B31, Dependencies!$B$2:$G$230, 3,FALSE),$B$14:Y$73, Y$74,FALSE),"o")=$D$4,IFERROR(VLOOKUP(VLOOKUP($B31, Dependencies!$B$2:$G$230, 4,FALSE),$B$14:Y$73, Y$74,FALSE),"o")=$D$4,IFERROR(VLOOKUP(VLOOKUP($B31, Dependencies!$B$2:$G$230, 5,FALSE),$B$14:Y$73, Y$74,FALSE),"o")=$D$4,IFERROR(VLOOKUP(VLOOKUP($B31, Dependencies!$B$2:$G$230, 6,FALSE),$B$14:Y$73, Y$74,FALSE),"o")=$D$4),$D$4,IF(OR(IFERROR(VLOOKUP(VLOOKUP($B31, Dependencies!$B$2:$G$230, 2,FALSE), $B$14:Y$73, Y$74,FALSE),"o")=$D$5,IFERROR(VLOOKUP(VLOOKUP($B31, Dependencies!$B$2:$G$230, 3,FALSE), $B$14:Y$73, Y$74,FALSE),"o")=$D$5,IFERROR(VLOOKUP(VLOOKUP($B31, Dependencies!$B$2:$G$230, 4,FALSE), $B$14:Y$73, Y$74,FALSE),"o")=$D$5,IFERROR(VLOOKUP(VLOOKUP($B31, Dependencies!$B$2:$G$230, 5,FALSE), $B$14:Y$73, Y$74,FALSE),"o")=$D$5,IFERROR(VLOOKUP(VLOOKUP($B31, Dependencies!$B$2:$G$230, 6,FALSE), $B$14:Y$73, Y$74,FALSE),"o")=$D$5),$D$5,X31)))</f>
        <v>o</v>
      </c>
      <c r="Z31" s="94" t="s">
        <v>323</v>
      </c>
      <c r="AA31" s="72" t="str">
        <f>IF(Z31=$D$4,Z31,IF(OR(IFERROR(VLOOKUP(VLOOKUP($B31, Dependencies!$B$2:$G$230, 2,FALSE),$B$14:AA$73, AA$74,FALSE),"o")=$D$4,IFERROR(VLOOKUP(VLOOKUP($B31, Dependencies!$B$2:$G$230, 3,FALSE),$B$14:AA$73, AA$74,FALSE),"o")=$D$4,IFERROR(VLOOKUP(VLOOKUP($B31, Dependencies!$B$2:$G$230, 4,FALSE),$B$14:AA$73, AA$74,FALSE),"o")=$D$4,IFERROR(VLOOKUP(VLOOKUP($B31, Dependencies!$B$2:$G$230, 5,FALSE),$B$14:AA$73, AA$74,FALSE),"o")=$D$4,IFERROR(VLOOKUP(VLOOKUP($B31, Dependencies!$B$2:$G$230, 6,FALSE),$B$14:AA$73, AA$74,FALSE),"o")=$D$4),$D$4,IF(OR(IFERROR(VLOOKUP(VLOOKUP($B31, Dependencies!$B$2:$G$230, 2,FALSE), $B$14:AA$73, AA$74,FALSE),"o")=$D$5,IFERROR(VLOOKUP(VLOOKUP($B31, Dependencies!$B$2:$G$230, 3,FALSE), $B$14:AA$73, AA$74,FALSE),"o")=$D$5,IFERROR(VLOOKUP(VLOOKUP($B31, Dependencies!$B$2:$G$230, 4,FALSE), $B$14:AA$73, AA$74,FALSE),"o")=$D$5,IFERROR(VLOOKUP(VLOOKUP($B31, Dependencies!$B$2:$G$230, 5,FALSE), $B$14:AA$73, AA$74,FALSE),"o")=$D$5,IFERROR(VLOOKUP(VLOOKUP($B31, Dependencies!$B$2:$G$230, 6,FALSE), $B$14:AA$73, AA$74,FALSE),"o")=$D$5),$D$5,Z31)))</f>
        <v>o</v>
      </c>
      <c r="AB31" s="94" t="s">
        <v>323</v>
      </c>
      <c r="AC31" s="72" t="str">
        <f>IF(AB31=$D$4,AB31,IF(OR(IFERROR(VLOOKUP(VLOOKUP($B31, Dependencies!$B$2:$G$230, 2,FALSE),$B$14:AC$73, AC$74,FALSE),"o")=$D$4,IFERROR(VLOOKUP(VLOOKUP($B31, Dependencies!$B$2:$G$230, 3,FALSE),$B$14:AC$73, AC$74,FALSE),"o")=$D$4,IFERROR(VLOOKUP(VLOOKUP($B31, Dependencies!$B$2:$G$230, 4,FALSE),$B$14:AC$73, AC$74,FALSE),"o")=$D$4,IFERROR(VLOOKUP(VLOOKUP($B31, Dependencies!$B$2:$G$230, 5,FALSE),$B$14:AC$73, AC$74,FALSE),"o")=$D$4,IFERROR(VLOOKUP(VLOOKUP($B31, Dependencies!$B$2:$G$230, 6,FALSE),$B$14:AC$73, AC$74,FALSE),"o")=$D$4),$D$4,IF(OR(IFERROR(VLOOKUP(VLOOKUP($B31, Dependencies!$B$2:$G$230, 2,FALSE), $B$14:AC$73, AC$74,FALSE),"o")=$D$5,IFERROR(VLOOKUP(VLOOKUP($B31, Dependencies!$B$2:$G$230, 3,FALSE), $B$14:AC$73, AC$74,FALSE),"o")=$D$5,IFERROR(VLOOKUP(VLOOKUP($B31, Dependencies!$B$2:$G$230, 4,FALSE), $B$14:AC$73, AC$74,FALSE),"o")=$D$5,IFERROR(VLOOKUP(VLOOKUP($B31, Dependencies!$B$2:$G$230, 5,FALSE), $B$14:AC$73, AC$74,FALSE),"o")=$D$5,IFERROR(VLOOKUP(VLOOKUP($B31, Dependencies!$B$2:$G$230, 6,FALSE), $B$14:AC$73, AC$74,FALSE),"o")=$D$5),$D$5,AB31)))</f>
        <v>o</v>
      </c>
      <c r="AD31" s="94" t="s">
        <v>323</v>
      </c>
      <c r="AE31" s="72" t="str">
        <f>IF(AD31=$D$4,AD31,IF(OR(IFERROR(VLOOKUP(VLOOKUP($B31, Dependencies!$B$2:$G$230, 2,FALSE),$B$14:AE$73, AE$74,FALSE),"o")=$D$4,IFERROR(VLOOKUP(VLOOKUP($B31, Dependencies!$B$2:$G$230, 3,FALSE),$B$14:AE$73, AE$74,FALSE),"o")=$D$4,IFERROR(VLOOKUP(VLOOKUP($B31, Dependencies!$B$2:$G$230, 4,FALSE),$B$14:AE$73, AE$74,FALSE),"o")=$D$4,IFERROR(VLOOKUP(VLOOKUP($B31, Dependencies!$B$2:$G$230, 5,FALSE),$B$14:AE$73, AE$74,FALSE),"o")=$D$4,IFERROR(VLOOKUP(VLOOKUP($B31, Dependencies!$B$2:$G$230, 6,FALSE),$B$14:AE$73, AE$74,FALSE),"o")=$D$4),$D$4,IF(OR(IFERROR(VLOOKUP(VLOOKUP($B31, Dependencies!$B$2:$G$230, 2,FALSE), $B$14:AE$73, AE$74,FALSE),"o")=$D$5,IFERROR(VLOOKUP(VLOOKUP($B31, Dependencies!$B$2:$G$230, 3,FALSE), $B$14:AE$73, AE$74,FALSE),"o")=$D$5,IFERROR(VLOOKUP(VLOOKUP($B31, Dependencies!$B$2:$G$230, 4,FALSE), $B$14:AE$73, AE$74,FALSE),"o")=$D$5,IFERROR(VLOOKUP(VLOOKUP($B31, Dependencies!$B$2:$G$230, 5,FALSE), $B$14:AE$73, AE$74,FALSE),"o")=$D$5,IFERROR(VLOOKUP(VLOOKUP($B31, Dependencies!$B$2:$G$230, 6,FALSE), $B$14:AE$73, AE$74,FALSE),"o")=$D$5),$D$5,AD31)))</f>
        <v>o</v>
      </c>
      <c r="AF31" s="94" t="s">
        <v>323</v>
      </c>
      <c r="AG31" s="72" t="str">
        <f>IF(AF31=$D$4,AF31,IF(OR(IFERROR(VLOOKUP(VLOOKUP($B31, Dependencies!$B$2:$G$230, 2,FALSE),$B$14:AG$73, AG$74,FALSE),"o")=$D$4,IFERROR(VLOOKUP(VLOOKUP($B31, Dependencies!$B$2:$G$230, 3,FALSE),$B$14:AG$73, AG$74,FALSE),"o")=$D$4,IFERROR(VLOOKUP(VLOOKUP($B31, Dependencies!$B$2:$G$230, 4,FALSE),$B$14:AG$73, AG$74,FALSE),"o")=$D$4,IFERROR(VLOOKUP(VLOOKUP($B31, Dependencies!$B$2:$G$230, 5,FALSE),$B$14:AG$73, AG$74,FALSE),"o")=$D$4,IFERROR(VLOOKUP(VLOOKUP($B31, Dependencies!$B$2:$G$230, 6,FALSE),$B$14:AG$73, AG$74,FALSE),"o")=$D$4),$D$4,IF(OR(IFERROR(VLOOKUP(VLOOKUP($B31, Dependencies!$B$2:$G$230, 2,FALSE), $B$14:AG$73, AG$74,FALSE),"o")=$D$5,IFERROR(VLOOKUP(VLOOKUP($B31, Dependencies!$B$2:$G$230, 3,FALSE), $B$14:AG$73, AG$74,FALSE),"o")=$D$5,IFERROR(VLOOKUP(VLOOKUP($B31, Dependencies!$B$2:$G$230, 4,FALSE), $B$14:AG$73, AG$74,FALSE),"o")=$D$5,IFERROR(VLOOKUP(VLOOKUP($B31, Dependencies!$B$2:$G$230, 5,FALSE), $B$14:AG$73, AG$74,FALSE),"o")=$D$5,IFERROR(VLOOKUP(VLOOKUP($B31, Dependencies!$B$2:$G$230, 6,FALSE), $B$14:AG$73, AG$74,FALSE),"o")=$D$5),$D$5,AF31)))</f>
        <v>o</v>
      </c>
      <c r="AH31" s="94" t="s">
        <v>323</v>
      </c>
      <c r="AI31" s="72" t="str">
        <f>IF(AH31=$D$4,AH31,IF(OR(IFERROR(VLOOKUP(VLOOKUP($B31, Dependencies!$B$2:$G$230, 2,FALSE),$B$14:AI$73, AI$74,FALSE),"o")=$D$4,IFERROR(VLOOKUP(VLOOKUP($B31, Dependencies!$B$2:$G$230, 3,FALSE),$B$14:AI$73, AI$74,FALSE),"o")=$D$4,IFERROR(VLOOKUP(VLOOKUP($B31, Dependencies!$B$2:$G$230, 4,FALSE),$B$14:AI$73, AI$74,FALSE),"o")=$D$4,IFERROR(VLOOKUP(VLOOKUP($B31, Dependencies!$B$2:$G$230, 5,FALSE),$B$14:AI$73, AI$74,FALSE),"o")=$D$4,IFERROR(VLOOKUP(VLOOKUP($B31, Dependencies!$B$2:$G$230, 6,FALSE),$B$14:AI$73, AI$74,FALSE),"o")=$D$4),$D$4,IF(OR(IFERROR(VLOOKUP(VLOOKUP($B31, Dependencies!$B$2:$G$230, 2,FALSE), $B$14:AI$73, AI$74,FALSE),"o")=$D$5,IFERROR(VLOOKUP(VLOOKUP($B31, Dependencies!$B$2:$G$230, 3,FALSE), $B$14:AI$73, AI$74,FALSE),"o")=$D$5,IFERROR(VLOOKUP(VLOOKUP($B31, Dependencies!$B$2:$G$230, 4,FALSE), $B$14:AI$73, AI$74,FALSE),"o")=$D$5,IFERROR(VLOOKUP(VLOOKUP($B31, Dependencies!$B$2:$G$230, 5,FALSE), $B$14:AI$73, AI$74,FALSE),"o")=$D$5,IFERROR(VLOOKUP(VLOOKUP($B31, Dependencies!$B$2:$G$230, 6,FALSE), $B$14:AI$73, AI$74,FALSE),"o")=$D$5),$D$5,AH31)))</f>
        <v>o</v>
      </c>
      <c r="AJ31" s="94" t="s">
        <v>323</v>
      </c>
      <c r="AK31" s="72" t="str">
        <f>IF(AJ31=$D$4,AJ31,IF(OR(IFERROR(VLOOKUP(VLOOKUP($B31, Dependencies!$B$2:$G$230, 2,FALSE),$B$14:AK$73, AK$74,FALSE),"o")=$D$4,IFERROR(VLOOKUP(VLOOKUP($B31, Dependencies!$B$2:$G$230, 3,FALSE),$B$14:AK$73, AK$74,FALSE),"o")=$D$4,IFERROR(VLOOKUP(VLOOKUP($B31, Dependencies!$B$2:$G$230, 4,FALSE),$B$14:AK$73, AK$74,FALSE),"o")=$D$4,IFERROR(VLOOKUP(VLOOKUP($B31, Dependencies!$B$2:$G$230, 5,FALSE),$B$14:AK$73, AK$74,FALSE),"o")=$D$4,IFERROR(VLOOKUP(VLOOKUP($B31, Dependencies!$B$2:$G$230, 6,FALSE),$B$14:AK$73, AK$74,FALSE),"o")=$D$4),$D$4,IF(OR(IFERROR(VLOOKUP(VLOOKUP($B31, Dependencies!$B$2:$G$230, 2,FALSE), $B$14:AK$73, AK$74,FALSE),"o")=$D$5,IFERROR(VLOOKUP(VLOOKUP($B31, Dependencies!$B$2:$G$230, 3,FALSE), $B$14:AK$73, AK$74,FALSE),"o")=$D$5,IFERROR(VLOOKUP(VLOOKUP($B31, Dependencies!$B$2:$G$230, 4,FALSE), $B$14:AK$73, AK$74,FALSE),"o")=$D$5,IFERROR(VLOOKUP(VLOOKUP($B31, Dependencies!$B$2:$G$230, 5,FALSE), $B$14:AK$73, AK$74,FALSE),"o")=$D$5,IFERROR(VLOOKUP(VLOOKUP($B31, Dependencies!$B$2:$G$230, 6,FALSE), $B$14:AK$73, AK$74,FALSE),"o")=$D$5),$D$5,AJ31)))</f>
        <v>o</v>
      </c>
      <c r="AL31" s="94" t="s">
        <v>323</v>
      </c>
      <c r="AM31" s="72" t="str">
        <f>IF(AL31=$D$4,AL31,IF(OR(IFERROR(VLOOKUP(VLOOKUP($B31, Dependencies!$B$2:$G$230, 2,FALSE),$B$14:AM$73, AM$74,FALSE),"o")=$D$4,IFERROR(VLOOKUP(VLOOKUP($B31, Dependencies!$B$2:$G$230, 3,FALSE),$B$14:AM$73, AM$74,FALSE),"o")=$D$4,IFERROR(VLOOKUP(VLOOKUP($B31, Dependencies!$B$2:$G$230, 4,FALSE),$B$14:AM$73, AM$74,FALSE),"o")=$D$4,IFERROR(VLOOKUP(VLOOKUP($B31, Dependencies!$B$2:$G$230, 5,FALSE),$B$14:AM$73, AM$74,FALSE),"o")=$D$4,IFERROR(VLOOKUP(VLOOKUP($B31, Dependencies!$B$2:$G$230, 6,FALSE),$B$14:AM$73, AM$74,FALSE),"o")=$D$4),$D$4,IF(OR(IFERROR(VLOOKUP(VLOOKUP($B31, Dependencies!$B$2:$G$230, 2,FALSE), $B$14:AM$73, AM$74,FALSE),"o")=$D$5,IFERROR(VLOOKUP(VLOOKUP($B31, Dependencies!$B$2:$G$230, 3,FALSE), $B$14:AM$73, AM$74,FALSE),"o")=$D$5,IFERROR(VLOOKUP(VLOOKUP($B31, Dependencies!$B$2:$G$230, 4,FALSE), $B$14:AM$73, AM$74,FALSE),"o")=$D$5,IFERROR(VLOOKUP(VLOOKUP($B31, Dependencies!$B$2:$G$230, 5,FALSE), $B$14:AM$73, AM$74,FALSE),"o")=$D$5,IFERROR(VLOOKUP(VLOOKUP($B31, Dependencies!$B$2:$G$230, 6,FALSE), $B$14:AM$73, AM$74,FALSE),"o")=$D$5),$D$5,AL31)))</f>
        <v>o</v>
      </c>
      <c r="AN31" s="94" t="s">
        <v>323</v>
      </c>
      <c r="AO31" s="72" t="str">
        <f>IF(AN31=$D$4,AN31,IF(OR(IFERROR(VLOOKUP(VLOOKUP($B31, Dependencies!$B$2:$G$230, 2,FALSE),$B$14:AO$73, AO$74,FALSE),"o")=$D$4,IFERROR(VLOOKUP(VLOOKUP($B31, Dependencies!$B$2:$G$230, 3,FALSE),$B$14:AO$73, AO$74,FALSE),"o")=$D$4,IFERROR(VLOOKUP(VLOOKUP($B31, Dependencies!$B$2:$G$230, 4,FALSE),$B$14:AO$73, AO$74,FALSE),"o")=$D$4,IFERROR(VLOOKUP(VLOOKUP($B31, Dependencies!$B$2:$G$230, 5,FALSE),$B$14:AO$73, AO$74,FALSE),"o")=$D$4,IFERROR(VLOOKUP(VLOOKUP($B31, Dependencies!$B$2:$G$230, 6,FALSE),$B$14:AO$73, AO$74,FALSE),"o")=$D$4),$D$4,IF(OR(IFERROR(VLOOKUP(VLOOKUP($B31, Dependencies!$B$2:$G$230, 2,FALSE), $B$14:AO$73, AO$74,FALSE),"o")=$D$5,IFERROR(VLOOKUP(VLOOKUP($B31, Dependencies!$B$2:$G$230, 3,FALSE), $B$14:AO$73, AO$74,FALSE),"o")=$D$5,IFERROR(VLOOKUP(VLOOKUP($B31, Dependencies!$B$2:$G$230, 4,FALSE), $B$14:AO$73, AO$74,FALSE),"o")=$D$5,IFERROR(VLOOKUP(VLOOKUP($B31, Dependencies!$B$2:$G$230, 5,FALSE), $B$14:AO$73, AO$74,FALSE),"o")=$D$5,IFERROR(VLOOKUP(VLOOKUP($B31, Dependencies!$B$2:$G$230, 6,FALSE), $B$14:AO$73, AO$74,FALSE),"o")=$D$5),$D$5,AN31)))</f>
        <v>o</v>
      </c>
      <c r="AP31" s="94" t="s">
        <v>323</v>
      </c>
      <c r="AQ31" s="72" t="str">
        <f>IF(AP31=$D$4,AP31,IF(OR(IFERROR(VLOOKUP(VLOOKUP($B31, Dependencies!$B$2:$G$230, 2,FALSE),$B$14:AQ$73, AQ$74,FALSE),"o")=$D$4,IFERROR(VLOOKUP(VLOOKUP($B31, Dependencies!$B$2:$G$230, 3,FALSE),$B$14:AQ$73, AQ$74,FALSE),"o")=$D$4,IFERROR(VLOOKUP(VLOOKUP($B31, Dependencies!$B$2:$G$230, 4,FALSE),$B$14:AQ$73, AQ$74,FALSE),"o")=$D$4,IFERROR(VLOOKUP(VLOOKUP($B31, Dependencies!$B$2:$G$230, 5,FALSE),$B$14:AQ$73, AQ$74,FALSE),"o")=$D$4,IFERROR(VLOOKUP(VLOOKUP($B31, Dependencies!$B$2:$G$230, 6,FALSE),$B$14:AQ$73, AQ$74,FALSE),"o")=$D$4),$D$4,IF(OR(IFERROR(VLOOKUP(VLOOKUP($B31, Dependencies!$B$2:$G$230, 2,FALSE), $B$14:AQ$73, AQ$74,FALSE),"o")=$D$5,IFERROR(VLOOKUP(VLOOKUP($B31, Dependencies!$B$2:$G$230, 3,FALSE), $B$14:AQ$73, AQ$74,FALSE),"o")=$D$5,IFERROR(VLOOKUP(VLOOKUP($B31, Dependencies!$B$2:$G$230, 4,FALSE), $B$14:AQ$73, AQ$74,FALSE),"o")=$D$5,IFERROR(VLOOKUP(VLOOKUP($B31, Dependencies!$B$2:$G$230, 5,FALSE), $B$14:AQ$73, AQ$74,FALSE),"o")=$D$5,IFERROR(VLOOKUP(VLOOKUP($B31, Dependencies!$B$2:$G$230, 6,FALSE), $B$14:AQ$73, AQ$74,FALSE),"o")=$D$5),$D$5,AP31)))</f>
        <v>o</v>
      </c>
      <c r="AR31" s="94" t="s">
        <v>323</v>
      </c>
      <c r="AS31" s="71" t="str">
        <f>IF(AR31=$D$4,AR31,IF(OR(IFERROR(VLOOKUP(VLOOKUP($B31, Dependencies!$B$2:$G$230, 2,FALSE),$B$14:AS$73, AS$74,FALSE),"o")=$D$4,IFERROR(VLOOKUP(VLOOKUP($B31, Dependencies!$B$2:$G$230, 3,FALSE),$B$14:AS$73, AS$74,FALSE),"o")=$D$4,IFERROR(VLOOKUP(VLOOKUP($B31, Dependencies!$B$2:$G$230, 4,FALSE),$B$14:AS$73, AS$74,FALSE),"o")=$D$4,IFERROR(VLOOKUP(VLOOKUP($B31, Dependencies!$B$2:$G$230, 5,FALSE),$B$14:AS$73, AS$74,FALSE),"o")=$D$4,IFERROR(VLOOKUP(VLOOKUP($B31, Dependencies!$B$2:$G$230, 6,FALSE),$B$14:AS$73, AS$74,FALSE),"o")=$D$4),$D$4,IF(OR(IFERROR(VLOOKUP(VLOOKUP($B31, Dependencies!$B$2:$G$230, 2,FALSE), $B$14:AS$73, AS$74,FALSE),"o")=$D$5,IFERROR(VLOOKUP(VLOOKUP($B31, Dependencies!$B$2:$G$230, 3,FALSE), $B$14:AS$73, AS$74,FALSE),"o")=$D$5,IFERROR(VLOOKUP(VLOOKUP($B31, Dependencies!$B$2:$G$230, 4,FALSE), $B$14:AS$73, AS$74,FALSE),"o")=$D$5,IFERROR(VLOOKUP(VLOOKUP($B31, Dependencies!$B$2:$G$230, 5,FALSE), $B$14:AS$73, AS$74,FALSE),"o")=$D$5,IFERROR(VLOOKUP(VLOOKUP($B31, Dependencies!$B$2:$G$230, 6,FALSE), $B$14:AS$73, AS$74,FALSE),"o")=$D$5),$D$5,AR31)))</f>
        <v>o</v>
      </c>
    </row>
    <row r="32" spans="1:47" x14ac:dyDescent="0.2">
      <c r="A32" s="40"/>
      <c r="B32" s="73" t="str">
        <f>MLEOsv2!A20</f>
        <v>MLEO_01_07</v>
      </c>
      <c r="C32" s="73">
        <f>MLEOsv2!C20</f>
        <v>2</v>
      </c>
      <c r="D32" s="42" t="str">
        <f>MLEOsv2!G20</f>
        <v>implement shallow copy constructors.</v>
      </c>
      <c r="E32" s="51" t="b">
        <f>MLEOsv2!H20</f>
        <v>0</v>
      </c>
      <c r="F32" s="93" t="s">
        <v>320</v>
      </c>
      <c r="G32" s="70" t="str">
        <f>IF(F32=$D$4,F32,IF(OR(IFERROR(VLOOKUP(VLOOKUP($B32, Dependencies!$B$2:$G$230, 2,FALSE),$B$14:G$73, G$74,FALSE),"o")=$D$4,IFERROR(VLOOKUP(VLOOKUP($B32, Dependencies!$B$2:$G$230, 3,FALSE),$B$14:G$73, G$74,FALSE),"o")=$D$4,IFERROR(VLOOKUP(VLOOKUP($B32, Dependencies!$B$2:$G$230, 4,FALSE),$B$14:G$73, G$74,FALSE),"o")=$D$4,IFERROR(VLOOKUP(VLOOKUP($B32, Dependencies!$B$2:$G$230, 5,FALSE),$B$14:G$73, G$74,FALSE),"o")=$D$4,IFERROR(VLOOKUP(VLOOKUP($B32, Dependencies!$B$2:$G$230, 6,FALSE),$B$14:G$73, G$74,FALSE),"o")=$D$4),$D$4,IF(OR(IFERROR(VLOOKUP(VLOOKUP($B32, Dependencies!$B$2:$G$230, 2,FALSE), $B$14:G$73, G$74,FALSE),"o")=$D$5,IFERROR(VLOOKUP(VLOOKUP($B32, Dependencies!$B$2:$G$230, 3,FALSE), $B$14:G$73, G$74,FALSE),"o")=$D$5,IFERROR(VLOOKUP(VLOOKUP($B32, Dependencies!$B$2:$G$230, 4,FALSE), $B$14:G$73, G$74,FALSE),"o")=$D$5,IFERROR(VLOOKUP(VLOOKUP($B32, Dependencies!$B$2:$G$230, 5,FALSE), $B$14:G$73, G$74,FALSE),"o")=$D$5,IFERROR(VLOOKUP(VLOOKUP($B32, Dependencies!$B$2:$G$230, 6,FALSE), $B$14:G$73, G$74,FALSE),"o")=$D$5),$D$5,F32)))</f>
        <v>r</v>
      </c>
      <c r="H32" s="93" t="s">
        <v>321</v>
      </c>
      <c r="I32" s="70" t="str">
        <f>IF(H32=$D$4,H32,IF(OR(IFERROR(VLOOKUP(VLOOKUP($B32, Dependencies!$B$2:$G$230, 2,FALSE),$B$14:I$73, I$74,FALSE),"o")=$D$4,IFERROR(VLOOKUP(VLOOKUP($B32, Dependencies!$B$2:$G$230, 3,FALSE),$B$14:I$73, I$74,FALSE),"o")=$D$4,IFERROR(VLOOKUP(VLOOKUP($B32, Dependencies!$B$2:$G$230, 4,FALSE),$B$14:I$73, I$74,FALSE),"o")=$D$4,IFERROR(VLOOKUP(VLOOKUP($B32, Dependencies!$B$2:$G$230, 5,FALSE),$B$14:I$73, I$74,FALSE),"o")=$D$4,IFERROR(VLOOKUP(VLOOKUP($B32, Dependencies!$B$2:$G$230, 6,FALSE),$B$14:I$73, I$74,FALSE),"o")=$D$4),$D$4,IF(OR(IFERROR(VLOOKUP(VLOOKUP($B32, Dependencies!$B$2:$G$230, 2,FALSE), $B$14:I$73, I$74,FALSE),"o")=$D$5,IFERROR(VLOOKUP(VLOOKUP($B32, Dependencies!$B$2:$G$230, 3,FALSE), $B$14:I$73, I$74,FALSE),"o")=$D$5,IFERROR(VLOOKUP(VLOOKUP($B32, Dependencies!$B$2:$G$230, 4,FALSE), $B$14:I$73, I$74,FALSE),"o")=$D$5,IFERROR(VLOOKUP(VLOOKUP($B32, Dependencies!$B$2:$G$230, 5,FALSE), $B$14:I$73, I$74,FALSE),"o")=$D$5,IFERROR(VLOOKUP(VLOOKUP($B32, Dependencies!$B$2:$G$230, 6,FALSE), $B$14:I$73, I$74,FALSE),"o")=$D$5),$D$5,H32)))</f>
        <v>pr</v>
      </c>
      <c r="J32" s="93" t="s">
        <v>321</v>
      </c>
      <c r="K32" s="70" t="str">
        <f>IF(J32=$D$4,J32,IF(OR(IFERROR(VLOOKUP(VLOOKUP($B32, Dependencies!$B$2:$G$230, 2,FALSE),$B$14:K$73, K$74,FALSE),"o")=$D$4,IFERROR(VLOOKUP(VLOOKUP($B32, Dependencies!$B$2:$G$230, 3,FALSE),$B$14:K$73, K$74,FALSE),"o")=$D$4,IFERROR(VLOOKUP(VLOOKUP($B32, Dependencies!$B$2:$G$230, 4,FALSE),$B$14:K$73, K$74,FALSE),"o")=$D$4,IFERROR(VLOOKUP(VLOOKUP($B32, Dependencies!$B$2:$G$230, 5,FALSE),$B$14:K$73, K$74,FALSE),"o")=$D$4,IFERROR(VLOOKUP(VLOOKUP($B32, Dependencies!$B$2:$G$230, 6,FALSE),$B$14:K$73, K$74,FALSE),"o")=$D$4),$D$4,IF(OR(IFERROR(VLOOKUP(VLOOKUP($B32, Dependencies!$B$2:$G$230, 2,FALSE), $B$14:K$73, K$74,FALSE),"o")=$D$5,IFERROR(VLOOKUP(VLOOKUP($B32, Dependencies!$B$2:$G$230, 3,FALSE), $B$14:K$73, K$74,FALSE),"o")=$D$5,IFERROR(VLOOKUP(VLOOKUP($B32, Dependencies!$B$2:$G$230, 4,FALSE), $B$14:K$73, K$74,FALSE),"o")=$D$5,IFERROR(VLOOKUP(VLOOKUP($B32, Dependencies!$B$2:$G$230, 5,FALSE), $B$14:K$73, K$74,FALSE),"o")=$D$5,IFERROR(VLOOKUP(VLOOKUP($B32, Dependencies!$B$2:$G$230, 6,FALSE), $B$14:K$73, K$74,FALSE),"o")=$D$5),$D$5,J32)))</f>
        <v>pr</v>
      </c>
      <c r="L32" s="93" t="s">
        <v>323</v>
      </c>
      <c r="M32" s="70" t="str">
        <f>IF(L32=$D$4,L32,IF(OR(IFERROR(VLOOKUP(VLOOKUP($B32, Dependencies!$B$2:$G$230, 2,FALSE),$B$14:M$73, M$74,FALSE),"o")=$D$4,IFERROR(VLOOKUP(VLOOKUP($B32, Dependencies!$B$2:$G$230, 3,FALSE),$B$14:M$73, M$74,FALSE),"o")=$D$4,IFERROR(VLOOKUP(VLOOKUP($B32, Dependencies!$B$2:$G$230, 4,FALSE),$B$14:M$73, M$74,FALSE),"o")=$D$4,IFERROR(VLOOKUP(VLOOKUP($B32, Dependencies!$B$2:$G$230, 5,FALSE),$B$14:M$73, M$74,FALSE),"o")=$D$4,IFERROR(VLOOKUP(VLOOKUP($B32, Dependencies!$B$2:$G$230, 6,FALSE),$B$14:M$73, M$74,FALSE),"o")=$D$4),$D$4,IF(OR(IFERROR(VLOOKUP(VLOOKUP($B32, Dependencies!$B$2:$G$230, 2,FALSE), $B$14:M$73, M$74,FALSE),"o")=$D$5,IFERROR(VLOOKUP(VLOOKUP($B32, Dependencies!$B$2:$G$230, 3,FALSE), $B$14:M$73, M$74,FALSE),"o")=$D$5,IFERROR(VLOOKUP(VLOOKUP($B32, Dependencies!$B$2:$G$230, 4,FALSE), $B$14:M$73, M$74,FALSE),"o")=$D$5,IFERROR(VLOOKUP(VLOOKUP($B32, Dependencies!$B$2:$G$230, 5,FALSE), $B$14:M$73, M$74,FALSE),"o")=$D$5,IFERROR(VLOOKUP(VLOOKUP($B32, Dependencies!$B$2:$G$230, 6,FALSE), $B$14:M$73, M$74,FALSE),"o")=$D$5),$D$5,L32)))</f>
        <v>o</v>
      </c>
      <c r="N32" s="93" t="s">
        <v>323</v>
      </c>
      <c r="O32" s="70" t="str">
        <f>IF(N32=$D$4,N32,IF(OR(IFERROR(VLOOKUP(VLOOKUP($B32, Dependencies!$B$2:$G$230, 2,FALSE),$B$14:O$73, O$74,FALSE),"o")=$D$4,IFERROR(VLOOKUP(VLOOKUP($B32, Dependencies!$B$2:$G$230, 3,FALSE),$B$14:O$73, O$74,FALSE),"o")=$D$4,IFERROR(VLOOKUP(VLOOKUP($B32, Dependencies!$B$2:$G$230, 4,FALSE),$B$14:O$73, O$74,FALSE),"o")=$D$4,IFERROR(VLOOKUP(VLOOKUP($B32, Dependencies!$B$2:$G$230, 5,FALSE),$B$14:O$73, O$74,FALSE),"o")=$D$4,IFERROR(VLOOKUP(VLOOKUP($B32, Dependencies!$B$2:$G$230, 6,FALSE),$B$14:O$73, O$74,FALSE),"o")=$D$4),$D$4,IF(OR(IFERROR(VLOOKUP(VLOOKUP($B32, Dependencies!$B$2:$G$230, 2,FALSE), $B$14:O$73, O$74,FALSE),"o")=$D$5,IFERROR(VLOOKUP(VLOOKUP($B32, Dependencies!$B$2:$G$230, 3,FALSE), $B$14:O$73, O$74,FALSE),"o")=$D$5,IFERROR(VLOOKUP(VLOOKUP($B32, Dependencies!$B$2:$G$230, 4,FALSE), $B$14:O$73, O$74,FALSE),"o")=$D$5,IFERROR(VLOOKUP(VLOOKUP($B32, Dependencies!$B$2:$G$230, 5,FALSE), $B$14:O$73, O$74,FALSE),"o")=$D$5,IFERROR(VLOOKUP(VLOOKUP($B32, Dependencies!$B$2:$G$230, 6,FALSE), $B$14:O$73, O$74,FALSE),"o")=$D$5),$D$5,N32)))</f>
        <v>o</v>
      </c>
      <c r="P32" s="93" t="s">
        <v>323</v>
      </c>
      <c r="Q32" s="70" t="str">
        <f>IF(P32=$D$4,P32,IF(OR(IFERROR(VLOOKUP(VLOOKUP($B32, Dependencies!$B$2:$G$230, 2,FALSE),$B$14:Q$73, Q$74,FALSE),"o")=$D$4,IFERROR(VLOOKUP(VLOOKUP($B32, Dependencies!$B$2:$G$230, 3,FALSE),$B$14:Q$73, Q$74,FALSE),"o")=$D$4,IFERROR(VLOOKUP(VLOOKUP($B32, Dependencies!$B$2:$G$230, 4,FALSE),$B$14:Q$73, Q$74,FALSE),"o")=$D$4,IFERROR(VLOOKUP(VLOOKUP($B32, Dependencies!$B$2:$G$230, 5,FALSE),$B$14:Q$73, Q$74,FALSE),"o")=$D$4,IFERROR(VLOOKUP(VLOOKUP($B32, Dependencies!$B$2:$G$230, 6,FALSE),$B$14:Q$73, Q$74,FALSE),"o")=$D$4),$D$4,IF(OR(IFERROR(VLOOKUP(VLOOKUP($B32, Dependencies!$B$2:$G$230, 2,FALSE), $B$14:Q$73, Q$74,FALSE),"o")=$D$5,IFERROR(VLOOKUP(VLOOKUP($B32, Dependencies!$B$2:$G$230, 3,FALSE), $B$14:Q$73, Q$74,FALSE),"o")=$D$5,IFERROR(VLOOKUP(VLOOKUP($B32, Dependencies!$B$2:$G$230, 4,FALSE), $B$14:Q$73, Q$74,FALSE),"o")=$D$5,IFERROR(VLOOKUP(VLOOKUP($B32, Dependencies!$B$2:$G$230, 5,FALSE), $B$14:Q$73, Q$74,FALSE),"o")=$D$5,IFERROR(VLOOKUP(VLOOKUP($B32, Dependencies!$B$2:$G$230, 6,FALSE), $B$14:Q$73, Q$74,FALSE),"o")=$D$5),$D$5,P32)))</f>
        <v>o</v>
      </c>
      <c r="R32" s="93" t="s">
        <v>323</v>
      </c>
      <c r="S32" s="70" t="str">
        <f>IF(R32=$D$4,R32,IF(OR(IFERROR(VLOOKUP(VLOOKUP($B32, Dependencies!$B$2:$G$230, 2,FALSE),$B$14:S$73, S$74,FALSE),"o")=$D$4,IFERROR(VLOOKUP(VLOOKUP($B32, Dependencies!$B$2:$G$230, 3,FALSE),$B$14:S$73, S$74,FALSE),"o")=$D$4,IFERROR(VLOOKUP(VLOOKUP($B32, Dependencies!$B$2:$G$230, 4,FALSE),$B$14:S$73, S$74,FALSE),"o")=$D$4,IFERROR(VLOOKUP(VLOOKUP($B32, Dependencies!$B$2:$G$230, 5,FALSE),$B$14:S$73, S$74,FALSE),"o")=$D$4,IFERROR(VLOOKUP(VLOOKUP($B32, Dependencies!$B$2:$G$230, 6,FALSE),$B$14:S$73, S$74,FALSE),"o")=$D$4),$D$4,IF(OR(IFERROR(VLOOKUP(VLOOKUP($B32, Dependencies!$B$2:$G$230, 2,FALSE), $B$14:S$73, S$74,FALSE),"o")=$D$5,IFERROR(VLOOKUP(VLOOKUP($B32, Dependencies!$B$2:$G$230, 3,FALSE), $B$14:S$73, S$74,FALSE),"o")=$D$5,IFERROR(VLOOKUP(VLOOKUP($B32, Dependencies!$B$2:$G$230, 4,FALSE), $B$14:S$73, S$74,FALSE),"o")=$D$5,IFERROR(VLOOKUP(VLOOKUP($B32, Dependencies!$B$2:$G$230, 5,FALSE), $B$14:S$73, S$74,FALSE),"o")=$D$5,IFERROR(VLOOKUP(VLOOKUP($B32, Dependencies!$B$2:$G$230, 6,FALSE), $B$14:S$73, S$74,FALSE),"o")=$D$5),$D$5,R32)))</f>
        <v>o</v>
      </c>
      <c r="T32" s="93" t="s">
        <v>323</v>
      </c>
      <c r="U32" s="70" t="str">
        <f>IF(T32=$D$4,T32,IF(OR(IFERROR(VLOOKUP(VLOOKUP($B32, Dependencies!$B$2:$G$230, 2,FALSE),$B$14:U$73, U$74,FALSE),"o")=$D$4,IFERROR(VLOOKUP(VLOOKUP($B32, Dependencies!$B$2:$G$230, 3,FALSE),$B$14:U$73, U$74,FALSE),"o")=$D$4,IFERROR(VLOOKUP(VLOOKUP($B32, Dependencies!$B$2:$G$230, 4,FALSE),$B$14:U$73, U$74,FALSE),"o")=$D$4,IFERROR(VLOOKUP(VLOOKUP($B32, Dependencies!$B$2:$G$230, 5,FALSE),$B$14:U$73, U$74,FALSE),"o")=$D$4,IFERROR(VLOOKUP(VLOOKUP($B32, Dependencies!$B$2:$G$230, 6,FALSE),$B$14:U$73, U$74,FALSE),"o")=$D$4),$D$4,IF(OR(IFERROR(VLOOKUP(VLOOKUP($B32, Dependencies!$B$2:$G$230, 2,FALSE), $B$14:U$73, U$74,FALSE),"o")=$D$5,IFERROR(VLOOKUP(VLOOKUP($B32, Dependencies!$B$2:$G$230, 3,FALSE), $B$14:U$73, U$74,FALSE),"o")=$D$5,IFERROR(VLOOKUP(VLOOKUP($B32, Dependencies!$B$2:$G$230, 4,FALSE), $B$14:U$73, U$74,FALSE),"o")=$D$5,IFERROR(VLOOKUP(VLOOKUP($B32, Dependencies!$B$2:$G$230, 5,FALSE), $B$14:U$73, U$74,FALSE),"o")=$D$5,IFERROR(VLOOKUP(VLOOKUP($B32, Dependencies!$B$2:$G$230, 6,FALSE), $B$14:U$73, U$74,FALSE),"o")=$D$5),$D$5,T32)))</f>
        <v>o</v>
      </c>
      <c r="V32" s="93" t="s">
        <v>323</v>
      </c>
      <c r="W32" s="70" t="str">
        <f>IF(V32=$D$4,V32,IF(OR(IFERROR(VLOOKUP(VLOOKUP($B32, Dependencies!$B$2:$G$230, 2,FALSE),$B$14:W$73, W$74,FALSE),"o")=$D$4,IFERROR(VLOOKUP(VLOOKUP($B32, Dependencies!$B$2:$G$230, 3,FALSE),$B$14:W$73, W$74,FALSE),"o")=$D$4,IFERROR(VLOOKUP(VLOOKUP($B32, Dependencies!$B$2:$G$230, 4,FALSE),$B$14:W$73, W$74,FALSE),"o")=$D$4,IFERROR(VLOOKUP(VLOOKUP($B32, Dependencies!$B$2:$G$230, 5,FALSE),$B$14:W$73, W$74,FALSE),"o")=$D$4,IFERROR(VLOOKUP(VLOOKUP($B32, Dependencies!$B$2:$G$230, 6,FALSE),$B$14:W$73, W$74,FALSE),"o")=$D$4),$D$4,IF(OR(IFERROR(VLOOKUP(VLOOKUP($B32, Dependencies!$B$2:$G$230, 2,FALSE), $B$14:W$73, W$74,FALSE),"o")=$D$5,IFERROR(VLOOKUP(VLOOKUP($B32, Dependencies!$B$2:$G$230, 3,FALSE), $B$14:W$73, W$74,FALSE),"o")=$D$5,IFERROR(VLOOKUP(VLOOKUP($B32, Dependencies!$B$2:$G$230, 4,FALSE), $B$14:W$73, W$74,FALSE),"o")=$D$5,IFERROR(VLOOKUP(VLOOKUP($B32, Dependencies!$B$2:$G$230, 5,FALSE), $B$14:W$73, W$74,FALSE),"o")=$D$5,IFERROR(VLOOKUP(VLOOKUP($B32, Dependencies!$B$2:$G$230, 6,FALSE), $B$14:W$73, W$74,FALSE),"o")=$D$5),$D$5,V32)))</f>
        <v>o</v>
      </c>
      <c r="X32" s="93" t="s">
        <v>323</v>
      </c>
      <c r="Y32" s="70" t="str">
        <f>IF(X32=$D$4,X32,IF(OR(IFERROR(VLOOKUP(VLOOKUP($B32, Dependencies!$B$2:$G$230, 2,FALSE),$B$14:Y$73, Y$74,FALSE),"o")=$D$4,IFERROR(VLOOKUP(VLOOKUP($B32, Dependencies!$B$2:$G$230, 3,FALSE),$B$14:Y$73, Y$74,FALSE),"o")=$D$4,IFERROR(VLOOKUP(VLOOKUP($B32, Dependencies!$B$2:$G$230, 4,FALSE),$B$14:Y$73, Y$74,FALSE),"o")=$D$4,IFERROR(VLOOKUP(VLOOKUP($B32, Dependencies!$B$2:$G$230, 5,FALSE),$B$14:Y$73, Y$74,FALSE),"o")=$D$4,IFERROR(VLOOKUP(VLOOKUP($B32, Dependencies!$B$2:$G$230, 6,FALSE),$B$14:Y$73, Y$74,FALSE),"o")=$D$4),$D$4,IF(OR(IFERROR(VLOOKUP(VLOOKUP($B32, Dependencies!$B$2:$G$230, 2,FALSE), $B$14:Y$73, Y$74,FALSE),"o")=$D$5,IFERROR(VLOOKUP(VLOOKUP($B32, Dependencies!$B$2:$G$230, 3,FALSE), $B$14:Y$73, Y$74,FALSE),"o")=$D$5,IFERROR(VLOOKUP(VLOOKUP($B32, Dependencies!$B$2:$G$230, 4,FALSE), $B$14:Y$73, Y$74,FALSE),"o")=$D$5,IFERROR(VLOOKUP(VLOOKUP($B32, Dependencies!$B$2:$G$230, 5,FALSE), $B$14:Y$73, Y$74,FALSE),"o")=$D$5,IFERROR(VLOOKUP(VLOOKUP($B32, Dependencies!$B$2:$G$230, 6,FALSE), $B$14:Y$73, Y$74,FALSE),"o")=$D$5),$D$5,X32)))</f>
        <v>o</v>
      </c>
      <c r="Z32" s="93" t="s">
        <v>323</v>
      </c>
      <c r="AA32" s="70" t="str">
        <f>IF(Z32=$D$4,Z32,IF(OR(IFERROR(VLOOKUP(VLOOKUP($B32, Dependencies!$B$2:$G$230, 2,FALSE),$B$14:AA$73, AA$74,FALSE),"o")=$D$4,IFERROR(VLOOKUP(VLOOKUP($B32, Dependencies!$B$2:$G$230, 3,FALSE),$B$14:AA$73, AA$74,FALSE),"o")=$D$4,IFERROR(VLOOKUP(VLOOKUP($B32, Dependencies!$B$2:$G$230, 4,FALSE),$B$14:AA$73, AA$74,FALSE),"o")=$D$4,IFERROR(VLOOKUP(VLOOKUP($B32, Dependencies!$B$2:$G$230, 5,FALSE),$B$14:AA$73, AA$74,FALSE),"o")=$D$4,IFERROR(VLOOKUP(VLOOKUP($B32, Dependencies!$B$2:$G$230, 6,FALSE),$B$14:AA$73, AA$74,FALSE),"o")=$D$4),$D$4,IF(OR(IFERROR(VLOOKUP(VLOOKUP($B32, Dependencies!$B$2:$G$230, 2,FALSE), $B$14:AA$73, AA$74,FALSE),"o")=$D$5,IFERROR(VLOOKUP(VLOOKUP($B32, Dependencies!$B$2:$G$230, 3,FALSE), $B$14:AA$73, AA$74,FALSE),"o")=$D$5,IFERROR(VLOOKUP(VLOOKUP($B32, Dependencies!$B$2:$G$230, 4,FALSE), $B$14:AA$73, AA$74,FALSE),"o")=$D$5,IFERROR(VLOOKUP(VLOOKUP($B32, Dependencies!$B$2:$G$230, 5,FALSE), $B$14:AA$73, AA$74,FALSE),"o")=$D$5,IFERROR(VLOOKUP(VLOOKUP($B32, Dependencies!$B$2:$G$230, 6,FALSE), $B$14:AA$73, AA$74,FALSE),"o")=$D$5),$D$5,Z32)))</f>
        <v>o</v>
      </c>
      <c r="AB32" s="93" t="s">
        <v>323</v>
      </c>
      <c r="AC32" s="70" t="str">
        <f>IF(AB32=$D$4,AB32,IF(OR(IFERROR(VLOOKUP(VLOOKUP($B32, Dependencies!$B$2:$G$230, 2,FALSE),$B$14:AC$73, AC$74,FALSE),"o")=$D$4,IFERROR(VLOOKUP(VLOOKUP($B32, Dependencies!$B$2:$G$230, 3,FALSE),$B$14:AC$73, AC$74,FALSE),"o")=$D$4,IFERROR(VLOOKUP(VLOOKUP($B32, Dependencies!$B$2:$G$230, 4,FALSE),$B$14:AC$73, AC$74,FALSE),"o")=$D$4,IFERROR(VLOOKUP(VLOOKUP($B32, Dependencies!$B$2:$G$230, 5,FALSE),$B$14:AC$73, AC$74,FALSE),"o")=$D$4,IFERROR(VLOOKUP(VLOOKUP($B32, Dependencies!$B$2:$G$230, 6,FALSE),$B$14:AC$73, AC$74,FALSE),"o")=$D$4),$D$4,IF(OR(IFERROR(VLOOKUP(VLOOKUP($B32, Dependencies!$B$2:$G$230, 2,FALSE), $B$14:AC$73, AC$74,FALSE),"o")=$D$5,IFERROR(VLOOKUP(VLOOKUP($B32, Dependencies!$B$2:$G$230, 3,FALSE), $B$14:AC$73, AC$74,FALSE),"o")=$D$5,IFERROR(VLOOKUP(VLOOKUP($B32, Dependencies!$B$2:$G$230, 4,FALSE), $B$14:AC$73, AC$74,FALSE),"o")=$D$5,IFERROR(VLOOKUP(VLOOKUP($B32, Dependencies!$B$2:$G$230, 5,FALSE), $B$14:AC$73, AC$74,FALSE),"o")=$D$5,IFERROR(VLOOKUP(VLOOKUP($B32, Dependencies!$B$2:$G$230, 6,FALSE), $B$14:AC$73, AC$74,FALSE),"o")=$D$5),$D$5,AB32)))</f>
        <v>o</v>
      </c>
      <c r="AD32" s="93" t="s">
        <v>323</v>
      </c>
      <c r="AE32" s="70" t="str">
        <f>IF(AD32=$D$4,AD32,IF(OR(IFERROR(VLOOKUP(VLOOKUP($B32, Dependencies!$B$2:$G$230, 2,FALSE),$B$14:AE$73, AE$74,FALSE),"o")=$D$4,IFERROR(VLOOKUP(VLOOKUP($B32, Dependencies!$B$2:$G$230, 3,FALSE),$B$14:AE$73, AE$74,FALSE),"o")=$D$4,IFERROR(VLOOKUP(VLOOKUP($B32, Dependencies!$B$2:$G$230, 4,FALSE),$B$14:AE$73, AE$74,FALSE),"o")=$D$4,IFERROR(VLOOKUP(VLOOKUP($B32, Dependencies!$B$2:$G$230, 5,FALSE),$B$14:AE$73, AE$74,FALSE),"o")=$D$4,IFERROR(VLOOKUP(VLOOKUP($B32, Dependencies!$B$2:$G$230, 6,FALSE),$B$14:AE$73, AE$74,FALSE),"o")=$D$4),$D$4,IF(OR(IFERROR(VLOOKUP(VLOOKUP($B32, Dependencies!$B$2:$G$230, 2,FALSE), $B$14:AE$73, AE$74,FALSE),"o")=$D$5,IFERROR(VLOOKUP(VLOOKUP($B32, Dependencies!$B$2:$G$230, 3,FALSE), $B$14:AE$73, AE$74,FALSE),"o")=$D$5,IFERROR(VLOOKUP(VLOOKUP($B32, Dependencies!$B$2:$G$230, 4,FALSE), $B$14:AE$73, AE$74,FALSE),"o")=$D$5,IFERROR(VLOOKUP(VLOOKUP($B32, Dependencies!$B$2:$G$230, 5,FALSE), $B$14:AE$73, AE$74,FALSE),"o")=$D$5,IFERROR(VLOOKUP(VLOOKUP($B32, Dependencies!$B$2:$G$230, 6,FALSE), $B$14:AE$73, AE$74,FALSE),"o")=$D$5),$D$5,AD32)))</f>
        <v>o</v>
      </c>
      <c r="AF32" s="93" t="s">
        <v>323</v>
      </c>
      <c r="AG32" s="70" t="str">
        <f>IF(AF32=$D$4,AF32,IF(OR(IFERROR(VLOOKUP(VLOOKUP($B32, Dependencies!$B$2:$G$230, 2,FALSE),$B$14:AG$73, AG$74,FALSE),"o")=$D$4,IFERROR(VLOOKUP(VLOOKUP($B32, Dependencies!$B$2:$G$230, 3,FALSE),$B$14:AG$73, AG$74,FALSE),"o")=$D$4,IFERROR(VLOOKUP(VLOOKUP($B32, Dependencies!$B$2:$G$230, 4,FALSE),$B$14:AG$73, AG$74,FALSE),"o")=$D$4,IFERROR(VLOOKUP(VLOOKUP($B32, Dependencies!$B$2:$G$230, 5,FALSE),$B$14:AG$73, AG$74,FALSE),"o")=$D$4,IFERROR(VLOOKUP(VLOOKUP($B32, Dependencies!$B$2:$G$230, 6,FALSE),$B$14:AG$73, AG$74,FALSE),"o")=$D$4),$D$4,IF(OR(IFERROR(VLOOKUP(VLOOKUP($B32, Dependencies!$B$2:$G$230, 2,FALSE), $B$14:AG$73, AG$74,FALSE),"o")=$D$5,IFERROR(VLOOKUP(VLOOKUP($B32, Dependencies!$B$2:$G$230, 3,FALSE), $B$14:AG$73, AG$74,FALSE),"o")=$D$5,IFERROR(VLOOKUP(VLOOKUP($B32, Dependencies!$B$2:$G$230, 4,FALSE), $B$14:AG$73, AG$74,FALSE),"o")=$D$5,IFERROR(VLOOKUP(VLOOKUP($B32, Dependencies!$B$2:$G$230, 5,FALSE), $B$14:AG$73, AG$74,FALSE),"o")=$D$5,IFERROR(VLOOKUP(VLOOKUP($B32, Dependencies!$B$2:$G$230, 6,FALSE), $B$14:AG$73, AG$74,FALSE),"o")=$D$5),$D$5,AF32)))</f>
        <v>o</v>
      </c>
      <c r="AH32" s="93" t="s">
        <v>323</v>
      </c>
      <c r="AI32" s="70" t="str">
        <f>IF(AH32=$D$4,AH32,IF(OR(IFERROR(VLOOKUP(VLOOKUP($B32, Dependencies!$B$2:$G$230, 2,FALSE),$B$14:AI$73, AI$74,FALSE),"o")=$D$4,IFERROR(VLOOKUP(VLOOKUP($B32, Dependencies!$B$2:$G$230, 3,FALSE),$B$14:AI$73, AI$74,FALSE),"o")=$D$4,IFERROR(VLOOKUP(VLOOKUP($B32, Dependencies!$B$2:$G$230, 4,FALSE),$B$14:AI$73, AI$74,FALSE),"o")=$D$4,IFERROR(VLOOKUP(VLOOKUP($B32, Dependencies!$B$2:$G$230, 5,FALSE),$B$14:AI$73, AI$74,FALSE),"o")=$D$4,IFERROR(VLOOKUP(VLOOKUP($B32, Dependencies!$B$2:$G$230, 6,FALSE),$B$14:AI$73, AI$74,FALSE),"o")=$D$4),$D$4,IF(OR(IFERROR(VLOOKUP(VLOOKUP($B32, Dependencies!$B$2:$G$230, 2,FALSE), $B$14:AI$73, AI$74,FALSE),"o")=$D$5,IFERROR(VLOOKUP(VLOOKUP($B32, Dependencies!$B$2:$G$230, 3,FALSE), $B$14:AI$73, AI$74,FALSE),"o")=$D$5,IFERROR(VLOOKUP(VLOOKUP($B32, Dependencies!$B$2:$G$230, 4,FALSE), $B$14:AI$73, AI$74,FALSE),"o")=$D$5,IFERROR(VLOOKUP(VLOOKUP($B32, Dependencies!$B$2:$G$230, 5,FALSE), $B$14:AI$73, AI$74,FALSE),"o")=$D$5,IFERROR(VLOOKUP(VLOOKUP($B32, Dependencies!$B$2:$G$230, 6,FALSE), $B$14:AI$73, AI$74,FALSE),"o")=$D$5),$D$5,AH32)))</f>
        <v>o</v>
      </c>
      <c r="AJ32" s="93" t="s">
        <v>323</v>
      </c>
      <c r="AK32" s="70" t="str">
        <f>IF(AJ32=$D$4,AJ32,IF(OR(IFERROR(VLOOKUP(VLOOKUP($B32, Dependencies!$B$2:$G$230, 2,FALSE),$B$14:AK$73, AK$74,FALSE),"o")=$D$4,IFERROR(VLOOKUP(VLOOKUP($B32, Dependencies!$B$2:$G$230, 3,FALSE),$B$14:AK$73, AK$74,FALSE),"o")=$D$4,IFERROR(VLOOKUP(VLOOKUP($B32, Dependencies!$B$2:$G$230, 4,FALSE),$B$14:AK$73, AK$74,FALSE),"o")=$D$4,IFERROR(VLOOKUP(VLOOKUP($B32, Dependencies!$B$2:$G$230, 5,FALSE),$B$14:AK$73, AK$74,FALSE),"o")=$D$4,IFERROR(VLOOKUP(VLOOKUP($B32, Dependencies!$B$2:$G$230, 6,FALSE),$B$14:AK$73, AK$74,FALSE),"o")=$D$4),$D$4,IF(OR(IFERROR(VLOOKUP(VLOOKUP($B32, Dependencies!$B$2:$G$230, 2,FALSE), $B$14:AK$73, AK$74,FALSE),"o")=$D$5,IFERROR(VLOOKUP(VLOOKUP($B32, Dependencies!$B$2:$G$230, 3,FALSE), $B$14:AK$73, AK$74,FALSE),"o")=$D$5,IFERROR(VLOOKUP(VLOOKUP($B32, Dependencies!$B$2:$G$230, 4,FALSE), $B$14:AK$73, AK$74,FALSE),"o")=$D$5,IFERROR(VLOOKUP(VLOOKUP($B32, Dependencies!$B$2:$G$230, 5,FALSE), $B$14:AK$73, AK$74,FALSE),"o")=$D$5,IFERROR(VLOOKUP(VLOOKUP($B32, Dependencies!$B$2:$G$230, 6,FALSE), $B$14:AK$73, AK$74,FALSE),"o")=$D$5),$D$5,AJ32)))</f>
        <v>o</v>
      </c>
      <c r="AL32" s="93" t="s">
        <v>323</v>
      </c>
      <c r="AM32" s="70" t="str">
        <f>IF(AL32=$D$4,AL32,IF(OR(IFERROR(VLOOKUP(VLOOKUP($B32, Dependencies!$B$2:$G$230, 2,FALSE),$B$14:AM$73, AM$74,FALSE),"o")=$D$4,IFERROR(VLOOKUP(VLOOKUP($B32, Dependencies!$B$2:$G$230, 3,FALSE),$B$14:AM$73, AM$74,FALSE),"o")=$D$4,IFERROR(VLOOKUP(VLOOKUP($B32, Dependencies!$B$2:$G$230, 4,FALSE),$B$14:AM$73, AM$74,FALSE),"o")=$D$4,IFERROR(VLOOKUP(VLOOKUP($B32, Dependencies!$B$2:$G$230, 5,FALSE),$B$14:AM$73, AM$74,FALSE),"o")=$D$4,IFERROR(VLOOKUP(VLOOKUP($B32, Dependencies!$B$2:$G$230, 6,FALSE),$B$14:AM$73, AM$74,FALSE),"o")=$D$4),$D$4,IF(OR(IFERROR(VLOOKUP(VLOOKUP($B32, Dependencies!$B$2:$G$230, 2,FALSE), $B$14:AM$73, AM$74,FALSE),"o")=$D$5,IFERROR(VLOOKUP(VLOOKUP($B32, Dependencies!$B$2:$G$230, 3,FALSE), $B$14:AM$73, AM$74,FALSE),"o")=$D$5,IFERROR(VLOOKUP(VLOOKUP($B32, Dependencies!$B$2:$G$230, 4,FALSE), $B$14:AM$73, AM$74,FALSE),"o")=$D$5,IFERROR(VLOOKUP(VLOOKUP($B32, Dependencies!$B$2:$G$230, 5,FALSE), $B$14:AM$73, AM$74,FALSE),"o")=$D$5,IFERROR(VLOOKUP(VLOOKUP($B32, Dependencies!$B$2:$G$230, 6,FALSE), $B$14:AM$73, AM$74,FALSE),"o")=$D$5),$D$5,AL32)))</f>
        <v>o</v>
      </c>
      <c r="AN32" s="93" t="s">
        <v>323</v>
      </c>
      <c r="AO32" s="70" t="str">
        <f>IF(AN32=$D$4,AN32,IF(OR(IFERROR(VLOOKUP(VLOOKUP($B32, Dependencies!$B$2:$G$230, 2,FALSE),$B$14:AO$73, AO$74,FALSE),"o")=$D$4,IFERROR(VLOOKUP(VLOOKUP($B32, Dependencies!$B$2:$G$230, 3,FALSE),$B$14:AO$73, AO$74,FALSE),"o")=$D$4,IFERROR(VLOOKUP(VLOOKUP($B32, Dependencies!$B$2:$G$230, 4,FALSE),$B$14:AO$73, AO$74,FALSE),"o")=$D$4,IFERROR(VLOOKUP(VLOOKUP($B32, Dependencies!$B$2:$G$230, 5,FALSE),$B$14:AO$73, AO$74,FALSE),"o")=$D$4,IFERROR(VLOOKUP(VLOOKUP($B32, Dependencies!$B$2:$G$230, 6,FALSE),$B$14:AO$73, AO$74,FALSE),"o")=$D$4),$D$4,IF(OR(IFERROR(VLOOKUP(VLOOKUP($B32, Dependencies!$B$2:$G$230, 2,FALSE), $B$14:AO$73, AO$74,FALSE),"o")=$D$5,IFERROR(VLOOKUP(VLOOKUP($B32, Dependencies!$B$2:$G$230, 3,FALSE), $B$14:AO$73, AO$74,FALSE),"o")=$D$5,IFERROR(VLOOKUP(VLOOKUP($B32, Dependencies!$B$2:$G$230, 4,FALSE), $B$14:AO$73, AO$74,FALSE),"o")=$D$5,IFERROR(VLOOKUP(VLOOKUP($B32, Dependencies!$B$2:$G$230, 5,FALSE), $B$14:AO$73, AO$74,FALSE),"o")=$D$5,IFERROR(VLOOKUP(VLOOKUP($B32, Dependencies!$B$2:$G$230, 6,FALSE), $B$14:AO$73, AO$74,FALSE),"o")=$D$5),$D$5,AN32)))</f>
        <v>o</v>
      </c>
      <c r="AP32" s="93" t="s">
        <v>323</v>
      </c>
      <c r="AQ32" s="70" t="str">
        <f>IF(AP32=$D$4,AP32,IF(OR(IFERROR(VLOOKUP(VLOOKUP($B32, Dependencies!$B$2:$G$230, 2,FALSE),$B$14:AQ$73, AQ$74,FALSE),"o")=$D$4,IFERROR(VLOOKUP(VLOOKUP($B32, Dependencies!$B$2:$G$230, 3,FALSE),$B$14:AQ$73, AQ$74,FALSE),"o")=$D$4,IFERROR(VLOOKUP(VLOOKUP($B32, Dependencies!$B$2:$G$230, 4,FALSE),$B$14:AQ$73, AQ$74,FALSE),"o")=$D$4,IFERROR(VLOOKUP(VLOOKUP($B32, Dependencies!$B$2:$G$230, 5,FALSE),$B$14:AQ$73, AQ$74,FALSE),"o")=$D$4,IFERROR(VLOOKUP(VLOOKUP($B32, Dependencies!$B$2:$G$230, 6,FALSE),$B$14:AQ$73, AQ$74,FALSE),"o")=$D$4),$D$4,IF(OR(IFERROR(VLOOKUP(VLOOKUP($B32, Dependencies!$B$2:$G$230, 2,FALSE), $B$14:AQ$73, AQ$74,FALSE),"o")=$D$5,IFERROR(VLOOKUP(VLOOKUP($B32, Dependencies!$B$2:$G$230, 3,FALSE), $B$14:AQ$73, AQ$74,FALSE),"o")=$D$5,IFERROR(VLOOKUP(VLOOKUP($B32, Dependencies!$B$2:$G$230, 4,FALSE), $B$14:AQ$73, AQ$74,FALSE),"o")=$D$5,IFERROR(VLOOKUP(VLOOKUP($B32, Dependencies!$B$2:$G$230, 5,FALSE), $B$14:AQ$73, AQ$74,FALSE),"o")=$D$5,IFERROR(VLOOKUP(VLOOKUP($B32, Dependencies!$B$2:$G$230, 6,FALSE), $B$14:AQ$73, AQ$74,FALSE),"o")=$D$5),$D$5,AP32)))</f>
        <v>o</v>
      </c>
      <c r="AR32" s="93" t="s">
        <v>323</v>
      </c>
      <c r="AS32" s="69" t="str">
        <f>IF(AR32=$D$4,AR32,IF(OR(IFERROR(VLOOKUP(VLOOKUP($B32, Dependencies!$B$2:$G$230, 2,FALSE),$B$14:AS$73, AS$74,FALSE),"o")=$D$4,IFERROR(VLOOKUP(VLOOKUP($B32, Dependencies!$B$2:$G$230, 3,FALSE),$B$14:AS$73, AS$74,FALSE),"o")=$D$4,IFERROR(VLOOKUP(VLOOKUP($B32, Dependencies!$B$2:$G$230, 4,FALSE),$B$14:AS$73, AS$74,FALSE),"o")=$D$4,IFERROR(VLOOKUP(VLOOKUP($B32, Dependencies!$B$2:$G$230, 5,FALSE),$B$14:AS$73, AS$74,FALSE),"o")=$D$4,IFERROR(VLOOKUP(VLOOKUP($B32, Dependencies!$B$2:$G$230, 6,FALSE),$B$14:AS$73, AS$74,FALSE),"o")=$D$4),$D$4,IF(OR(IFERROR(VLOOKUP(VLOOKUP($B32, Dependencies!$B$2:$G$230, 2,FALSE), $B$14:AS$73, AS$74,FALSE),"o")=$D$5,IFERROR(VLOOKUP(VLOOKUP($B32, Dependencies!$B$2:$G$230, 3,FALSE), $B$14:AS$73, AS$74,FALSE),"o")=$D$5,IFERROR(VLOOKUP(VLOOKUP($B32, Dependencies!$B$2:$G$230, 4,FALSE), $B$14:AS$73, AS$74,FALSE),"o")=$D$5,IFERROR(VLOOKUP(VLOOKUP($B32, Dependencies!$B$2:$G$230, 5,FALSE), $B$14:AS$73, AS$74,FALSE),"o")=$D$5,IFERROR(VLOOKUP(VLOOKUP($B32, Dependencies!$B$2:$G$230, 6,FALSE), $B$14:AS$73, AS$74,FALSE),"o")=$D$5),$D$5,AR32)))</f>
        <v>o</v>
      </c>
    </row>
    <row r="33" spans="1:45" x14ac:dyDescent="0.2">
      <c r="A33" s="40"/>
      <c r="B33" s="74" t="str">
        <f>MLEOsv2!A21</f>
        <v>MLEO_01_08</v>
      </c>
      <c r="C33" s="74">
        <f>MLEOsv2!C21</f>
        <v>3</v>
      </c>
      <c r="D33" s="44" t="str">
        <f>MLEOsv2!G21</f>
        <v>implement deep copy constructors.</v>
      </c>
      <c r="E33" s="68" t="b">
        <f>MLEOsv2!H21</f>
        <v>0</v>
      </c>
      <c r="F33" s="94" t="s">
        <v>320</v>
      </c>
      <c r="G33" s="72" t="str">
        <f>IF(F33=$D$4,F33,IF(OR(IFERROR(VLOOKUP(VLOOKUP($B33, Dependencies!$B$2:$G$230, 2,FALSE),$B$14:G$73, G$74,FALSE),"o")=$D$4,IFERROR(VLOOKUP(VLOOKUP($B33, Dependencies!$B$2:$G$230, 3,FALSE),$B$14:G$73, G$74,FALSE),"o")=$D$4,IFERROR(VLOOKUP(VLOOKUP($B33, Dependencies!$B$2:$G$230, 4,FALSE),$B$14:G$73, G$74,FALSE),"o")=$D$4,IFERROR(VLOOKUP(VLOOKUP($B33, Dependencies!$B$2:$G$230, 5,FALSE),$B$14:G$73, G$74,FALSE),"o")=$D$4,IFERROR(VLOOKUP(VLOOKUP($B33, Dependencies!$B$2:$G$230, 6,FALSE),$B$14:G$73, G$74,FALSE),"o")=$D$4),$D$4,IF(OR(IFERROR(VLOOKUP(VLOOKUP($B33, Dependencies!$B$2:$G$230, 2,FALSE), $B$14:G$73, G$74,FALSE),"o")=$D$5,IFERROR(VLOOKUP(VLOOKUP($B33, Dependencies!$B$2:$G$230, 3,FALSE), $B$14:G$73, G$74,FALSE),"o")=$D$5,IFERROR(VLOOKUP(VLOOKUP($B33, Dependencies!$B$2:$G$230, 4,FALSE), $B$14:G$73, G$74,FALSE),"o")=$D$5,IFERROR(VLOOKUP(VLOOKUP($B33, Dependencies!$B$2:$G$230, 5,FALSE), $B$14:G$73, G$74,FALSE),"o")=$D$5,IFERROR(VLOOKUP(VLOOKUP($B33, Dependencies!$B$2:$G$230, 6,FALSE), $B$14:G$73, G$74,FALSE),"o")=$D$5),$D$5,F33)))</f>
        <v>r</v>
      </c>
      <c r="H33" s="94" t="s">
        <v>321</v>
      </c>
      <c r="I33" s="72" t="str">
        <f>IF(H33=$D$4,H33,IF(OR(IFERROR(VLOOKUP(VLOOKUP($B33, Dependencies!$B$2:$G$230, 2,FALSE),$B$14:I$73, I$74,FALSE),"o")=$D$4,IFERROR(VLOOKUP(VLOOKUP($B33, Dependencies!$B$2:$G$230, 3,FALSE),$B$14:I$73, I$74,FALSE),"o")=$D$4,IFERROR(VLOOKUP(VLOOKUP($B33, Dependencies!$B$2:$G$230, 4,FALSE),$B$14:I$73, I$74,FALSE),"o")=$D$4,IFERROR(VLOOKUP(VLOOKUP($B33, Dependencies!$B$2:$G$230, 5,FALSE),$B$14:I$73, I$74,FALSE),"o")=$D$4,IFERROR(VLOOKUP(VLOOKUP($B33, Dependencies!$B$2:$G$230, 6,FALSE),$B$14:I$73, I$74,FALSE),"o")=$D$4),$D$4,IF(OR(IFERROR(VLOOKUP(VLOOKUP($B33, Dependencies!$B$2:$G$230, 2,FALSE), $B$14:I$73, I$74,FALSE),"o")=$D$5,IFERROR(VLOOKUP(VLOOKUP($B33, Dependencies!$B$2:$G$230, 3,FALSE), $B$14:I$73, I$74,FALSE),"o")=$D$5,IFERROR(VLOOKUP(VLOOKUP($B33, Dependencies!$B$2:$G$230, 4,FALSE), $B$14:I$73, I$74,FALSE),"o")=$D$5,IFERROR(VLOOKUP(VLOOKUP($B33, Dependencies!$B$2:$G$230, 5,FALSE), $B$14:I$73, I$74,FALSE),"o")=$D$5,IFERROR(VLOOKUP(VLOOKUP($B33, Dependencies!$B$2:$G$230, 6,FALSE), $B$14:I$73, I$74,FALSE),"o")=$D$5),$D$5,H33)))</f>
        <v>pr</v>
      </c>
      <c r="J33" s="94" t="s">
        <v>323</v>
      </c>
      <c r="K33" s="72" t="str">
        <f>IF(J33=$D$4,J33,IF(OR(IFERROR(VLOOKUP(VLOOKUP($B33, Dependencies!$B$2:$G$230, 2,FALSE),$B$14:K$73, K$74,FALSE),"o")=$D$4,IFERROR(VLOOKUP(VLOOKUP($B33, Dependencies!$B$2:$G$230, 3,FALSE),$B$14:K$73, K$74,FALSE),"o")=$D$4,IFERROR(VLOOKUP(VLOOKUP($B33, Dependencies!$B$2:$G$230, 4,FALSE),$B$14:K$73, K$74,FALSE),"o")=$D$4,IFERROR(VLOOKUP(VLOOKUP($B33, Dependencies!$B$2:$G$230, 5,FALSE),$B$14:K$73, K$74,FALSE),"o")=$D$4,IFERROR(VLOOKUP(VLOOKUP($B33, Dependencies!$B$2:$G$230, 6,FALSE),$B$14:K$73, K$74,FALSE),"o")=$D$4),$D$4,IF(OR(IFERROR(VLOOKUP(VLOOKUP($B33, Dependencies!$B$2:$G$230, 2,FALSE), $B$14:K$73, K$74,FALSE),"o")=$D$5,IFERROR(VLOOKUP(VLOOKUP($B33, Dependencies!$B$2:$G$230, 3,FALSE), $B$14:K$73, K$74,FALSE),"o")=$D$5,IFERROR(VLOOKUP(VLOOKUP($B33, Dependencies!$B$2:$G$230, 4,FALSE), $B$14:K$73, K$74,FALSE),"o")=$D$5,IFERROR(VLOOKUP(VLOOKUP($B33, Dependencies!$B$2:$G$230, 5,FALSE), $B$14:K$73, K$74,FALSE),"o")=$D$5,IFERROR(VLOOKUP(VLOOKUP($B33, Dependencies!$B$2:$G$230, 6,FALSE), $B$14:K$73, K$74,FALSE),"o")=$D$5),$D$5,J33)))</f>
        <v>o</v>
      </c>
      <c r="L33" s="94" t="s">
        <v>323</v>
      </c>
      <c r="M33" s="72" t="str">
        <f>IF(L33=$D$4,L33,IF(OR(IFERROR(VLOOKUP(VLOOKUP($B33, Dependencies!$B$2:$G$230, 2,FALSE),$B$14:M$73, M$74,FALSE),"o")=$D$4,IFERROR(VLOOKUP(VLOOKUP($B33, Dependencies!$B$2:$G$230, 3,FALSE),$B$14:M$73, M$74,FALSE),"o")=$D$4,IFERROR(VLOOKUP(VLOOKUP($B33, Dependencies!$B$2:$G$230, 4,FALSE),$B$14:M$73, M$74,FALSE),"o")=$D$4,IFERROR(VLOOKUP(VLOOKUP($B33, Dependencies!$B$2:$G$230, 5,FALSE),$B$14:M$73, M$74,FALSE),"o")=$D$4,IFERROR(VLOOKUP(VLOOKUP($B33, Dependencies!$B$2:$G$230, 6,FALSE),$B$14:M$73, M$74,FALSE),"o")=$D$4),$D$4,IF(OR(IFERROR(VLOOKUP(VLOOKUP($B33, Dependencies!$B$2:$G$230, 2,FALSE), $B$14:M$73, M$74,FALSE),"o")=$D$5,IFERROR(VLOOKUP(VLOOKUP($B33, Dependencies!$B$2:$G$230, 3,FALSE), $B$14:M$73, M$74,FALSE),"o")=$D$5,IFERROR(VLOOKUP(VLOOKUP($B33, Dependencies!$B$2:$G$230, 4,FALSE), $B$14:M$73, M$74,FALSE),"o")=$D$5,IFERROR(VLOOKUP(VLOOKUP($B33, Dependencies!$B$2:$G$230, 5,FALSE), $B$14:M$73, M$74,FALSE),"o")=$D$5,IFERROR(VLOOKUP(VLOOKUP($B33, Dependencies!$B$2:$G$230, 6,FALSE), $B$14:M$73, M$74,FALSE),"o")=$D$5),$D$5,L33)))</f>
        <v>o</v>
      </c>
      <c r="N33" s="94" t="s">
        <v>323</v>
      </c>
      <c r="O33" s="72" t="str">
        <f>IF(N33=$D$4,N33,IF(OR(IFERROR(VLOOKUP(VLOOKUP($B33, Dependencies!$B$2:$G$230, 2,FALSE),$B$14:O$73, O$74,FALSE),"o")=$D$4,IFERROR(VLOOKUP(VLOOKUP($B33, Dependencies!$B$2:$G$230, 3,FALSE),$B$14:O$73, O$74,FALSE),"o")=$D$4,IFERROR(VLOOKUP(VLOOKUP($B33, Dependencies!$B$2:$G$230, 4,FALSE),$B$14:O$73, O$74,FALSE),"o")=$D$4,IFERROR(VLOOKUP(VLOOKUP($B33, Dependencies!$B$2:$G$230, 5,FALSE),$B$14:O$73, O$74,FALSE),"o")=$D$4,IFERROR(VLOOKUP(VLOOKUP($B33, Dependencies!$B$2:$G$230, 6,FALSE),$B$14:O$73, O$74,FALSE),"o")=$D$4),$D$4,IF(OR(IFERROR(VLOOKUP(VLOOKUP($B33, Dependencies!$B$2:$G$230, 2,FALSE), $B$14:O$73, O$74,FALSE),"o")=$D$5,IFERROR(VLOOKUP(VLOOKUP($B33, Dependencies!$B$2:$G$230, 3,FALSE), $B$14:O$73, O$74,FALSE),"o")=$D$5,IFERROR(VLOOKUP(VLOOKUP($B33, Dependencies!$B$2:$G$230, 4,FALSE), $B$14:O$73, O$74,FALSE),"o")=$D$5,IFERROR(VLOOKUP(VLOOKUP($B33, Dependencies!$B$2:$G$230, 5,FALSE), $B$14:O$73, O$74,FALSE),"o")=$D$5,IFERROR(VLOOKUP(VLOOKUP($B33, Dependencies!$B$2:$G$230, 6,FALSE), $B$14:O$73, O$74,FALSE),"o")=$D$5),$D$5,N33)))</f>
        <v>o</v>
      </c>
      <c r="P33" s="94" t="s">
        <v>323</v>
      </c>
      <c r="Q33" s="72" t="str">
        <f>IF(P33=$D$4,P33,IF(OR(IFERROR(VLOOKUP(VLOOKUP($B33, Dependencies!$B$2:$G$230, 2,FALSE),$B$14:Q$73, Q$74,FALSE),"o")=$D$4,IFERROR(VLOOKUP(VLOOKUP($B33, Dependencies!$B$2:$G$230, 3,FALSE),$B$14:Q$73, Q$74,FALSE),"o")=$D$4,IFERROR(VLOOKUP(VLOOKUP($B33, Dependencies!$B$2:$G$230, 4,FALSE),$B$14:Q$73, Q$74,FALSE),"o")=$D$4,IFERROR(VLOOKUP(VLOOKUP($B33, Dependencies!$B$2:$G$230, 5,FALSE),$B$14:Q$73, Q$74,FALSE),"o")=$D$4,IFERROR(VLOOKUP(VLOOKUP($B33, Dependencies!$B$2:$G$230, 6,FALSE),$B$14:Q$73, Q$74,FALSE),"o")=$D$4),$D$4,IF(OR(IFERROR(VLOOKUP(VLOOKUP($B33, Dependencies!$B$2:$G$230, 2,FALSE), $B$14:Q$73, Q$74,FALSE),"o")=$D$5,IFERROR(VLOOKUP(VLOOKUP($B33, Dependencies!$B$2:$G$230, 3,FALSE), $B$14:Q$73, Q$74,FALSE),"o")=$D$5,IFERROR(VLOOKUP(VLOOKUP($B33, Dependencies!$B$2:$G$230, 4,FALSE), $B$14:Q$73, Q$74,FALSE),"o")=$D$5,IFERROR(VLOOKUP(VLOOKUP($B33, Dependencies!$B$2:$G$230, 5,FALSE), $B$14:Q$73, Q$74,FALSE),"o")=$D$5,IFERROR(VLOOKUP(VLOOKUP($B33, Dependencies!$B$2:$G$230, 6,FALSE), $B$14:Q$73, Q$74,FALSE),"o")=$D$5),$D$5,P33)))</f>
        <v>o</v>
      </c>
      <c r="R33" s="94" t="s">
        <v>323</v>
      </c>
      <c r="S33" s="72" t="str">
        <f>IF(R33=$D$4,R33,IF(OR(IFERROR(VLOOKUP(VLOOKUP($B33, Dependencies!$B$2:$G$230, 2,FALSE),$B$14:S$73, S$74,FALSE),"o")=$D$4,IFERROR(VLOOKUP(VLOOKUP($B33, Dependencies!$B$2:$G$230, 3,FALSE),$B$14:S$73, S$74,FALSE),"o")=$D$4,IFERROR(VLOOKUP(VLOOKUP($B33, Dependencies!$B$2:$G$230, 4,FALSE),$B$14:S$73, S$74,FALSE),"o")=$D$4,IFERROR(VLOOKUP(VLOOKUP($B33, Dependencies!$B$2:$G$230, 5,FALSE),$B$14:S$73, S$74,FALSE),"o")=$D$4,IFERROR(VLOOKUP(VLOOKUP($B33, Dependencies!$B$2:$G$230, 6,FALSE),$B$14:S$73, S$74,FALSE),"o")=$D$4),$D$4,IF(OR(IFERROR(VLOOKUP(VLOOKUP($B33, Dependencies!$B$2:$G$230, 2,FALSE), $B$14:S$73, S$74,FALSE),"o")=$D$5,IFERROR(VLOOKUP(VLOOKUP($B33, Dependencies!$B$2:$G$230, 3,FALSE), $B$14:S$73, S$74,FALSE),"o")=$D$5,IFERROR(VLOOKUP(VLOOKUP($B33, Dependencies!$B$2:$G$230, 4,FALSE), $B$14:S$73, S$74,FALSE),"o")=$D$5,IFERROR(VLOOKUP(VLOOKUP($B33, Dependencies!$B$2:$G$230, 5,FALSE), $B$14:S$73, S$74,FALSE),"o")=$D$5,IFERROR(VLOOKUP(VLOOKUP($B33, Dependencies!$B$2:$G$230, 6,FALSE), $B$14:S$73, S$74,FALSE),"o")=$D$5),$D$5,R33)))</f>
        <v>o</v>
      </c>
      <c r="T33" s="94" t="s">
        <v>323</v>
      </c>
      <c r="U33" s="72" t="str">
        <f>IF(T33=$D$4,T33,IF(OR(IFERROR(VLOOKUP(VLOOKUP($B33, Dependencies!$B$2:$G$230, 2,FALSE),$B$14:U$73, U$74,FALSE),"o")=$D$4,IFERROR(VLOOKUP(VLOOKUP($B33, Dependencies!$B$2:$G$230, 3,FALSE),$B$14:U$73, U$74,FALSE),"o")=$D$4,IFERROR(VLOOKUP(VLOOKUP($B33, Dependencies!$B$2:$G$230, 4,FALSE),$B$14:U$73, U$74,FALSE),"o")=$D$4,IFERROR(VLOOKUP(VLOOKUP($B33, Dependencies!$B$2:$G$230, 5,FALSE),$B$14:U$73, U$74,FALSE),"o")=$D$4,IFERROR(VLOOKUP(VLOOKUP($B33, Dependencies!$B$2:$G$230, 6,FALSE),$B$14:U$73, U$74,FALSE),"o")=$D$4),$D$4,IF(OR(IFERROR(VLOOKUP(VLOOKUP($B33, Dependencies!$B$2:$G$230, 2,FALSE), $B$14:U$73, U$74,FALSE),"o")=$D$5,IFERROR(VLOOKUP(VLOOKUP($B33, Dependencies!$B$2:$G$230, 3,FALSE), $B$14:U$73, U$74,FALSE),"o")=$D$5,IFERROR(VLOOKUP(VLOOKUP($B33, Dependencies!$B$2:$G$230, 4,FALSE), $B$14:U$73, U$74,FALSE),"o")=$D$5,IFERROR(VLOOKUP(VLOOKUP($B33, Dependencies!$B$2:$G$230, 5,FALSE), $B$14:U$73, U$74,FALSE),"o")=$D$5,IFERROR(VLOOKUP(VLOOKUP($B33, Dependencies!$B$2:$G$230, 6,FALSE), $B$14:U$73, U$74,FALSE),"o")=$D$5),$D$5,T33)))</f>
        <v>o</v>
      </c>
      <c r="V33" s="94" t="s">
        <v>323</v>
      </c>
      <c r="W33" s="72" t="str">
        <f>IF(V33=$D$4,V33,IF(OR(IFERROR(VLOOKUP(VLOOKUP($B33, Dependencies!$B$2:$G$230, 2,FALSE),$B$14:W$73, W$74,FALSE),"o")=$D$4,IFERROR(VLOOKUP(VLOOKUP($B33, Dependencies!$B$2:$G$230, 3,FALSE),$B$14:W$73, W$74,FALSE),"o")=$D$4,IFERROR(VLOOKUP(VLOOKUP($B33, Dependencies!$B$2:$G$230, 4,FALSE),$B$14:W$73, W$74,FALSE),"o")=$D$4,IFERROR(VLOOKUP(VLOOKUP($B33, Dependencies!$B$2:$G$230, 5,FALSE),$B$14:W$73, W$74,FALSE),"o")=$D$4,IFERROR(VLOOKUP(VLOOKUP($B33, Dependencies!$B$2:$G$230, 6,FALSE),$B$14:W$73, W$74,FALSE),"o")=$D$4),$D$4,IF(OR(IFERROR(VLOOKUP(VLOOKUP($B33, Dependencies!$B$2:$G$230, 2,FALSE), $B$14:W$73, W$74,FALSE),"o")=$D$5,IFERROR(VLOOKUP(VLOOKUP($B33, Dependencies!$B$2:$G$230, 3,FALSE), $B$14:W$73, W$74,FALSE),"o")=$D$5,IFERROR(VLOOKUP(VLOOKUP($B33, Dependencies!$B$2:$G$230, 4,FALSE), $B$14:W$73, W$74,FALSE),"o")=$D$5,IFERROR(VLOOKUP(VLOOKUP($B33, Dependencies!$B$2:$G$230, 5,FALSE), $B$14:W$73, W$74,FALSE),"o")=$D$5,IFERROR(VLOOKUP(VLOOKUP($B33, Dependencies!$B$2:$G$230, 6,FALSE), $B$14:W$73, W$74,FALSE),"o")=$D$5),$D$5,V33)))</f>
        <v>o</v>
      </c>
      <c r="X33" s="94" t="s">
        <v>323</v>
      </c>
      <c r="Y33" s="72" t="str">
        <f>IF(X33=$D$4,X33,IF(OR(IFERROR(VLOOKUP(VLOOKUP($B33, Dependencies!$B$2:$G$230, 2,FALSE),$B$14:Y$73, Y$74,FALSE),"o")=$D$4,IFERROR(VLOOKUP(VLOOKUP($B33, Dependencies!$B$2:$G$230, 3,FALSE),$B$14:Y$73, Y$74,FALSE),"o")=$D$4,IFERROR(VLOOKUP(VLOOKUP($B33, Dependencies!$B$2:$G$230, 4,FALSE),$B$14:Y$73, Y$74,FALSE),"o")=$D$4,IFERROR(VLOOKUP(VLOOKUP($B33, Dependencies!$B$2:$G$230, 5,FALSE),$B$14:Y$73, Y$74,FALSE),"o")=$D$4,IFERROR(VLOOKUP(VLOOKUP($B33, Dependencies!$B$2:$G$230, 6,FALSE),$B$14:Y$73, Y$74,FALSE),"o")=$D$4),$D$4,IF(OR(IFERROR(VLOOKUP(VLOOKUP($B33, Dependencies!$B$2:$G$230, 2,FALSE), $B$14:Y$73, Y$74,FALSE),"o")=$D$5,IFERROR(VLOOKUP(VLOOKUP($B33, Dependencies!$B$2:$G$230, 3,FALSE), $B$14:Y$73, Y$74,FALSE),"o")=$D$5,IFERROR(VLOOKUP(VLOOKUP($B33, Dependencies!$B$2:$G$230, 4,FALSE), $B$14:Y$73, Y$74,FALSE),"o")=$D$5,IFERROR(VLOOKUP(VLOOKUP($B33, Dependencies!$B$2:$G$230, 5,FALSE), $B$14:Y$73, Y$74,FALSE),"o")=$D$5,IFERROR(VLOOKUP(VLOOKUP($B33, Dependencies!$B$2:$G$230, 6,FALSE), $B$14:Y$73, Y$74,FALSE),"o")=$D$5),$D$5,X33)))</f>
        <v>o</v>
      </c>
      <c r="Z33" s="94" t="s">
        <v>323</v>
      </c>
      <c r="AA33" s="72" t="str">
        <f>IF(Z33=$D$4,Z33,IF(OR(IFERROR(VLOOKUP(VLOOKUP($B33, Dependencies!$B$2:$G$230, 2,FALSE),$B$14:AA$73, AA$74,FALSE),"o")=$D$4,IFERROR(VLOOKUP(VLOOKUP($B33, Dependencies!$B$2:$G$230, 3,FALSE),$B$14:AA$73, AA$74,FALSE),"o")=$D$4,IFERROR(VLOOKUP(VLOOKUP($B33, Dependencies!$B$2:$G$230, 4,FALSE),$B$14:AA$73, AA$74,FALSE),"o")=$D$4,IFERROR(VLOOKUP(VLOOKUP($B33, Dependencies!$B$2:$G$230, 5,FALSE),$B$14:AA$73, AA$74,FALSE),"o")=$D$4,IFERROR(VLOOKUP(VLOOKUP($B33, Dependencies!$B$2:$G$230, 6,FALSE),$B$14:AA$73, AA$74,FALSE),"o")=$D$4),$D$4,IF(OR(IFERROR(VLOOKUP(VLOOKUP($B33, Dependencies!$B$2:$G$230, 2,FALSE), $B$14:AA$73, AA$74,FALSE),"o")=$D$5,IFERROR(VLOOKUP(VLOOKUP($B33, Dependencies!$B$2:$G$230, 3,FALSE), $B$14:AA$73, AA$74,FALSE),"o")=$D$5,IFERROR(VLOOKUP(VLOOKUP($B33, Dependencies!$B$2:$G$230, 4,FALSE), $B$14:AA$73, AA$74,FALSE),"o")=$D$5,IFERROR(VLOOKUP(VLOOKUP($B33, Dependencies!$B$2:$G$230, 5,FALSE), $B$14:AA$73, AA$74,FALSE),"o")=$D$5,IFERROR(VLOOKUP(VLOOKUP($B33, Dependencies!$B$2:$G$230, 6,FALSE), $B$14:AA$73, AA$74,FALSE),"o")=$D$5),$D$5,Z33)))</f>
        <v>o</v>
      </c>
      <c r="AB33" s="94" t="s">
        <v>323</v>
      </c>
      <c r="AC33" s="72" t="str">
        <f>IF(AB33=$D$4,AB33,IF(OR(IFERROR(VLOOKUP(VLOOKUP($B33, Dependencies!$B$2:$G$230, 2,FALSE),$B$14:AC$73, AC$74,FALSE),"o")=$D$4,IFERROR(VLOOKUP(VLOOKUP($B33, Dependencies!$B$2:$G$230, 3,FALSE),$B$14:AC$73, AC$74,FALSE),"o")=$D$4,IFERROR(VLOOKUP(VLOOKUP($B33, Dependencies!$B$2:$G$230, 4,FALSE),$B$14:AC$73, AC$74,FALSE),"o")=$D$4,IFERROR(VLOOKUP(VLOOKUP($B33, Dependencies!$B$2:$G$230, 5,FALSE),$B$14:AC$73, AC$74,FALSE),"o")=$D$4,IFERROR(VLOOKUP(VLOOKUP($B33, Dependencies!$B$2:$G$230, 6,FALSE),$B$14:AC$73, AC$74,FALSE),"o")=$D$4),$D$4,IF(OR(IFERROR(VLOOKUP(VLOOKUP($B33, Dependencies!$B$2:$G$230, 2,FALSE), $B$14:AC$73, AC$74,FALSE),"o")=$D$5,IFERROR(VLOOKUP(VLOOKUP($B33, Dependencies!$B$2:$G$230, 3,FALSE), $B$14:AC$73, AC$74,FALSE),"o")=$D$5,IFERROR(VLOOKUP(VLOOKUP($B33, Dependencies!$B$2:$G$230, 4,FALSE), $B$14:AC$73, AC$74,FALSE),"o")=$D$5,IFERROR(VLOOKUP(VLOOKUP($B33, Dependencies!$B$2:$G$230, 5,FALSE), $B$14:AC$73, AC$74,FALSE),"o")=$D$5,IFERROR(VLOOKUP(VLOOKUP($B33, Dependencies!$B$2:$G$230, 6,FALSE), $B$14:AC$73, AC$74,FALSE),"o")=$D$5),$D$5,AB33)))</f>
        <v>o</v>
      </c>
      <c r="AD33" s="94" t="s">
        <v>323</v>
      </c>
      <c r="AE33" s="72" t="str">
        <f>IF(AD33=$D$4,AD33,IF(OR(IFERROR(VLOOKUP(VLOOKUP($B33, Dependencies!$B$2:$G$230, 2,FALSE),$B$14:AE$73, AE$74,FALSE),"o")=$D$4,IFERROR(VLOOKUP(VLOOKUP($B33, Dependencies!$B$2:$G$230, 3,FALSE),$B$14:AE$73, AE$74,FALSE),"o")=$D$4,IFERROR(VLOOKUP(VLOOKUP($B33, Dependencies!$B$2:$G$230, 4,FALSE),$B$14:AE$73, AE$74,FALSE),"o")=$D$4,IFERROR(VLOOKUP(VLOOKUP($B33, Dependencies!$B$2:$G$230, 5,FALSE),$B$14:AE$73, AE$74,FALSE),"o")=$D$4,IFERROR(VLOOKUP(VLOOKUP($B33, Dependencies!$B$2:$G$230, 6,FALSE),$B$14:AE$73, AE$74,FALSE),"o")=$D$4),$D$4,IF(OR(IFERROR(VLOOKUP(VLOOKUP($B33, Dependencies!$B$2:$G$230, 2,FALSE), $B$14:AE$73, AE$74,FALSE),"o")=$D$5,IFERROR(VLOOKUP(VLOOKUP($B33, Dependencies!$B$2:$G$230, 3,FALSE), $B$14:AE$73, AE$74,FALSE),"o")=$D$5,IFERROR(VLOOKUP(VLOOKUP($B33, Dependencies!$B$2:$G$230, 4,FALSE), $B$14:AE$73, AE$74,FALSE),"o")=$D$5,IFERROR(VLOOKUP(VLOOKUP($B33, Dependencies!$B$2:$G$230, 5,FALSE), $B$14:AE$73, AE$74,FALSE),"o")=$D$5,IFERROR(VLOOKUP(VLOOKUP($B33, Dependencies!$B$2:$G$230, 6,FALSE), $B$14:AE$73, AE$74,FALSE),"o")=$D$5),$D$5,AD33)))</f>
        <v>o</v>
      </c>
      <c r="AF33" s="94" t="s">
        <v>323</v>
      </c>
      <c r="AG33" s="72" t="str">
        <f>IF(AF33=$D$4,AF33,IF(OR(IFERROR(VLOOKUP(VLOOKUP($B33, Dependencies!$B$2:$G$230, 2,FALSE),$B$14:AG$73, AG$74,FALSE),"o")=$D$4,IFERROR(VLOOKUP(VLOOKUP($B33, Dependencies!$B$2:$G$230, 3,FALSE),$B$14:AG$73, AG$74,FALSE),"o")=$D$4,IFERROR(VLOOKUP(VLOOKUP($B33, Dependencies!$B$2:$G$230, 4,FALSE),$B$14:AG$73, AG$74,FALSE),"o")=$D$4,IFERROR(VLOOKUP(VLOOKUP($B33, Dependencies!$B$2:$G$230, 5,FALSE),$B$14:AG$73, AG$74,FALSE),"o")=$D$4,IFERROR(VLOOKUP(VLOOKUP($B33, Dependencies!$B$2:$G$230, 6,FALSE),$B$14:AG$73, AG$74,FALSE),"o")=$D$4),$D$4,IF(OR(IFERROR(VLOOKUP(VLOOKUP($B33, Dependencies!$B$2:$G$230, 2,FALSE), $B$14:AG$73, AG$74,FALSE),"o")=$D$5,IFERROR(VLOOKUP(VLOOKUP($B33, Dependencies!$B$2:$G$230, 3,FALSE), $B$14:AG$73, AG$74,FALSE),"o")=$D$5,IFERROR(VLOOKUP(VLOOKUP($B33, Dependencies!$B$2:$G$230, 4,FALSE), $B$14:AG$73, AG$74,FALSE),"o")=$D$5,IFERROR(VLOOKUP(VLOOKUP($B33, Dependencies!$B$2:$G$230, 5,FALSE), $B$14:AG$73, AG$74,FALSE),"o")=$D$5,IFERROR(VLOOKUP(VLOOKUP($B33, Dependencies!$B$2:$G$230, 6,FALSE), $B$14:AG$73, AG$74,FALSE),"o")=$D$5),$D$5,AF33)))</f>
        <v>o</v>
      </c>
      <c r="AH33" s="94" t="s">
        <v>323</v>
      </c>
      <c r="AI33" s="72" t="str">
        <f>IF(AH33=$D$4,AH33,IF(OR(IFERROR(VLOOKUP(VLOOKUP($B33, Dependencies!$B$2:$G$230, 2,FALSE),$B$14:AI$73, AI$74,FALSE),"o")=$D$4,IFERROR(VLOOKUP(VLOOKUP($B33, Dependencies!$B$2:$G$230, 3,FALSE),$B$14:AI$73, AI$74,FALSE),"o")=$D$4,IFERROR(VLOOKUP(VLOOKUP($B33, Dependencies!$B$2:$G$230, 4,FALSE),$B$14:AI$73, AI$74,FALSE),"o")=$D$4,IFERROR(VLOOKUP(VLOOKUP($B33, Dependencies!$B$2:$G$230, 5,FALSE),$B$14:AI$73, AI$74,FALSE),"o")=$D$4,IFERROR(VLOOKUP(VLOOKUP($B33, Dependencies!$B$2:$G$230, 6,FALSE),$B$14:AI$73, AI$74,FALSE),"o")=$D$4),$D$4,IF(OR(IFERROR(VLOOKUP(VLOOKUP($B33, Dependencies!$B$2:$G$230, 2,FALSE), $B$14:AI$73, AI$74,FALSE),"o")=$D$5,IFERROR(VLOOKUP(VLOOKUP($B33, Dependencies!$B$2:$G$230, 3,FALSE), $B$14:AI$73, AI$74,FALSE),"o")=$D$5,IFERROR(VLOOKUP(VLOOKUP($B33, Dependencies!$B$2:$G$230, 4,FALSE), $B$14:AI$73, AI$74,FALSE),"o")=$D$5,IFERROR(VLOOKUP(VLOOKUP($B33, Dependencies!$B$2:$G$230, 5,FALSE), $B$14:AI$73, AI$74,FALSE),"o")=$D$5,IFERROR(VLOOKUP(VLOOKUP($B33, Dependencies!$B$2:$G$230, 6,FALSE), $B$14:AI$73, AI$74,FALSE),"o")=$D$5),$D$5,AH33)))</f>
        <v>o</v>
      </c>
      <c r="AJ33" s="94" t="s">
        <v>323</v>
      </c>
      <c r="AK33" s="72" t="str">
        <f>IF(AJ33=$D$4,AJ33,IF(OR(IFERROR(VLOOKUP(VLOOKUP($B33, Dependencies!$B$2:$G$230, 2,FALSE),$B$14:AK$73, AK$74,FALSE),"o")=$D$4,IFERROR(VLOOKUP(VLOOKUP($B33, Dependencies!$B$2:$G$230, 3,FALSE),$B$14:AK$73, AK$74,FALSE),"o")=$D$4,IFERROR(VLOOKUP(VLOOKUP($B33, Dependencies!$B$2:$G$230, 4,FALSE),$B$14:AK$73, AK$74,FALSE),"o")=$D$4,IFERROR(VLOOKUP(VLOOKUP($B33, Dependencies!$B$2:$G$230, 5,FALSE),$B$14:AK$73, AK$74,FALSE),"o")=$D$4,IFERROR(VLOOKUP(VLOOKUP($B33, Dependencies!$B$2:$G$230, 6,FALSE),$B$14:AK$73, AK$74,FALSE),"o")=$D$4),$D$4,IF(OR(IFERROR(VLOOKUP(VLOOKUP($B33, Dependencies!$B$2:$G$230, 2,FALSE), $B$14:AK$73, AK$74,FALSE),"o")=$D$5,IFERROR(VLOOKUP(VLOOKUP($B33, Dependencies!$B$2:$G$230, 3,FALSE), $B$14:AK$73, AK$74,FALSE),"o")=$D$5,IFERROR(VLOOKUP(VLOOKUP($B33, Dependencies!$B$2:$G$230, 4,FALSE), $B$14:AK$73, AK$74,FALSE),"o")=$D$5,IFERROR(VLOOKUP(VLOOKUP($B33, Dependencies!$B$2:$G$230, 5,FALSE), $B$14:AK$73, AK$74,FALSE),"o")=$D$5,IFERROR(VLOOKUP(VLOOKUP($B33, Dependencies!$B$2:$G$230, 6,FALSE), $B$14:AK$73, AK$74,FALSE),"o")=$D$5),$D$5,AJ33)))</f>
        <v>o</v>
      </c>
      <c r="AL33" s="94" t="s">
        <v>323</v>
      </c>
      <c r="AM33" s="72" t="str">
        <f>IF(AL33=$D$4,AL33,IF(OR(IFERROR(VLOOKUP(VLOOKUP($B33, Dependencies!$B$2:$G$230, 2,FALSE),$B$14:AM$73, AM$74,FALSE),"o")=$D$4,IFERROR(VLOOKUP(VLOOKUP($B33, Dependencies!$B$2:$G$230, 3,FALSE),$B$14:AM$73, AM$74,FALSE),"o")=$D$4,IFERROR(VLOOKUP(VLOOKUP($B33, Dependencies!$B$2:$G$230, 4,FALSE),$B$14:AM$73, AM$74,FALSE),"o")=$D$4,IFERROR(VLOOKUP(VLOOKUP($B33, Dependencies!$B$2:$G$230, 5,FALSE),$B$14:AM$73, AM$74,FALSE),"o")=$D$4,IFERROR(VLOOKUP(VLOOKUP($B33, Dependencies!$B$2:$G$230, 6,FALSE),$B$14:AM$73, AM$74,FALSE),"o")=$D$4),$D$4,IF(OR(IFERROR(VLOOKUP(VLOOKUP($B33, Dependencies!$B$2:$G$230, 2,FALSE), $B$14:AM$73, AM$74,FALSE),"o")=$D$5,IFERROR(VLOOKUP(VLOOKUP($B33, Dependencies!$B$2:$G$230, 3,FALSE), $B$14:AM$73, AM$74,FALSE),"o")=$D$5,IFERROR(VLOOKUP(VLOOKUP($B33, Dependencies!$B$2:$G$230, 4,FALSE), $B$14:AM$73, AM$74,FALSE),"o")=$D$5,IFERROR(VLOOKUP(VLOOKUP($B33, Dependencies!$B$2:$G$230, 5,FALSE), $B$14:AM$73, AM$74,FALSE),"o")=$D$5,IFERROR(VLOOKUP(VLOOKUP($B33, Dependencies!$B$2:$G$230, 6,FALSE), $B$14:AM$73, AM$74,FALSE),"o")=$D$5),$D$5,AL33)))</f>
        <v>o</v>
      </c>
      <c r="AN33" s="94" t="s">
        <v>323</v>
      </c>
      <c r="AO33" s="72" t="str">
        <f>IF(AN33=$D$4,AN33,IF(OR(IFERROR(VLOOKUP(VLOOKUP($B33, Dependencies!$B$2:$G$230, 2,FALSE),$B$14:AO$73, AO$74,FALSE),"o")=$D$4,IFERROR(VLOOKUP(VLOOKUP($B33, Dependencies!$B$2:$G$230, 3,FALSE),$B$14:AO$73, AO$74,FALSE),"o")=$D$4,IFERROR(VLOOKUP(VLOOKUP($B33, Dependencies!$B$2:$G$230, 4,FALSE),$B$14:AO$73, AO$74,FALSE),"o")=$D$4,IFERROR(VLOOKUP(VLOOKUP($B33, Dependencies!$B$2:$G$230, 5,FALSE),$B$14:AO$73, AO$74,FALSE),"o")=$D$4,IFERROR(VLOOKUP(VLOOKUP($B33, Dependencies!$B$2:$G$230, 6,FALSE),$B$14:AO$73, AO$74,FALSE),"o")=$D$4),$D$4,IF(OR(IFERROR(VLOOKUP(VLOOKUP($B33, Dependencies!$B$2:$G$230, 2,FALSE), $B$14:AO$73, AO$74,FALSE),"o")=$D$5,IFERROR(VLOOKUP(VLOOKUP($B33, Dependencies!$B$2:$G$230, 3,FALSE), $B$14:AO$73, AO$74,FALSE),"o")=$D$5,IFERROR(VLOOKUP(VLOOKUP($B33, Dependencies!$B$2:$G$230, 4,FALSE), $B$14:AO$73, AO$74,FALSE),"o")=$D$5,IFERROR(VLOOKUP(VLOOKUP($B33, Dependencies!$B$2:$G$230, 5,FALSE), $B$14:AO$73, AO$74,FALSE),"o")=$D$5,IFERROR(VLOOKUP(VLOOKUP($B33, Dependencies!$B$2:$G$230, 6,FALSE), $B$14:AO$73, AO$74,FALSE),"o")=$D$5),$D$5,AN33)))</f>
        <v>o</v>
      </c>
      <c r="AP33" s="94" t="s">
        <v>323</v>
      </c>
      <c r="AQ33" s="72" t="str">
        <f>IF(AP33=$D$4,AP33,IF(OR(IFERROR(VLOOKUP(VLOOKUP($B33, Dependencies!$B$2:$G$230, 2,FALSE),$B$14:AQ$73, AQ$74,FALSE),"o")=$D$4,IFERROR(VLOOKUP(VLOOKUP($B33, Dependencies!$B$2:$G$230, 3,FALSE),$B$14:AQ$73, AQ$74,FALSE),"o")=$D$4,IFERROR(VLOOKUP(VLOOKUP($B33, Dependencies!$B$2:$G$230, 4,FALSE),$B$14:AQ$73, AQ$74,FALSE),"o")=$D$4,IFERROR(VLOOKUP(VLOOKUP($B33, Dependencies!$B$2:$G$230, 5,FALSE),$B$14:AQ$73, AQ$74,FALSE),"o")=$D$4,IFERROR(VLOOKUP(VLOOKUP($B33, Dependencies!$B$2:$G$230, 6,FALSE),$B$14:AQ$73, AQ$74,FALSE),"o")=$D$4),$D$4,IF(OR(IFERROR(VLOOKUP(VLOOKUP($B33, Dependencies!$B$2:$G$230, 2,FALSE), $B$14:AQ$73, AQ$74,FALSE),"o")=$D$5,IFERROR(VLOOKUP(VLOOKUP($B33, Dependencies!$B$2:$G$230, 3,FALSE), $B$14:AQ$73, AQ$74,FALSE),"o")=$D$5,IFERROR(VLOOKUP(VLOOKUP($B33, Dependencies!$B$2:$G$230, 4,FALSE), $B$14:AQ$73, AQ$74,FALSE),"o")=$D$5,IFERROR(VLOOKUP(VLOOKUP($B33, Dependencies!$B$2:$G$230, 5,FALSE), $B$14:AQ$73, AQ$74,FALSE),"o")=$D$5,IFERROR(VLOOKUP(VLOOKUP($B33, Dependencies!$B$2:$G$230, 6,FALSE), $B$14:AQ$73, AQ$74,FALSE),"o")=$D$5),$D$5,AP33)))</f>
        <v>o</v>
      </c>
      <c r="AR33" s="94" t="s">
        <v>323</v>
      </c>
      <c r="AS33" s="71" t="str">
        <f>IF(AR33=$D$4,AR33,IF(OR(IFERROR(VLOOKUP(VLOOKUP($B33, Dependencies!$B$2:$G$230, 2,FALSE),$B$14:AS$73, AS$74,FALSE),"o")=$D$4,IFERROR(VLOOKUP(VLOOKUP($B33, Dependencies!$B$2:$G$230, 3,FALSE),$B$14:AS$73, AS$74,FALSE),"o")=$D$4,IFERROR(VLOOKUP(VLOOKUP($B33, Dependencies!$B$2:$G$230, 4,FALSE),$B$14:AS$73, AS$74,FALSE),"o")=$D$4,IFERROR(VLOOKUP(VLOOKUP($B33, Dependencies!$B$2:$G$230, 5,FALSE),$B$14:AS$73, AS$74,FALSE),"o")=$D$4,IFERROR(VLOOKUP(VLOOKUP($B33, Dependencies!$B$2:$G$230, 6,FALSE),$B$14:AS$73, AS$74,FALSE),"o")=$D$4),$D$4,IF(OR(IFERROR(VLOOKUP(VLOOKUP($B33, Dependencies!$B$2:$G$230, 2,FALSE), $B$14:AS$73, AS$74,FALSE),"o")=$D$5,IFERROR(VLOOKUP(VLOOKUP($B33, Dependencies!$B$2:$G$230, 3,FALSE), $B$14:AS$73, AS$74,FALSE),"o")=$D$5,IFERROR(VLOOKUP(VLOOKUP($B33, Dependencies!$B$2:$G$230, 4,FALSE), $B$14:AS$73, AS$74,FALSE),"o")=$D$5,IFERROR(VLOOKUP(VLOOKUP($B33, Dependencies!$B$2:$G$230, 5,FALSE), $B$14:AS$73, AS$74,FALSE),"o")=$D$5,IFERROR(VLOOKUP(VLOOKUP($B33, Dependencies!$B$2:$G$230, 6,FALSE), $B$14:AS$73, AS$74,FALSE),"o")=$D$5),$D$5,AR33)))</f>
        <v>o</v>
      </c>
    </row>
    <row r="34" spans="1:45" x14ac:dyDescent="0.2">
      <c r="A34" s="40"/>
      <c r="B34" s="73" t="str">
        <f>MLEOsv2!A22</f>
        <v>MLEO_01_09</v>
      </c>
      <c r="C34" s="73">
        <f>MLEOsv2!C22</f>
        <v>3</v>
      </c>
      <c r="D34" s="42" t="str">
        <f>MLEOsv2!G22</f>
        <v>implement and use defensive getters and setters.</v>
      </c>
      <c r="E34" s="51" t="b">
        <f>MLEOsv2!H22</f>
        <v>0</v>
      </c>
      <c r="F34" s="93" t="s">
        <v>320</v>
      </c>
      <c r="G34" s="70" t="str">
        <f>IF(F34=$D$4,F34,IF(OR(IFERROR(VLOOKUP(VLOOKUP($B34, Dependencies!$B$2:$G$230, 2,FALSE),$B$14:G$73, G$74,FALSE),"o")=$D$4,IFERROR(VLOOKUP(VLOOKUP($B34, Dependencies!$B$2:$G$230, 3,FALSE),$B$14:G$73, G$74,FALSE),"o")=$D$4,IFERROR(VLOOKUP(VLOOKUP($B34, Dependencies!$B$2:$G$230, 4,FALSE),$B$14:G$73, G$74,FALSE),"o")=$D$4,IFERROR(VLOOKUP(VLOOKUP($B34, Dependencies!$B$2:$G$230, 5,FALSE),$B$14:G$73, G$74,FALSE),"o")=$D$4,IFERROR(VLOOKUP(VLOOKUP($B34, Dependencies!$B$2:$G$230, 6,FALSE),$B$14:G$73, G$74,FALSE),"o")=$D$4),$D$4,IF(OR(IFERROR(VLOOKUP(VLOOKUP($B34, Dependencies!$B$2:$G$230, 2,FALSE), $B$14:G$73, G$74,FALSE),"o")=$D$5,IFERROR(VLOOKUP(VLOOKUP($B34, Dependencies!$B$2:$G$230, 3,FALSE), $B$14:G$73, G$74,FALSE),"o")=$D$5,IFERROR(VLOOKUP(VLOOKUP($B34, Dependencies!$B$2:$G$230, 4,FALSE), $B$14:G$73, G$74,FALSE),"o")=$D$5,IFERROR(VLOOKUP(VLOOKUP($B34, Dependencies!$B$2:$G$230, 5,FALSE), $B$14:G$73, G$74,FALSE),"o")=$D$5,IFERROR(VLOOKUP(VLOOKUP($B34, Dependencies!$B$2:$G$230, 6,FALSE), $B$14:G$73, G$74,FALSE),"o")=$D$5),$D$5,F34)))</f>
        <v>r</v>
      </c>
      <c r="H34" s="93" t="s">
        <v>321</v>
      </c>
      <c r="I34" s="70" t="str">
        <f>IF(H34=$D$4,H34,IF(OR(IFERROR(VLOOKUP(VLOOKUP($B34, Dependencies!$B$2:$G$230, 2,FALSE),$B$14:I$73, I$74,FALSE),"o")=$D$4,IFERROR(VLOOKUP(VLOOKUP($B34, Dependencies!$B$2:$G$230, 3,FALSE),$B$14:I$73, I$74,FALSE),"o")=$D$4,IFERROR(VLOOKUP(VLOOKUP($B34, Dependencies!$B$2:$G$230, 4,FALSE),$B$14:I$73, I$74,FALSE),"o")=$D$4,IFERROR(VLOOKUP(VLOOKUP($B34, Dependencies!$B$2:$G$230, 5,FALSE),$B$14:I$73, I$74,FALSE),"o")=$D$4,IFERROR(VLOOKUP(VLOOKUP($B34, Dependencies!$B$2:$G$230, 6,FALSE),$B$14:I$73, I$74,FALSE),"o")=$D$4),$D$4,IF(OR(IFERROR(VLOOKUP(VLOOKUP($B34, Dependencies!$B$2:$G$230, 2,FALSE), $B$14:I$73, I$74,FALSE),"o")=$D$5,IFERROR(VLOOKUP(VLOOKUP($B34, Dependencies!$B$2:$G$230, 3,FALSE), $B$14:I$73, I$74,FALSE),"o")=$D$5,IFERROR(VLOOKUP(VLOOKUP($B34, Dependencies!$B$2:$G$230, 4,FALSE), $B$14:I$73, I$74,FALSE),"o")=$D$5,IFERROR(VLOOKUP(VLOOKUP($B34, Dependencies!$B$2:$G$230, 5,FALSE), $B$14:I$73, I$74,FALSE),"o")=$D$5,IFERROR(VLOOKUP(VLOOKUP($B34, Dependencies!$B$2:$G$230, 6,FALSE), $B$14:I$73, I$74,FALSE),"o")=$D$5),$D$5,H34)))</f>
        <v>pr</v>
      </c>
      <c r="J34" s="93" t="s">
        <v>323</v>
      </c>
      <c r="K34" s="70" t="str">
        <f>IF(J34=$D$4,J34,IF(OR(IFERROR(VLOOKUP(VLOOKUP($B34, Dependencies!$B$2:$G$230, 2,FALSE),$B$14:K$73, K$74,FALSE),"o")=$D$4,IFERROR(VLOOKUP(VLOOKUP($B34, Dependencies!$B$2:$G$230, 3,FALSE),$B$14:K$73, K$74,FALSE),"o")=$D$4,IFERROR(VLOOKUP(VLOOKUP($B34, Dependencies!$B$2:$G$230, 4,FALSE),$B$14:K$73, K$74,FALSE),"o")=$D$4,IFERROR(VLOOKUP(VLOOKUP($B34, Dependencies!$B$2:$G$230, 5,FALSE),$B$14:K$73, K$74,FALSE),"o")=$D$4,IFERROR(VLOOKUP(VLOOKUP($B34, Dependencies!$B$2:$G$230, 6,FALSE),$B$14:K$73, K$74,FALSE),"o")=$D$4),$D$4,IF(OR(IFERROR(VLOOKUP(VLOOKUP($B34, Dependencies!$B$2:$G$230, 2,FALSE), $B$14:K$73, K$74,FALSE),"o")=$D$5,IFERROR(VLOOKUP(VLOOKUP($B34, Dependencies!$B$2:$G$230, 3,FALSE), $B$14:K$73, K$74,FALSE),"o")=$D$5,IFERROR(VLOOKUP(VLOOKUP($B34, Dependencies!$B$2:$G$230, 4,FALSE), $B$14:K$73, K$74,FALSE),"o")=$D$5,IFERROR(VLOOKUP(VLOOKUP($B34, Dependencies!$B$2:$G$230, 5,FALSE), $B$14:K$73, K$74,FALSE),"o")=$D$5,IFERROR(VLOOKUP(VLOOKUP($B34, Dependencies!$B$2:$G$230, 6,FALSE), $B$14:K$73, K$74,FALSE),"o")=$D$5),$D$5,J34)))</f>
        <v>o</v>
      </c>
      <c r="L34" s="93" t="s">
        <v>323</v>
      </c>
      <c r="M34" s="70" t="str">
        <f>IF(L34=$D$4,L34,IF(OR(IFERROR(VLOOKUP(VLOOKUP($B34, Dependencies!$B$2:$G$230, 2,FALSE),$B$14:M$73, M$74,FALSE),"o")=$D$4,IFERROR(VLOOKUP(VLOOKUP($B34, Dependencies!$B$2:$G$230, 3,FALSE),$B$14:M$73, M$74,FALSE),"o")=$D$4,IFERROR(VLOOKUP(VLOOKUP($B34, Dependencies!$B$2:$G$230, 4,FALSE),$B$14:M$73, M$74,FALSE),"o")=$D$4,IFERROR(VLOOKUP(VLOOKUP($B34, Dependencies!$B$2:$G$230, 5,FALSE),$B$14:M$73, M$74,FALSE),"o")=$D$4,IFERROR(VLOOKUP(VLOOKUP($B34, Dependencies!$B$2:$G$230, 6,FALSE),$B$14:M$73, M$74,FALSE),"o")=$D$4),$D$4,IF(OR(IFERROR(VLOOKUP(VLOOKUP($B34, Dependencies!$B$2:$G$230, 2,FALSE), $B$14:M$73, M$74,FALSE),"o")=$D$5,IFERROR(VLOOKUP(VLOOKUP($B34, Dependencies!$B$2:$G$230, 3,FALSE), $B$14:M$73, M$74,FALSE),"o")=$D$5,IFERROR(VLOOKUP(VLOOKUP($B34, Dependencies!$B$2:$G$230, 4,FALSE), $B$14:M$73, M$74,FALSE),"o")=$D$5,IFERROR(VLOOKUP(VLOOKUP($B34, Dependencies!$B$2:$G$230, 5,FALSE), $B$14:M$73, M$74,FALSE),"o")=$D$5,IFERROR(VLOOKUP(VLOOKUP($B34, Dependencies!$B$2:$G$230, 6,FALSE), $B$14:M$73, M$74,FALSE),"o")=$D$5),$D$5,L34)))</f>
        <v>o</v>
      </c>
      <c r="N34" s="93" t="s">
        <v>323</v>
      </c>
      <c r="O34" s="70" t="str">
        <f>IF(N34=$D$4,N34,IF(OR(IFERROR(VLOOKUP(VLOOKUP($B34, Dependencies!$B$2:$G$230, 2,FALSE),$B$14:O$73, O$74,FALSE),"o")=$D$4,IFERROR(VLOOKUP(VLOOKUP($B34, Dependencies!$B$2:$G$230, 3,FALSE),$B$14:O$73, O$74,FALSE),"o")=$D$4,IFERROR(VLOOKUP(VLOOKUP($B34, Dependencies!$B$2:$G$230, 4,FALSE),$B$14:O$73, O$74,FALSE),"o")=$D$4,IFERROR(VLOOKUP(VLOOKUP($B34, Dependencies!$B$2:$G$230, 5,FALSE),$B$14:O$73, O$74,FALSE),"o")=$D$4,IFERROR(VLOOKUP(VLOOKUP($B34, Dependencies!$B$2:$G$230, 6,FALSE),$B$14:O$73, O$74,FALSE),"o")=$D$4),$D$4,IF(OR(IFERROR(VLOOKUP(VLOOKUP($B34, Dependencies!$B$2:$G$230, 2,FALSE), $B$14:O$73, O$74,FALSE),"o")=$D$5,IFERROR(VLOOKUP(VLOOKUP($B34, Dependencies!$B$2:$G$230, 3,FALSE), $B$14:O$73, O$74,FALSE),"o")=$D$5,IFERROR(VLOOKUP(VLOOKUP($B34, Dependencies!$B$2:$G$230, 4,FALSE), $B$14:O$73, O$74,FALSE),"o")=$D$5,IFERROR(VLOOKUP(VLOOKUP($B34, Dependencies!$B$2:$G$230, 5,FALSE), $B$14:O$73, O$74,FALSE),"o")=$D$5,IFERROR(VLOOKUP(VLOOKUP($B34, Dependencies!$B$2:$G$230, 6,FALSE), $B$14:O$73, O$74,FALSE),"o")=$D$5),$D$5,N34)))</f>
        <v>o</v>
      </c>
      <c r="P34" s="93" t="s">
        <v>323</v>
      </c>
      <c r="Q34" s="70" t="str">
        <f>IF(P34=$D$4,P34,IF(OR(IFERROR(VLOOKUP(VLOOKUP($B34, Dependencies!$B$2:$G$230, 2,FALSE),$B$14:Q$73, Q$74,FALSE),"o")=$D$4,IFERROR(VLOOKUP(VLOOKUP($B34, Dependencies!$B$2:$G$230, 3,FALSE),$B$14:Q$73, Q$74,FALSE),"o")=$D$4,IFERROR(VLOOKUP(VLOOKUP($B34, Dependencies!$B$2:$G$230, 4,FALSE),$B$14:Q$73, Q$74,FALSE),"o")=$D$4,IFERROR(VLOOKUP(VLOOKUP($B34, Dependencies!$B$2:$G$230, 5,FALSE),$B$14:Q$73, Q$74,FALSE),"o")=$D$4,IFERROR(VLOOKUP(VLOOKUP($B34, Dependencies!$B$2:$G$230, 6,FALSE),$B$14:Q$73, Q$74,FALSE),"o")=$D$4),$D$4,IF(OR(IFERROR(VLOOKUP(VLOOKUP($B34, Dependencies!$B$2:$G$230, 2,FALSE), $B$14:Q$73, Q$74,FALSE),"o")=$D$5,IFERROR(VLOOKUP(VLOOKUP($B34, Dependencies!$B$2:$G$230, 3,FALSE), $B$14:Q$73, Q$74,FALSE),"o")=$D$5,IFERROR(VLOOKUP(VLOOKUP($B34, Dependencies!$B$2:$G$230, 4,FALSE), $B$14:Q$73, Q$74,FALSE),"o")=$D$5,IFERROR(VLOOKUP(VLOOKUP($B34, Dependencies!$B$2:$G$230, 5,FALSE), $B$14:Q$73, Q$74,FALSE),"o")=$D$5,IFERROR(VLOOKUP(VLOOKUP($B34, Dependencies!$B$2:$G$230, 6,FALSE), $B$14:Q$73, Q$74,FALSE),"o")=$D$5),$D$5,P34)))</f>
        <v>o</v>
      </c>
      <c r="R34" s="93" t="s">
        <v>323</v>
      </c>
      <c r="S34" s="70" t="str">
        <f>IF(R34=$D$4,R34,IF(OR(IFERROR(VLOOKUP(VLOOKUP($B34, Dependencies!$B$2:$G$230, 2,FALSE),$B$14:S$73, S$74,FALSE),"o")=$D$4,IFERROR(VLOOKUP(VLOOKUP($B34, Dependencies!$B$2:$G$230, 3,FALSE),$B$14:S$73, S$74,FALSE),"o")=$D$4,IFERROR(VLOOKUP(VLOOKUP($B34, Dependencies!$B$2:$G$230, 4,FALSE),$B$14:S$73, S$74,FALSE),"o")=$D$4,IFERROR(VLOOKUP(VLOOKUP($B34, Dependencies!$B$2:$G$230, 5,FALSE),$B$14:S$73, S$74,FALSE),"o")=$D$4,IFERROR(VLOOKUP(VLOOKUP($B34, Dependencies!$B$2:$G$230, 6,FALSE),$B$14:S$73, S$74,FALSE),"o")=$D$4),$D$4,IF(OR(IFERROR(VLOOKUP(VLOOKUP($B34, Dependencies!$B$2:$G$230, 2,FALSE), $B$14:S$73, S$74,FALSE),"o")=$D$5,IFERROR(VLOOKUP(VLOOKUP($B34, Dependencies!$B$2:$G$230, 3,FALSE), $B$14:S$73, S$74,FALSE),"o")=$D$5,IFERROR(VLOOKUP(VLOOKUP($B34, Dependencies!$B$2:$G$230, 4,FALSE), $B$14:S$73, S$74,FALSE),"o")=$D$5,IFERROR(VLOOKUP(VLOOKUP($B34, Dependencies!$B$2:$G$230, 5,FALSE), $B$14:S$73, S$74,FALSE),"o")=$D$5,IFERROR(VLOOKUP(VLOOKUP($B34, Dependencies!$B$2:$G$230, 6,FALSE), $B$14:S$73, S$74,FALSE),"o")=$D$5),$D$5,R34)))</f>
        <v>o</v>
      </c>
      <c r="T34" s="93" t="s">
        <v>323</v>
      </c>
      <c r="U34" s="70" t="str">
        <f>IF(T34=$D$4,T34,IF(OR(IFERROR(VLOOKUP(VLOOKUP($B34, Dependencies!$B$2:$G$230, 2,FALSE),$B$14:U$73, U$74,FALSE),"o")=$D$4,IFERROR(VLOOKUP(VLOOKUP($B34, Dependencies!$B$2:$G$230, 3,FALSE),$B$14:U$73, U$74,FALSE),"o")=$D$4,IFERROR(VLOOKUP(VLOOKUP($B34, Dependencies!$B$2:$G$230, 4,FALSE),$B$14:U$73, U$74,FALSE),"o")=$D$4,IFERROR(VLOOKUP(VLOOKUP($B34, Dependencies!$B$2:$G$230, 5,FALSE),$B$14:U$73, U$74,FALSE),"o")=$D$4,IFERROR(VLOOKUP(VLOOKUP($B34, Dependencies!$B$2:$G$230, 6,FALSE),$B$14:U$73, U$74,FALSE),"o")=$D$4),$D$4,IF(OR(IFERROR(VLOOKUP(VLOOKUP($B34, Dependencies!$B$2:$G$230, 2,FALSE), $B$14:U$73, U$74,FALSE),"o")=$D$5,IFERROR(VLOOKUP(VLOOKUP($B34, Dependencies!$B$2:$G$230, 3,FALSE), $B$14:U$73, U$74,FALSE),"o")=$D$5,IFERROR(VLOOKUP(VLOOKUP($B34, Dependencies!$B$2:$G$230, 4,FALSE), $B$14:U$73, U$74,FALSE),"o")=$D$5,IFERROR(VLOOKUP(VLOOKUP($B34, Dependencies!$B$2:$G$230, 5,FALSE), $B$14:U$73, U$74,FALSE),"o")=$D$5,IFERROR(VLOOKUP(VLOOKUP($B34, Dependencies!$B$2:$G$230, 6,FALSE), $B$14:U$73, U$74,FALSE),"o")=$D$5),$D$5,T34)))</f>
        <v>o</v>
      </c>
      <c r="V34" s="93" t="s">
        <v>323</v>
      </c>
      <c r="W34" s="70" t="str">
        <f>IF(V34=$D$4,V34,IF(OR(IFERROR(VLOOKUP(VLOOKUP($B34, Dependencies!$B$2:$G$230, 2,FALSE),$B$14:W$73, W$74,FALSE),"o")=$D$4,IFERROR(VLOOKUP(VLOOKUP($B34, Dependencies!$B$2:$G$230, 3,FALSE),$B$14:W$73, W$74,FALSE),"o")=$D$4,IFERROR(VLOOKUP(VLOOKUP($B34, Dependencies!$B$2:$G$230, 4,FALSE),$B$14:W$73, W$74,FALSE),"o")=$D$4,IFERROR(VLOOKUP(VLOOKUP($B34, Dependencies!$B$2:$G$230, 5,FALSE),$B$14:W$73, W$74,FALSE),"o")=$D$4,IFERROR(VLOOKUP(VLOOKUP($B34, Dependencies!$B$2:$G$230, 6,FALSE),$B$14:W$73, W$74,FALSE),"o")=$D$4),$D$4,IF(OR(IFERROR(VLOOKUP(VLOOKUP($B34, Dependencies!$B$2:$G$230, 2,FALSE), $B$14:W$73, W$74,FALSE),"o")=$D$5,IFERROR(VLOOKUP(VLOOKUP($B34, Dependencies!$B$2:$G$230, 3,FALSE), $B$14:W$73, W$74,FALSE),"o")=$D$5,IFERROR(VLOOKUP(VLOOKUP($B34, Dependencies!$B$2:$G$230, 4,FALSE), $B$14:W$73, W$74,FALSE),"o")=$D$5,IFERROR(VLOOKUP(VLOOKUP($B34, Dependencies!$B$2:$G$230, 5,FALSE), $B$14:W$73, W$74,FALSE),"o")=$D$5,IFERROR(VLOOKUP(VLOOKUP($B34, Dependencies!$B$2:$G$230, 6,FALSE), $B$14:W$73, W$74,FALSE),"o")=$D$5),$D$5,V34)))</f>
        <v>o</v>
      </c>
      <c r="X34" s="93" t="s">
        <v>323</v>
      </c>
      <c r="Y34" s="70" t="str">
        <f>IF(X34=$D$4,X34,IF(OR(IFERROR(VLOOKUP(VLOOKUP($B34, Dependencies!$B$2:$G$230, 2,FALSE),$B$14:Y$73, Y$74,FALSE),"o")=$D$4,IFERROR(VLOOKUP(VLOOKUP($B34, Dependencies!$B$2:$G$230, 3,FALSE),$B$14:Y$73, Y$74,FALSE),"o")=$D$4,IFERROR(VLOOKUP(VLOOKUP($B34, Dependencies!$B$2:$G$230, 4,FALSE),$B$14:Y$73, Y$74,FALSE),"o")=$D$4,IFERROR(VLOOKUP(VLOOKUP($B34, Dependencies!$B$2:$G$230, 5,FALSE),$B$14:Y$73, Y$74,FALSE),"o")=$D$4,IFERROR(VLOOKUP(VLOOKUP($B34, Dependencies!$B$2:$G$230, 6,FALSE),$B$14:Y$73, Y$74,FALSE),"o")=$D$4),$D$4,IF(OR(IFERROR(VLOOKUP(VLOOKUP($B34, Dependencies!$B$2:$G$230, 2,FALSE), $B$14:Y$73, Y$74,FALSE),"o")=$D$5,IFERROR(VLOOKUP(VLOOKUP($B34, Dependencies!$B$2:$G$230, 3,FALSE), $B$14:Y$73, Y$74,FALSE),"o")=$D$5,IFERROR(VLOOKUP(VLOOKUP($B34, Dependencies!$B$2:$G$230, 4,FALSE), $B$14:Y$73, Y$74,FALSE),"o")=$D$5,IFERROR(VLOOKUP(VLOOKUP($B34, Dependencies!$B$2:$G$230, 5,FALSE), $B$14:Y$73, Y$74,FALSE),"o")=$D$5,IFERROR(VLOOKUP(VLOOKUP($B34, Dependencies!$B$2:$G$230, 6,FALSE), $B$14:Y$73, Y$74,FALSE),"o")=$D$5),$D$5,X34)))</f>
        <v>o</v>
      </c>
      <c r="Z34" s="93" t="s">
        <v>323</v>
      </c>
      <c r="AA34" s="70" t="str">
        <f>IF(Z34=$D$4,Z34,IF(OR(IFERROR(VLOOKUP(VLOOKUP($B34, Dependencies!$B$2:$G$230, 2,FALSE),$B$14:AA$73, AA$74,FALSE),"o")=$D$4,IFERROR(VLOOKUP(VLOOKUP($B34, Dependencies!$B$2:$G$230, 3,FALSE),$B$14:AA$73, AA$74,FALSE),"o")=$D$4,IFERROR(VLOOKUP(VLOOKUP($B34, Dependencies!$B$2:$G$230, 4,FALSE),$B$14:AA$73, AA$74,FALSE),"o")=$D$4,IFERROR(VLOOKUP(VLOOKUP($B34, Dependencies!$B$2:$G$230, 5,FALSE),$B$14:AA$73, AA$74,FALSE),"o")=$D$4,IFERROR(VLOOKUP(VLOOKUP($B34, Dependencies!$B$2:$G$230, 6,FALSE),$B$14:AA$73, AA$74,FALSE),"o")=$D$4),$D$4,IF(OR(IFERROR(VLOOKUP(VLOOKUP($B34, Dependencies!$B$2:$G$230, 2,FALSE), $B$14:AA$73, AA$74,FALSE),"o")=$D$5,IFERROR(VLOOKUP(VLOOKUP($B34, Dependencies!$B$2:$G$230, 3,FALSE), $B$14:AA$73, AA$74,FALSE),"o")=$D$5,IFERROR(VLOOKUP(VLOOKUP($B34, Dependencies!$B$2:$G$230, 4,FALSE), $B$14:AA$73, AA$74,FALSE),"o")=$D$5,IFERROR(VLOOKUP(VLOOKUP($B34, Dependencies!$B$2:$G$230, 5,FALSE), $B$14:AA$73, AA$74,FALSE),"o")=$D$5,IFERROR(VLOOKUP(VLOOKUP($B34, Dependencies!$B$2:$G$230, 6,FALSE), $B$14:AA$73, AA$74,FALSE),"o")=$D$5),$D$5,Z34)))</f>
        <v>o</v>
      </c>
      <c r="AB34" s="93" t="s">
        <v>323</v>
      </c>
      <c r="AC34" s="70" t="str">
        <f>IF(AB34=$D$4,AB34,IF(OR(IFERROR(VLOOKUP(VLOOKUP($B34, Dependencies!$B$2:$G$230, 2,FALSE),$B$14:AC$73, AC$74,FALSE),"o")=$D$4,IFERROR(VLOOKUP(VLOOKUP($B34, Dependencies!$B$2:$G$230, 3,FALSE),$B$14:AC$73, AC$74,FALSE),"o")=$D$4,IFERROR(VLOOKUP(VLOOKUP($B34, Dependencies!$B$2:$G$230, 4,FALSE),$B$14:AC$73, AC$74,FALSE),"o")=$D$4,IFERROR(VLOOKUP(VLOOKUP($B34, Dependencies!$B$2:$G$230, 5,FALSE),$B$14:AC$73, AC$74,FALSE),"o")=$D$4,IFERROR(VLOOKUP(VLOOKUP($B34, Dependencies!$B$2:$G$230, 6,FALSE),$B$14:AC$73, AC$74,FALSE),"o")=$D$4),$D$4,IF(OR(IFERROR(VLOOKUP(VLOOKUP($B34, Dependencies!$B$2:$G$230, 2,FALSE), $B$14:AC$73, AC$74,FALSE),"o")=$D$5,IFERROR(VLOOKUP(VLOOKUP($B34, Dependencies!$B$2:$G$230, 3,FALSE), $B$14:AC$73, AC$74,FALSE),"o")=$D$5,IFERROR(VLOOKUP(VLOOKUP($B34, Dependencies!$B$2:$G$230, 4,FALSE), $B$14:AC$73, AC$74,FALSE),"o")=$D$5,IFERROR(VLOOKUP(VLOOKUP($B34, Dependencies!$B$2:$G$230, 5,FALSE), $B$14:AC$73, AC$74,FALSE),"o")=$D$5,IFERROR(VLOOKUP(VLOOKUP($B34, Dependencies!$B$2:$G$230, 6,FALSE), $B$14:AC$73, AC$74,FALSE),"o")=$D$5),$D$5,AB34)))</f>
        <v>o</v>
      </c>
      <c r="AD34" s="93" t="s">
        <v>323</v>
      </c>
      <c r="AE34" s="70" t="str">
        <f>IF(AD34=$D$4,AD34,IF(OR(IFERROR(VLOOKUP(VLOOKUP($B34, Dependencies!$B$2:$G$230, 2,FALSE),$B$14:AE$73, AE$74,FALSE),"o")=$D$4,IFERROR(VLOOKUP(VLOOKUP($B34, Dependencies!$B$2:$G$230, 3,FALSE),$B$14:AE$73, AE$74,FALSE),"o")=$D$4,IFERROR(VLOOKUP(VLOOKUP($B34, Dependencies!$B$2:$G$230, 4,FALSE),$B$14:AE$73, AE$74,FALSE),"o")=$D$4,IFERROR(VLOOKUP(VLOOKUP($B34, Dependencies!$B$2:$G$230, 5,FALSE),$B$14:AE$73, AE$74,FALSE),"o")=$D$4,IFERROR(VLOOKUP(VLOOKUP($B34, Dependencies!$B$2:$G$230, 6,FALSE),$B$14:AE$73, AE$74,FALSE),"o")=$D$4),$D$4,IF(OR(IFERROR(VLOOKUP(VLOOKUP($B34, Dependencies!$B$2:$G$230, 2,FALSE), $B$14:AE$73, AE$74,FALSE),"o")=$D$5,IFERROR(VLOOKUP(VLOOKUP($B34, Dependencies!$B$2:$G$230, 3,FALSE), $B$14:AE$73, AE$74,FALSE),"o")=$D$5,IFERROR(VLOOKUP(VLOOKUP($B34, Dependencies!$B$2:$G$230, 4,FALSE), $B$14:AE$73, AE$74,FALSE),"o")=$D$5,IFERROR(VLOOKUP(VLOOKUP($B34, Dependencies!$B$2:$G$230, 5,FALSE), $B$14:AE$73, AE$74,FALSE),"o")=$D$5,IFERROR(VLOOKUP(VLOOKUP($B34, Dependencies!$B$2:$G$230, 6,FALSE), $B$14:AE$73, AE$74,FALSE),"o")=$D$5),$D$5,AD34)))</f>
        <v>o</v>
      </c>
      <c r="AF34" s="93" t="s">
        <v>323</v>
      </c>
      <c r="AG34" s="70" t="str">
        <f>IF(AF34=$D$4,AF34,IF(OR(IFERROR(VLOOKUP(VLOOKUP($B34, Dependencies!$B$2:$G$230, 2,FALSE),$B$14:AG$73, AG$74,FALSE),"o")=$D$4,IFERROR(VLOOKUP(VLOOKUP($B34, Dependencies!$B$2:$G$230, 3,FALSE),$B$14:AG$73, AG$74,FALSE),"o")=$D$4,IFERROR(VLOOKUP(VLOOKUP($B34, Dependencies!$B$2:$G$230, 4,FALSE),$B$14:AG$73, AG$74,FALSE),"o")=$D$4,IFERROR(VLOOKUP(VLOOKUP($B34, Dependencies!$B$2:$G$230, 5,FALSE),$B$14:AG$73, AG$74,FALSE),"o")=$D$4,IFERROR(VLOOKUP(VLOOKUP($B34, Dependencies!$B$2:$G$230, 6,FALSE),$B$14:AG$73, AG$74,FALSE),"o")=$D$4),$D$4,IF(OR(IFERROR(VLOOKUP(VLOOKUP($B34, Dependencies!$B$2:$G$230, 2,FALSE), $B$14:AG$73, AG$74,FALSE),"o")=$D$5,IFERROR(VLOOKUP(VLOOKUP($B34, Dependencies!$B$2:$G$230, 3,FALSE), $B$14:AG$73, AG$74,FALSE),"o")=$D$5,IFERROR(VLOOKUP(VLOOKUP($B34, Dependencies!$B$2:$G$230, 4,FALSE), $B$14:AG$73, AG$74,FALSE),"o")=$D$5,IFERROR(VLOOKUP(VLOOKUP($B34, Dependencies!$B$2:$G$230, 5,FALSE), $B$14:AG$73, AG$74,FALSE),"o")=$D$5,IFERROR(VLOOKUP(VLOOKUP($B34, Dependencies!$B$2:$G$230, 6,FALSE), $B$14:AG$73, AG$74,FALSE),"o")=$D$5),$D$5,AF34)))</f>
        <v>o</v>
      </c>
      <c r="AH34" s="93" t="s">
        <v>323</v>
      </c>
      <c r="AI34" s="70" t="str">
        <f>IF(AH34=$D$4,AH34,IF(OR(IFERROR(VLOOKUP(VLOOKUP($B34, Dependencies!$B$2:$G$230, 2,FALSE),$B$14:AI$73, AI$74,FALSE),"o")=$D$4,IFERROR(VLOOKUP(VLOOKUP($B34, Dependencies!$B$2:$G$230, 3,FALSE),$B$14:AI$73, AI$74,FALSE),"o")=$D$4,IFERROR(VLOOKUP(VLOOKUP($B34, Dependencies!$B$2:$G$230, 4,FALSE),$B$14:AI$73, AI$74,FALSE),"o")=$D$4,IFERROR(VLOOKUP(VLOOKUP($B34, Dependencies!$B$2:$G$230, 5,FALSE),$B$14:AI$73, AI$74,FALSE),"o")=$D$4,IFERROR(VLOOKUP(VLOOKUP($B34, Dependencies!$B$2:$G$230, 6,FALSE),$B$14:AI$73, AI$74,FALSE),"o")=$D$4),$D$4,IF(OR(IFERROR(VLOOKUP(VLOOKUP($B34, Dependencies!$B$2:$G$230, 2,FALSE), $B$14:AI$73, AI$74,FALSE),"o")=$D$5,IFERROR(VLOOKUP(VLOOKUP($B34, Dependencies!$B$2:$G$230, 3,FALSE), $B$14:AI$73, AI$74,FALSE),"o")=$D$5,IFERROR(VLOOKUP(VLOOKUP($B34, Dependencies!$B$2:$G$230, 4,FALSE), $B$14:AI$73, AI$74,FALSE),"o")=$D$5,IFERROR(VLOOKUP(VLOOKUP($B34, Dependencies!$B$2:$G$230, 5,FALSE), $B$14:AI$73, AI$74,FALSE),"o")=$D$5,IFERROR(VLOOKUP(VLOOKUP($B34, Dependencies!$B$2:$G$230, 6,FALSE), $B$14:AI$73, AI$74,FALSE),"o")=$D$5),$D$5,AH34)))</f>
        <v>o</v>
      </c>
      <c r="AJ34" s="93" t="s">
        <v>323</v>
      </c>
      <c r="AK34" s="70" t="str">
        <f>IF(AJ34=$D$4,AJ34,IF(OR(IFERROR(VLOOKUP(VLOOKUP($B34, Dependencies!$B$2:$G$230, 2,FALSE),$B$14:AK$73, AK$74,FALSE),"o")=$D$4,IFERROR(VLOOKUP(VLOOKUP($B34, Dependencies!$B$2:$G$230, 3,FALSE),$B$14:AK$73, AK$74,FALSE),"o")=$D$4,IFERROR(VLOOKUP(VLOOKUP($B34, Dependencies!$B$2:$G$230, 4,FALSE),$B$14:AK$73, AK$74,FALSE),"o")=$D$4,IFERROR(VLOOKUP(VLOOKUP($B34, Dependencies!$B$2:$G$230, 5,FALSE),$B$14:AK$73, AK$74,FALSE),"o")=$D$4,IFERROR(VLOOKUP(VLOOKUP($B34, Dependencies!$B$2:$G$230, 6,FALSE),$B$14:AK$73, AK$74,FALSE),"o")=$D$4),$D$4,IF(OR(IFERROR(VLOOKUP(VLOOKUP($B34, Dependencies!$B$2:$G$230, 2,FALSE), $B$14:AK$73, AK$74,FALSE),"o")=$D$5,IFERROR(VLOOKUP(VLOOKUP($B34, Dependencies!$B$2:$G$230, 3,FALSE), $B$14:AK$73, AK$74,FALSE),"o")=$D$5,IFERROR(VLOOKUP(VLOOKUP($B34, Dependencies!$B$2:$G$230, 4,FALSE), $B$14:AK$73, AK$74,FALSE),"o")=$D$5,IFERROR(VLOOKUP(VLOOKUP($B34, Dependencies!$B$2:$G$230, 5,FALSE), $B$14:AK$73, AK$74,FALSE),"o")=$D$5,IFERROR(VLOOKUP(VLOOKUP($B34, Dependencies!$B$2:$G$230, 6,FALSE), $B$14:AK$73, AK$74,FALSE),"o")=$D$5),$D$5,AJ34)))</f>
        <v>o</v>
      </c>
      <c r="AL34" s="93" t="s">
        <v>323</v>
      </c>
      <c r="AM34" s="70" t="str">
        <f>IF(AL34=$D$4,AL34,IF(OR(IFERROR(VLOOKUP(VLOOKUP($B34, Dependencies!$B$2:$G$230, 2,FALSE),$B$14:AM$73, AM$74,FALSE),"o")=$D$4,IFERROR(VLOOKUP(VLOOKUP($B34, Dependencies!$B$2:$G$230, 3,FALSE),$B$14:AM$73, AM$74,FALSE),"o")=$D$4,IFERROR(VLOOKUP(VLOOKUP($B34, Dependencies!$B$2:$G$230, 4,FALSE),$B$14:AM$73, AM$74,FALSE),"o")=$D$4,IFERROR(VLOOKUP(VLOOKUP($B34, Dependencies!$B$2:$G$230, 5,FALSE),$B$14:AM$73, AM$74,FALSE),"o")=$D$4,IFERROR(VLOOKUP(VLOOKUP($B34, Dependencies!$B$2:$G$230, 6,FALSE),$B$14:AM$73, AM$74,FALSE),"o")=$D$4),$D$4,IF(OR(IFERROR(VLOOKUP(VLOOKUP($B34, Dependencies!$B$2:$G$230, 2,FALSE), $B$14:AM$73, AM$74,FALSE),"o")=$D$5,IFERROR(VLOOKUP(VLOOKUP($B34, Dependencies!$B$2:$G$230, 3,FALSE), $B$14:AM$73, AM$74,FALSE),"o")=$D$5,IFERROR(VLOOKUP(VLOOKUP($B34, Dependencies!$B$2:$G$230, 4,FALSE), $B$14:AM$73, AM$74,FALSE),"o")=$D$5,IFERROR(VLOOKUP(VLOOKUP($B34, Dependencies!$B$2:$G$230, 5,FALSE), $B$14:AM$73, AM$74,FALSE),"o")=$D$5,IFERROR(VLOOKUP(VLOOKUP($B34, Dependencies!$B$2:$G$230, 6,FALSE), $B$14:AM$73, AM$74,FALSE),"o")=$D$5),$D$5,AL34)))</f>
        <v>o</v>
      </c>
      <c r="AN34" s="93" t="s">
        <v>323</v>
      </c>
      <c r="AO34" s="70" t="str">
        <f>IF(AN34=$D$4,AN34,IF(OR(IFERROR(VLOOKUP(VLOOKUP($B34, Dependencies!$B$2:$G$230, 2,FALSE),$B$14:AO$73, AO$74,FALSE),"o")=$D$4,IFERROR(VLOOKUP(VLOOKUP($B34, Dependencies!$B$2:$G$230, 3,FALSE),$B$14:AO$73, AO$74,FALSE),"o")=$D$4,IFERROR(VLOOKUP(VLOOKUP($B34, Dependencies!$B$2:$G$230, 4,FALSE),$B$14:AO$73, AO$74,FALSE),"o")=$D$4,IFERROR(VLOOKUP(VLOOKUP($B34, Dependencies!$B$2:$G$230, 5,FALSE),$B$14:AO$73, AO$74,FALSE),"o")=$D$4,IFERROR(VLOOKUP(VLOOKUP($B34, Dependencies!$B$2:$G$230, 6,FALSE),$B$14:AO$73, AO$74,FALSE),"o")=$D$4),$D$4,IF(OR(IFERROR(VLOOKUP(VLOOKUP($B34, Dependencies!$B$2:$G$230, 2,FALSE), $B$14:AO$73, AO$74,FALSE),"o")=$D$5,IFERROR(VLOOKUP(VLOOKUP($B34, Dependencies!$B$2:$G$230, 3,FALSE), $B$14:AO$73, AO$74,FALSE),"o")=$D$5,IFERROR(VLOOKUP(VLOOKUP($B34, Dependencies!$B$2:$G$230, 4,FALSE), $B$14:AO$73, AO$74,FALSE),"o")=$D$5,IFERROR(VLOOKUP(VLOOKUP($B34, Dependencies!$B$2:$G$230, 5,FALSE), $B$14:AO$73, AO$74,FALSE),"o")=$D$5,IFERROR(VLOOKUP(VLOOKUP($B34, Dependencies!$B$2:$G$230, 6,FALSE), $B$14:AO$73, AO$74,FALSE),"o")=$D$5),$D$5,AN34)))</f>
        <v>o</v>
      </c>
      <c r="AP34" s="93" t="s">
        <v>323</v>
      </c>
      <c r="AQ34" s="70" t="str">
        <f>IF(AP34=$D$4,AP34,IF(OR(IFERROR(VLOOKUP(VLOOKUP($B34, Dependencies!$B$2:$G$230, 2,FALSE),$B$14:AQ$73, AQ$74,FALSE),"o")=$D$4,IFERROR(VLOOKUP(VLOOKUP($B34, Dependencies!$B$2:$G$230, 3,FALSE),$B$14:AQ$73, AQ$74,FALSE),"o")=$D$4,IFERROR(VLOOKUP(VLOOKUP($B34, Dependencies!$B$2:$G$230, 4,FALSE),$B$14:AQ$73, AQ$74,FALSE),"o")=$D$4,IFERROR(VLOOKUP(VLOOKUP($B34, Dependencies!$B$2:$G$230, 5,FALSE),$B$14:AQ$73, AQ$74,FALSE),"o")=$D$4,IFERROR(VLOOKUP(VLOOKUP($B34, Dependencies!$B$2:$G$230, 6,FALSE),$B$14:AQ$73, AQ$74,FALSE),"o")=$D$4),$D$4,IF(OR(IFERROR(VLOOKUP(VLOOKUP($B34, Dependencies!$B$2:$G$230, 2,FALSE), $B$14:AQ$73, AQ$74,FALSE),"o")=$D$5,IFERROR(VLOOKUP(VLOOKUP($B34, Dependencies!$B$2:$G$230, 3,FALSE), $B$14:AQ$73, AQ$74,FALSE),"o")=$D$5,IFERROR(VLOOKUP(VLOOKUP($B34, Dependencies!$B$2:$G$230, 4,FALSE), $B$14:AQ$73, AQ$74,FALSE),"o")=$D$5,IFERROR(VLOOKUP(VLOOKUP($B34, Dependencies!$B$2:$G$230, 5,FALSE), $B$14:AQ$73, AQ$74,FALSE),"o")=$D$5,IFERROR(VLOOKUP(VLOOKUP($B34, Dependencies!$B$2:$G$230, 6,FALSE), $B$14:AQ$73, AQ$74,FALSE),"o")=$D$5),$D$5,AP34)))</f>
        <v>o</v>
      </c>
      <c r="AR34" s="93" t="s">
        <v>323</v>
      </c>
      <c r="AS34" s="69" t="str">
        <f>IF(AR34=$D$4,AR34,IF(OR(IFERROR(VLOOKUP(VLOOKUP($B34, Dependencies!$B$2:$G$230, 2,FALSE),$B$14:AS$73, AS$74,FALSE),"o")=$D$4,IFERROR(VLOOKUP(VLOOKUP($B34, Dependencies!$B$2:$G$230, 3,FALSE),$B$14:AS$73, AS$74,FALSE),"o")=$D$4,IFERROR(VLOOKUP(VLOOKUP($B34, Dependencies!$B$2:$G$230, 4,FALSE),$B$14:AS$73, AS$74,FALSE),"o")=$D$4,IFERROR(VLOOKUP(VLOOKUP($B34, Dependencies!$B$2:$G$230, 5,FALSE),$B$14:AS$73, AS$74,FALSE),"o")=$D$4,IFERROR(VLOOKUP(VLOOKUP($B34, Dependencies!$B$2:$G$230, 6,FALSE),$B$14:AS$73, AS$74,FALSE),"o")=$D$4),$D$4,IF(OR(IFERROR(VLOOKUP(VLOOKUP($B34, Dependencies!$B$2:$G$230, 2,FALSE), $B$14:AS$73, AS$74,FALSE),"o")=$D$5,IFERROR(VLOOKUP(VLOOKUP($B34, Dependencies!$B$2:$G$230, 3,FALSE), $B$14:AS$73, AS$74,FALSE),"o")=$D$5,IFERROR(VLOOKUP(VLOOKUP($B34, Dependencies!$B$2:$G$230, 4,FALSE), $B$14:AS$73, AS$74,FALSE),"o")=$D$5,IFERROR(VLOOKUP(VLOOKUP($B34, Dependencies!$B$2:$G$230, 5,FALSE), $B$14:AS$73, AS$74,FALSE),"o")=$D$5,IFERROR(VLOOKUP(VLOOKUP($B34, Dependencies!$B$2:$G$230, 6,FALSE), $B$14:AS$73, AS$74,FALSE),"o")=$D$5),$D$5,AR34)))</f>
        <v>o</v>
      </c>
    </row>
    <row r="35" spans="1:45" x14ac:dyDescent="0.2">
      <c r="A35" s="40"/>
      <c r="B35" s="74" t="str">
        <f>MLEOsv2!A23</f>
        <v>MLEO_01_10</v>
      </c>
      <c r="C35" s="74">
        <f>MLEOsv2!C23</f>
        <v>3</v>
      </c>
      <c r="D35" s="44" t="str">
        <f>MLEOsv2!G23</f>
        <v>implement aggregation and composition relation.</v>
      </c>
      <c r="E35" s="68" t="b">
        <f>MLEOsv2!H23</f>
        <v>0</v>
      </c>
      <c r="F35" s="94" t="s">
        <v>320</v>
      </c>
      <c r="G35" s="72" t="str">
        <f>IF(F35=$D$4,F35,IF(OR(IFERROR(VLOOKUP(VLOOKUP($B35, Dependencies!$B$2:$G$230, 2,FALSE),$B$14:G$73, G$74,FALSE),"o")=$D$4,IFERROR(VLOOKUP(VLOOKUP($B35, Dependencies!$B$2:$G$230, 3,FALSE),$B$14:G$73, G$74,FALSE),"o")=$D$4,IFERROR(VLOOKUP(VLOOKUP($B35, Dependencies!$B$2:$G$230, 4,FALSE),$B$14:G$73, G$74,FALSE),"o")=$D$4,IFERROR(VLOOKUP(VLOOKUP($B35, Dependencies!$B$2:$G$230, 5,FALSE),$B$14:G$73, G$74,FALSE),"o")=$D$4,IFERROR(VLOOKUP(VLOOKUP($B35, Dependencies!$B$2:$G$230, 6,FALSE),$B$14:G$73, G$74,FALSE),"o")=$D$4),$D$4,IF(OR(IFERROR(VLOOKUP(VLOOKUP($B35, Dependencies!$B$2:$G$230, 2,FALSE), $B$14:G$73, G$74,FALSE),"o")=$D$5,IFERROR(VLOOKUP(VLOOKUP($B35, Dependencies!$B$2:$G$230, 3,FALSE), $B$14:G$73, G$74,FALSE),"o")=$D$5,IFERROR(VLOOKUP(VLOOKUP($B35, Dependencies!$B$2:$G$230, 4,FALSE), $B$14:G$73, G$74,FALSE),"o")=$D$5,IFERROR(VLOOKUP(VLOOKUP($B35, Dependencies!$B$2:$G$230, 5,FALSE), $B$14:G$73, G$74,FALSE),"o")=$D$5,IFERROR(VLOOKUP(VLOOKUP($B35, Dependencies!$B$2:$G$230, 6,FALSE), $B$14:G$73, G$74,FALSE),"o")=$D$5),$D$5,F35)))</f>
        <v>r</v>
      </c>
      <c r="H35" s="94" t="s">
        <v>321</v>
      </c>
      <c r="I35" s="72" t="str">
        <f>IF(H35=$D$4,H35,IF(OR(IFERROR(VLOOKUP(VLOOKUP($B35, Dependencies!$B$2:$G$230, 2,FALSE),$B$14:I$73, I$74,FALSE),"o")=$D$4,IFERROR(VLOOKUP(VLOOKUP($B35, Dependencies!$B$2:$G$230, 3,FALSE),$B$14:I$73, I$74,FALSE),"o")=$D$4,IFERROR(VLOOKUP(VLOOKUP($B35, Dependencies!$B$2:$G$230, 4,FALSE),$B$14:I$73, I$74,FALSE),"o")=$D$4,IFERROR(VLOOKUP(VLOOKUP($B35, Dependencies!$B$2:$G$230, 5,FALSE),$B$14:I$73, I$74,FALSE),"o")=$D$4,IFERROR(VLOOKUP(VLOOKUP($B35, Dependencies!$B$2:$G$230, 6,FALSE),$B$14:I$73, I$74,FALSE),"o")=$D$4),$D$4,IF(OR(IFERROR(VLOOKUP(VLOOKUP($B35, Dependencies!$B$2:$G$230, 2,FALSE), $B$14:I$73, I$74,FALSE),"o")=$D$5,IFERROR(VLOOKUP(VLOOKUP($B35, Dependencies!$B$2:$G$230, 3,FALSE), $B$14:I$73, I$74,FALSE),"o")=$D$5,IFERROR(VLOOKUP(VLOOKUP($B35, Dependencies!$B$2:$G$230, 4,FALSE), $B$14:I$73, I$74,FALSE),"o")=$D$5,IFERROR(VLOOKUP(VLOOKUP($B35, Dependencies!$B$2:$G$230, 5,FALSE), $B$14:I$73, I$74,FALSE),"o")=$D$5,IFERROR(VLOOKUP(VLOOKUP($B35, Dependencies!$B$2:$G$230, 6,FALSE), $B$14:I$73, I$74,FALSE),"o")=$D$5),$D$5,H35)))</f>
        <v>pr</v>
      </c>
      <c r="J35" s="94" t="s">
        <v>323</v>
      </c>
      <c r="K35" s="72" t="str">
        <f>IF(J35=$D$4,J35,IF(OR(IFERROR(VLOOKUP(VLOOKUP($B35, Dependencies!$B$2:$G$230, 2,FALSE),$B$14:K$73, K$74,FALSE),"o")=$D$4,IFERROR(VLOOKUP(VLOOKUP($B35, Dependencies!$B$2:$G$230, 3,FALSE),$B$14:K$73, K$74,FALSE),"o")=$D$4,IFERROR(VLOOKUP(VLOOKUP($B35, Dependencies!$B$2:$G$230, 4,FALSE),$B$14:K$73, K$74,FALSE),"o")=$D$4,IFERROR(VLOOKUP(VLOOKUP($B35, Dependencies!$B$2:$G$230, 5,FALSE),$B$14:K$73, K$74,FALSE),"o")=$D$4,IFERROR(VLOOKUP(VLOOKUP($B35, Dependencies!$B$2:$G$230, 6,FALSE),$B$14:K$73, K$74,FALSE),"o")=$D$4),$D$4,IF(OR(IFERROR(VLOOKUP(VLOOKUP($B35, Dependencies!$B$2:$G$230, 2,FALSE), $B$14:K$73, K$74,FALSE),"o")=$D$5,IFERROR(VLOOKUP(VLOOKUP($B35, Dependencies!$B$2:$G$230, 3,FALSE), $B$14:K$73, K$74,FALSE),"o")=$D$5,IFERROR(VLOOKUP(VLOOKUP($B35, Dependencies!$B$2:$G$230, 4,FALSE), $B$14:K$73, K$74,FALSE),"o")=$D$5,IFERROR(VLOOKUP(VLOOKUP($B35, Dependencies!$B$2:$G$230, 5,FALSE), $B$14:K$73, K$74,FALSE),"o")=$D$5,IFERROR(VLOOKUP(VLOOKUP($B35, Dependencies!$B$2:$G$230, 6,FALSE), $B$14:K$73, K$74,FALSE),"o")=$D$5),$D$5,J35)))</f>
        <v>o</v>
      </c>
      <c r="L35" s="94" t="s">
        <v>323</v>
      </c>
      <c r="M35" s="72" t="str">
        <f>IF(L35=$D$4,L35,IF(OR(IFERROR(VLOOKUP(VLOOKUP($B35, Dependencies!$B$2:$G$230, 2,FALSE),$B$14:M$73, M$74,FALSE),"o")=$D$4,IFERROR(VLOOKUP(VLOOKUP($B35, Dependencies!$B$2:$G$230, 3,FALSE),$B$14:M$73, M$74,FALSE),"o")=$D$4,IFERROR(VLOOKUP(VLOOKUP($B35, Dependencies!$B$2:$G$230, 4,FALSE),$B$14:M$73, M$74,FALSE),"o")=$D$4,IFERROR(VLOOKUP(VLOOKUP($B35, Dependencies!$B$2:$G$230, 5,FALSE),$B$14:M$73, M$74,FALSE),"o")=$D$4,IFERROR(VLOOKUP(VLOOKUP($B35, Dependencies!$B$2:$G$230, 6,FALSE),$B$14:M$73, M$74,FALSE),"o")=$D$4),$D$4,IF(OR(IFERROR(VLOOKUP(VLOOKUP($B35, Dependencies!$B$2:$G$230, 2,FALSE), $B$14:M$73, M$74,FALSE),"o")=$D$5,IFERROR(VLOOKUP(VLOOKUP($B35, Dependencies!$B$2:$G$230, 3,FALSE), $B$14:M$73, M$74,FALSE),"o")=$D$5,IFERROR(VLOOKUP(VLOOKUP($B35, Dependencies!$B$2:$G$230, 4,FALSE), $B$14:M$73, M$74,FALSE),"o")=$D$5,IFERROR(VLOOKUP(VLOOKUP($B35, Dependencies!$B$2:$G$230, 5,FALSE), $B$14:M$73, M$74,FALSE),"o")=$D$5,IFERROR(VLOOKUP(VLOOKUP($B35, Dependencies!$B$2:$G$230, 6,FALSE), $B$14:M$73, M$74,FALSE),"o")=$D$5),$D$5,L35)))</f>
        <v>o</v>
      </c>
      <c r="N35" s="94" t="s">
        <v>323</v>
      </c>
      <c r="O35" s="72" t="str">
        <f>IF(N35=$D$4,N35,IF(OR(IFERROR(VLOOKUP(VLOOKUP($B35, Dependencies!$B$2:$G$230, 2,FALSE),$B$14:O$73, O$74,FALSE),"o")=$D$4,IFERROR(VLOOKUP(VLOOKUP($B35, Dependencies!$B$2:$G$230, 3,FALSE),$B$14:O$73, O$74,FALSE),"o")=$D$4,IFERROR(VLOOKUP(VLOOKUP($B35, Dependencies!$B$2:$G$230, 4,FALSE),$B$14:O$73, O$74,FALSE),"o")=$D$4,IFERROR(VLOOKUP(VLOOKUP($B35, Dependencies!$B$2:$G$230, 5,FALSE),$B$14:O$73, O$74,FALSE),"o")=$D$4,IFERROR(VLOOKUP(VLOOKUP($B35, Dependencies!$B$2:$G$230, 6,FALSE),$B$14:O$73, O$74,FALSE),"o")=$D$4),$D$4,IF(OR(IFERROR(VLOOKUP(VLOOKUP($B35, Dependencies!$B$2:$G$230, 2,FALSE), $B$14:O$73, O$74,FALSE),"o")=$D$5,IFERROR(VLOOKUP(VLOOKUP($B35, Dependencies!$B$2:$G$230, 3,FALSE), $B$14:O$73, O$74,FALSE),"o")=$D$5,IFERROR(VLOOKUP(VLOOKUP($B35, Dependencies!$B$2:$G$230, 4,FALSE), $B$14:O$73, O$74,FALSE),"o")=$D$5,IFERROR(VLOOKUP(VLOOKUP($B35, Dependencies!$B$2:$G$230, 5,FALSE), $B$14:O$73, O$74,FALSE),"o")=$D$5,IFERROR(VLOOKUP(VLOOKUP($B35, Dependencies!$B$2:$G$230, 6,FALSE), $B$14:O$73, O$74,FALSE),"o")=$D$5),$D$5,N35)))</f>
        <v>o</v>
      </c>
      <c r="P35" s="94" t="s">
        <v>323</v>
      </c>
      <c r="Q35" s="72" t="str">
        <f>IF(P35=$D$4,P35,IF(OR(IFERROR(VLOOKUP(VLOOKUP($B35, Dependencies!$B$2:$G$230, 2,FALSE),$B$14:Q$73, Q$74,FALSE),"o")=$D$4,IFERROR(VLOOKUP(VLOOKUP($B35, Dependencies!$B$2:$G$230, 3,FALSE),$B$14:Q$73, Q$74,FALSE),"o")=$D$4,IFERROR(VLOOKUP(VLOOKUP($B35, Dependencies!$B$2:$G$230, 4,FALSE),$B$14:Q$73, Q$74,FALSE),"o")=$D$4,IFERROR(VLOOKUP(VLOOKUP($B35, Dependencies!$B$2:$G$230, 5,FALSE),$B$14:Q$73, Q$74,FALSE),"o")=$D$4,IFERROR(VLOOKUP(VLOOKUP($B35, Dependencies!$B$2:$G$230, 6,FALSE),$B$14:Q$73, Q$74,FALSE),"o")=$D$4),$D$4,IF(OR(IFERROR(VLOOKUP(VLOOKUP($B35, Dependencies!$B$2:$G$230, 2,FALSE), $B$14:Q$73, Q$74,FALSE),"o")=$D$5,IFERROR(VLOOKUP(VLOOKUP($B35, Dependencies!$B$2:$G$230, 3,FALSE), $B$14:Q$73, Q$74,FALSE),"o")=$D$5,IFERROR(VLOOKUP(VLOOKUP($B35, Dependencies!$B$2:$G$230, 4,FALSE), $B$14:Q$73, Q$74,FALSE),"o")=$D$5,IFERROR(VLOOKUP(VLOOKUP($B35, Dependencies!$B$2:$G$230, 5,FALSE), $B$14:Q$73, Q$74,FALSE),"o")=$D$5,IFERROR(VLOOKUP(VLOOKUP($B35, Dependencies!$B$2:$G$230, 6,FALSE), $B$14:Q$73, Q$74,FALSE),"o")=$D$5),$D$5,P35)))</f>
        <v>o</v>
      </c>
      <c r="R35" s="94" t="s">
        <v>323</v>
      </c>
      <c r="S35" s="72" t="str">
        <f>IF(R35=$D$4,R35,IF(OR(IFERROR(VLOOKUP(VLOOKUP($B35, Dependencies!$B$2:$G$230, 2,FALSE),$B$14:S$73, S$74,FALSE),"o")=$D$4,IFERROR(VLOOKUP(VLOOKUP($B35, Dependencies!$B$2:$G$230, 3,FALSE),$B$14:S$73, S$74,FALSE),"o")=$D$4,IFERROR(VLOOKUP(VLOOKUP($B35, Dependencies!$B$2:$G$230, 4,FALSE),$B$14:S$73, S$74,FALSE),"o")=$D$4,IFERROR(VLOOKUP(VLOOKUP($B35, Dependencies!$B$2:$G$230, 5,FALSE),$B$14:S$73, S$74,FALSE),"o")=$D$4,IFERROR(VLOOKUP(VLOOKUP($B35, Dependencies!$B$2:$G$230, 6,FALSE),$B$14:S$73, S$74,FALSE),"o")=$D$4),$D$4,IF(OR(IFERROR(VLOOKUP(VLOOKUP($B35, Dependencies!$B$2:$G$230, 2,FALSE), $B$14:S$73, S$74,FALSE),"o")=$D$5,IFERROR(VLOOKUP(VLOOKUP($B35, Dependencies!$B$2:$G$230, 3,FALSE), $B$14:S$73, S$74,FALSE),"o")=$D$5,IFERROR(VLOOKUP(VLOOKUP($B35, Dependencies!$B$2:$G$230, 4,FALSE), $B$14:S$73, S$74,FALSE),"o")=$D$5,IFERROR(VLOOKUP(VLOOKUP($B35, Dependencies!$B$2:$G$230, 5,FALSE), $B$14:S$73, S$74,FALSE),"o")=$D$5,IFERROR(VLOOKUP(VLOOKUP($B35, Dependencies!$B$2:$G$230, 6,FALSE), $B$14:S$73, S$74,FALSE),"o")=$D$5),$D$5,R35)))</f>
        <v>o</v>
      </c>
      <c r="T35" s="94" t="s">
        <v>323</v>
      </c>
      <c r="U35" s="72" t="str">
        <f>IF(T35=$D$4,T35,IF(OR(IFERROR(VLOOKUP(VLOOKUP($B35, Dependencies!$B$2:$G$230, 2,FALSE),$B$14:U$73, U$74,FALSE),"o")=$D$4,IFERROR(VLOOKUP(VLOOKUP($B35, Dependencies!$B$2:$G$230, 3,FALSE),$B$14:U$73, U$74,FALSE),"o")=$D$4,IFERROR(VLOOKUP(VLOOKUP($B35, Dependencies!$B$2:$G$230, 4,FALSE),$B$14:U$73, U$74,FALSE),"o")=$D$4,IFERROR(VLOOKUP(VLOOKUP($B35, Dependencies!$B$2:$G$230, 5,FALSE),$B$14:U$73, U$74,FALSE),"o")=$D$4,IFERROR(VLOOKUP(VLOOKUP($B35, Dependencies!$B$2:$G$230, 6,FALSE),$B$14:U$73, U$74,FALSE),"o")=$D$4),$D$4,IF(OR(IFERROR(VLOOKUP(VLOOKUP($B35, Dependencies!$B$2:$G$230, 2,FALSE), $B$14:U$73, U$74,FALSE),"o")=$D$5,IFERROR(VLOOKUP(VLOOKUP($B35, Dependencies!$B$2:$G$230, 3,FALSE), $B$14:U$73, U$74,FALSE),"o")=$D$5,IFERROR(VLOOKUP(VLOOKUP($B35, Dependencies!$B$2:$G$230, 4,FALSE), $B$14:U$73, U$74,FALSE),"o")=$D$5,IFERROR(VLOOKUP(VLOOKUP($B35, Dependencies!$B$2:$G$230, 5,FALSE), $B$14:U$73, U$74,FALSE),"o")=$D$5,IFERROR(VLOOKUP(VLOOKUP($B35, Dependencies!$B$2:$G$230, 6,FALSE), $B$14:U$73, U$74,FALSE),"o")=$D$5),$D$5,T35)))</f>
        <v>o</v>
      </c>
      <c r="V35" s="94" t="s">
        <v>323</v>
      </c>
      <c r="W35" s="72" t="str">
        <f>IF(V35=$D$4,V35,IF(OR(IFERROR(VLOOKUP(VLOOKUP($B35, Dependencies!$B$2:$G$230, 2,FALSE),$B$14:W$73, W$74,FALSE),"o")=$D$4,IFERROR(VLOOKUP(VLOOKUP($B35, Dependencies!$B$2:$G$230, 3,FALSE),$B$14:W$73, W$74,FALSE),"o")=$D$4,IFERROR(VLOOKUP(VLOOKUP($B35, Dependencies!$B$2:$G$230, 4,FALSE),$B$14:W$73, W$74,FALSE),"o")=$D$4,IFERROR(VLOOKUP(VLOOKUP($B35, Dependencies!$B$2:$G$230, 5,FALSE),$B$14:W$73, W$74,FALSE),"o")=$D$4,IFERROR(VLOOKUP(VLOOKUP($B35, Dependencies!$B$2:$G$230, 6,FALSE),$B$14:W$73, W$74,FALSE),"o")=$D$4),$D$4,IF(OR(IFERROR(VLOOKUP(VLOOKUP($B35, Dependencies!$B$2:$G$230, 2,FALSE), $B$14:W$73, W$74,FALSE),"o")=$D$5,IFERROR(VLOOKUP(VLOOKUP($B35, Dependencies!$B$2:$G$230, 3,FALSE), $B$14:W$73, W$74,FALSE),"o")=$D$5,IFERROR(VLOOKUP(VLOOKUP($B35, Dependencies!$B$2:$G$230, 4,FALSE), $B$14:W$73, W$74,FALSE),"o")=$D$5,IFERROR(VLOOKUP(VLOOKUP($B35, Dependencies!$B$2:$G$230, 5,FALSE), $B$14:W$73, W$74,FALSE),"o")=$D$5,IFERROR(VLOOKUP(VLOOKUP($B35, Dependencies!$B$2:$G$230, 6,FALSE), $B$14:W$73, W$74,FALSE),"o")=$D$5),$D$5,V35)))</f>
        <v>o</v>
      </c>
      <c r="X35" s="94" t="s">
        <v>323</v>
      </c>
      <c r="Y35" s="72" t="str">
        <f>IF(X35=$D$4,X35,IF(OR(IFERROR(VLOOKUP(VLOOKUP($B35, Dependencies!$B$2:$G$230, 2,FALSE),$B$14:Y$73, Y$74,FALSE),"o")=$D$4,IFERROR(VLOOKUP(VLOOKUP($B35, Dependencies!$B$2:$G$230, 3,FALSE),$B$14:Y$73, Y$74,FALSE),"o")=$D$4,IFERROR(VLOOKUP(VLOOKUP($B35, Dependencies!$B$2:$G$230, 4,FALSE),$B$14:Y$73, Y$74,FALSE),"o")=$D$4,IFERROR(VLOOKUP(VLOOKUP($B35, Dependencies!$B$2:$G$230, 5,FALSE),$B$14:Y$73, Y$74,FALSE),"o")=$D$4,IFERROR(VLOOKUP(VLOOKUP($B35, Dependencies!$B$2:$G$230, 6,FALSE),$B$14:Y$73, Y$74,FALSE),"o")=$D$4),$D$4,IF(OR(IFERROR(VLOOKUP(VLOOKUP($B35, Dependencies!$B$2:$G$230, 2,FALSE), $B$14:Y$73, Y$74,FALSE),"o")=$D$5,IFERROR(VLOOKUP(VLOOKUP($B35, Dependencies!$B$2:$G$230, 3,FALSE), $B$14:Y$73, Y$74,FALSE),"o")=$D$5,IFERROR(VLOOKUP(VLOOKUP($B35, Dependencies!$B$2:$G$230, 4,FALSE), $B$14:Y$73, Y$74,FALSE),"o")=$D$5,IFERROR(VLOOKUP(VLOOKUP($B35, Dependencies!$B$2:$G$230, 5,FALSE), $B$14:Y$73, Y$74,FALSE),"o")=$D$5,IFERROR(VLOOKUP(VLOOKUP($B35, Dependencies!$B$2:$G$230, 6,FALSE), $B$14:Y$73, Y$74,FALSE),"o")=$D$5),$D$5,X35)))</f>
        <v>o</v>
      </c>
      <c r="Z35" s="94" t="s">
        <v>323</v>
      </c>
      <c r="AA35" s="72" t="str">
        <f>IF(Z35=$D$4,Z35,IF(OR(IFERROR(VLOOKUP(VLOOKUP($B35, Dependencies!$B$2:$G$230, 2,FALSE),$B$14:AA$73, AA$74,FALSE),"o")=$D$4,IFERROR(VLOOKUP(VLOOKUP($B35, Dependencies!$B$2:$G$230, 3,FALSE),$B$14:AA$73, AA$74,FALSE),"o")=$D$4,IFERROR(VLOOKUP(VLOOKUP($B35, Dependencies!$B$2:$G$230, 4,FALSE),$B$14:AA$73, AA$74,FALSE),"o")=$D$4,IFERROR(VLOOKUP(VLOOKUP($B35, Dependencies!$B$2:$G$230, 5,FALSE),$B$14:AA$73, AA$74,FALSE),"o")=$D$4,IFERROR(VLOOKUP(VLOOKUP($B35, Dependencies!$B$2:$G$230, 6,FALSE),$B$14:AA$73, AA$74,FALSE),"o")=$D$4),$D$4,IF(OR(IFERROR(VLOOKUP(VLOOKUP($B35, Dependencies!$B$2:$G$230, 2,FALSE), $B$14:AA$73, AA$74,FALSE),"o")=$D$5,IFERROR(VLOOKUP(VLOOKUP($B35, Dependencies!$B$2:$G$230, 3,FALSE), $B$14:AA$73, AA$74,FALSE),"o")=$D$5,IFERROR(VLOOKUP(VLOOKUP($B35, Dependencies!$B$2:$G$230, 4,FALSE), $B$14:AA$73, AA$74,FALSE),"o")=$D$5,IFERROR(VLOOKUP(VLOOKUP($B35, Dependencies!$B$2:$G$230, 5,FALSE), $B$14:AA$73, AA$74,FALSE),"o")=$D$5,IFERROR(VLOOKUP(VLOOKUP($B35, Dependencies!$B$2:$G$230, 6,FALSE), $B$14:AA$73, AA$74,FALSE),"o")=$D$5),$D$5,Z35)))</f>
        <v>o</v>
      </c>
      <c r="AB35" s="94" t="s">
        <v>323</v>
      </c>
      <c r="AC35" s="72" t="str">
        <f>IF(AB35=$D$4,AB35,IF(OR(IFERROR(VLOOKUP(VLOOKUP($B35, Dependencies!$B$2:$G$230, 2,FALSE),$B$14:AC$73, AC$74,FALSE),"o")=$D$4,IFERROR(VLOOKUP(VLOOKUP($B35, Dependencies!$B$2:$G$230, 3,FALSE),$B$14:AC$73, AC$74,FALSE),"o")=$D$4,IFERROR(VLOOKUP(VLOOKUP($B35, Dependencies!$B$2:$G$230, 4,FALSE),$B$14:AC$73, AC$74,FALSE),"o")=$D$4,IFERROR(VLOOKUP(VLOOKUP($B35, Dependencies!$B$2:$G$230, 5,FALSE),$B$14:AC$73, AC$74,FALSE),"o")=$D$4,IFERROR(VLOOKUP(VLOOKUP($B35, Dependencies!$B$2:$G$230, 6,FALSE),$B$14:AC$73, AC$74,FALSE),"o")=$D$4),$D$4,IF(OR(IFERROR(VLOOKUP(VLOOKUP($B35, Dependencies!$B$2:$G$230, 2,FALSE), $B$14:AC$73, AC$74,FALSE),"o")=$D$5,IFERROR(VLOOKUP(VLOOKUP($B35, Dependencies!$B$2:$G$230, 3,FALSE), $B$14:AC$73, AC$74,FALSE),"o")=$D$5,IFERROR(VLOOKUP(VLOOKUP($B35, Dependencies!$B$2:$G$230, 4,FALSE), $B$14:AC$73, AC$74,FALSE),"o")=$D$5,IFERROR(VLOOKUP(VLOOKUP($B35, Dependencies!$B$2:$G$230, 5,FALSE), $B$14:AC$73, AC$74,FALSE),"o")=$D$5,IFERROR(VLOOKUP(VLOOKUP($B35, Dependencies!$B$2:$G$230, 6,FALSE), $B$14:AC$73, AC$74,FALSE),"o")=$D$5),$D$5,AB35)))</f>
        <v>o</v>
      </c>
      <c r="AD35" s="94" t="s">
        <v>323</v>
      </c>
      <c r="AE35" s="72" t="str">
        <f>IF(AD35=$D$4,AD35,IF(OR(IFERROR(VLOOKUP(VLOOKUP($B35, Dependencies!$B$2:$G$230, 2,FALSE),$B$14:AE$73, AE$74,FALSE),"o")=$D$4,IFERROR(VLOOKUP(VLOOKUP($B35, Dependencies!$B$2:$G$230, 3,FALSE),$B$14:AE$73, AE$74,FALSE),"o")=$D$4,IFERROR(VLOOKUP(VLOOKUP($B35, Dependencies!$B$2:$G$230, 4,FALSE),$B$14:AE$73, AE$74,FALSE),"o")=$D$4,IFERROR(VLOOKUP(VLOOKUP($B35, Dependencies!$B$2:$G$230, 5,FALSE),$B$14:AE$73, AE$74,FALSE),"o")=$D$4,IFERROR(VLOOKUP(VLOOKUP($B35, Dependencies!$B$2:$G$230, 6,FALSE),$B$14:AE$73, AE$74,FALSE),"o")=$D$4),$D$4,IF(OR(IFERROR(VLOOKUP(VLOOKUP($B35, Dependencies!$B$2:$G$230, 2,FALSE), $B$14:AE$73, AE$74,FALSE),"o")=$D$5,IFERROR(VLOOKUP(VLOOKUP($B35, Dependencies!$B$2:$G$230, 3,FALSE), $B$14:AE$73, AE$74,FALSE),"o")=$D$5,IFERROR(VLOOKUP(VLOOKUP($B35, Dependencies!$B$2:$G$230, 4,FALSE), $B$14:AE$73, AE$74,FALSE),"o")=$D$5,IFERROR(VLOOKUP(VLOOKUP($B35, Dependencies!$B$2:$G$230, 5,FALSE), $B$14:AE$73, AE$74,FALSE),"o")=$D$5,IFERROR(VLOOKUP(VLOOKUP($B35, Dependencies!$B$2:$G$230, 6,FALSE), $B$14:AE$73, AE$74,FALSE),"o")=$D$5),$D$5,AD35)))</f>
        <v>o</v>
      </c>
      <c r="AF35" s="94" t="s">
        <v>323</v>
      </c>
      <c r="AG35" s="72" t="str">
        <f>IF(AF35=$D$4,AF35,IF(OR(IFERROR(VLOOKUP(VLOOKUP($B35, Dependencies!$B$2:$G$230, 2,FALSE),$B$14:AG$73, AG$74,FALSE),"o")=$D$4,IFERROR(VLOOKUP(VLOOKUP($B35, Dependencies!$B$2:$G$230, 3,FALSE),$B$14:AG$73, AG$74,FALSE),"o")=$D$4,IFERROR(VLOOKUP(VLOOKUP($B35, Dependencies!$B$2:$G$230, 4,FALSE),$B$14:AG$73, AG$74,FALSE),"o")=$D$4,IFERROR(VLOOKUP(VLOOKUP($B35, Dependencies!$B$2:$G$230, 5,FALSE),$B$14:AG$73, AG$74,FALSE),"o")=$D$4,IFERROR(VLOOKUP(VLOOKUP($B35, Dependencies!$B$2:$G$230, 6,FALSE),$B$14:AG$73, AG$74,FALSE),"o")=$D$4),$D$4,IF(OR(IFERROR(VLOOKUP(VLOOKUP($B35, Dependencies!$B$2:$G$230, 2,FALSE), $B$14:AG$73, AG$74,FALSE),"o")=$D$5,IFERROR(VLOOKUP(VLOOKUP($B35, Dependencies!$B$2:$G$230, 3,FALSE), $B$14:AG$73, AG$74,FALSE),"o")=$D$5,IFERROR(VLOOKUP(VLOOKUP($B35, Dependencies!$B$2:$G$230, 4,FALSE), $B$14:AG$73, AG$74,FALSE),"o")=$D$5,IFERROR(VLOOKUP(VLOOKUP($B35, Dependencies!$B$2:$G$230, 5,FALSE), $B$14:AG$73, AG$74,FALSE),"o")=$D$5,IFERROR(VLOOKUP(VLOOKUP($B35, Dependencies!$B$2:$G$230, 6,FALSE), $B$14:AG$73, AG$74,FALSE),"o")=$D$5),$D$5,AF35)))</f>
        <v>o</v>
      </c>
      <c r="AH35" s="94" t="s">
        <v>323</v>
      </c>
      <c r="AI35" s="72" t="str">
        <f>IF(AH35=$D$4,AH35,IF(OR(IFERROR(VLOOKUP(VLOOKUP($B35, Dependencies!$B$2:$G$230, 2,FALSE),$B$14:AI$73, AI$74,FALSE),"o")=$D$4,IFERROR(VLOOKUP(VLOOKUP($B35, Dependencies!$B$2:$G$230, 3,FALSE),$B$14:AI$73, AI$74,FALSE),"o")=$D$4,IFERROR(VLOOKUP(VLOOKUP($B35, Dependencies!$B$2:$G$230, 4,FALSE),$B$14:AI$73, AI$74,FALSE),"o")=$D$4,IFERROR(VLOOKUP(VLOOKUP($B35, Dependencies!$B$2:$G$230, 5,FALSE),$B$14:AI$73, AI$74,FALSE),"o")=$D$4,IFERROR(VLOOKUP(VLOOKUP($B35, Dependencies!$B$2:$G$230, 6,FALSE),$B$14:AI$73, AI$74,FALSE),"o")=$D$4),$D$4,IF(OR(IFERROR(VLOOKUP(VLOOKUP($B35, Dependencies!$B$2:$G$230, 2,FALSE), $B$14:AI$73, AI$74,FALSE),"o")=$D$5,IFERROR(VLOOKUP(VLOOKUP($B35, Dependencies!$B$2:$G$230, 3,FALSE), $B$14:AI$73, AI$74,FALSE),"o")=$D$5,IFERROR(VLOOKUP(VLOOKUP($B35, Dependencies!$B$2:$G$230, 4,FALSE), $B$14:AI$73, AI$74,FALSE),"o")=$D$5,IFERROR(VLOOKUP(VLOOKUP($B35, Dependencies!$B$2:$G$230, 5,FALSE), $B$14:AI$73, AI$74,FALSE),"o")=$D$5,IFERROR(VLOOKUP(VLOOKUP($B35, Dependencies!$B$2:$G$230, 6,FALSE), $B$14:AI$73, AI$74,FALSE),"o")=$D$5),$D$5,AH35)))</f>
        <v>o</v>
      </c>
      <c r="AJ35" s="94" t="s">
        <v>323</v>
      </c>
      <c r="AK35" s="72" t="str">
        <f>IF(AJ35=$D$4,AJ35,IF(OR(IFERROR(VLOOKUP(VLOOKUP($B35, Dependencies!$B$2:$G$230, 2,FALSE),$B$14:AK$73, AK$74,FALSE),"o")=$D$4,IFERROR(VLOOKUP(VLOOKUP($B35, Dependencies!$B$2:$G$230, 3,FALSE),$B$14:AK$73, AK$74,FALSE),"o")=$D$4,IFERROR(VLOOKUP(VLOOKUP($B35, Dependencies!$B$2:$G$230, 4,FALSE),$B$14:AK$73, AK$74,FALSE),"o")=$D$4,IFERROR(VLOOKUP(VLOOKUP($B35, Dependencies!$B$2:$G$230, 5,FALSE),$B$14:AK$73, AK$74,FALSE),"o")=$D$4,IFERROR(VLOOKUP(VLOOKUP($B35, Dependencies!$B$2:$G$230, 6,FALSE),$B$14:AK$73, AK$74,FALSE),"o")=$D$4),$D$4,IF(OR(IFERROR(VLOOKUP(VLOOKUP($B35, Dependencies!$B$2:$G$230, 2,FALSE), $B$14:AK$73, AK$74,FALSE),"o")=$D$5,IFERROR(VLOOKUP(VLOOKUP($B35, Dependencies!$B$2:$G$230, 3,FALSE), $B$14:AK$73, AK$74,FALSE),"o")=$D$5,IFERROR(VLOOKUP(VLOOKUP($B35, Dependencies!$B$2:$G$230, 4,FALSE), $B$14:AK$73, AK$74,FALSE),"o")=$D$5,IFERROR(VLOOKUP(VLOOKUP($B35, Dependencies!$B$2:$G$230, 5,FALSE), $B$14:AK$73, AK$74,FALSE),"o")=$D$5,IFERROR(VLOOKUP(VLOOKUP($B35, Dependencies!$B$2:$G$230, 6,FALSE), $B$14:AK$73, AK$74,FALSE),"o")=$D$5),$D$5,AJ35)))</f>
        <v>o</v>
      </c>
      <c r="AL35" s="94" t="s">
        <v>323</v>
      </c>
      <c r="AM35" s="72" t="str">
        <f>IF(AL35=$D$4,AL35,IF(OR(IFERROR(VLOOKUP(VLOOKUP($B35, Dependencies!$B$2:$G$230, 2,FALSE),$B$14:AM$73, AM$74,FALSE),"o")=$D$4,IFERROR(VLOOKUP(VLOOKUP($B35, Dependencies!$B$2:$G$230, 3,FALSE),$B$14:AM$73, AM$74,FALSE),"o")=$D$4,IFERROR(VLOOKUP(VLOOKUP($B35, Dependencies!$B$2:$G$230, 4,FALSE),$B$14:AM$73, AM$74,FALSE),"o")=$D$4,IFERROR(VLOOKUP(VLOOKUP($B35, Dependencies!$B$2:$G$230, 5,FALSE),$B$14:AM$73, AM$74,FALSE),"o")=$D$4,IFERROR(VLOOKUP(VLOOKUP($B35, Dependencies!$B$2:$G$230, 6,FALSE),$B$14:AM$73, AM$74,FALSE),"o")=$D$4),$D$4,IF(OR(IFERROR(VLOOKUP(VLOOKUP($B35, Dependencies!$B$2:$G$230, 2,FALSE), $B$14:AM$73, AM$74,FALSE),"o")=$D$5,IFERROR(VLOOKUP(VLOOKUP($B35, Dependencies!$B$2:$G$230, 3,FALSE), $B$14:AM$73, AM$74,FALSE),"o")=$D$5,IFERROR(VLOOKUP(VLOOKUP($B35, Dependencies!$B$2:$G$230, 4,FALSE), $B$14:AM$73, AM$74,FALSE),"o")=$D$5,IFERROR(VLOOKUP(VLOOKUP($B35, Dependencies!$B$2:$G$230, 5,FALSE), $B$14:AM$73, AM$74,FALSE),"o")=$D$5,IFERROR(VLOOKUP(VLOOKUP($B35, Dependencies!$B$2:$G$230, 6,FALSE), $B$14:AM$73, AM$74,FALSE),"o")=$D$5),$D$5,AL35)))</f>
        <v>o</v>
      </c>
      <c r="AN35" s="94" t="s">
        <v>323</v>
      </c>
      <c r="AO35" s="72" t="str">
        <f>IF(AN35=$D$4,AN35,IF(OR(IFERROR(VLOOKUP(VLOOKUP($B35, Dependencies!$B$2:$G$230, 2,FALSE),$B$14:AO$73, AO$74,FALSE),"o")=$D$4,IFERROR(VLOOKUP(VLOOKUP($B35, Dependencies!$B$2:$G$230, 3,FALSE),$B$14:AO$73, AO$74,FALSE),"o")=$D$4,IFERROR(VLOOKUP(VLOOKUP($B35, Dependencies!$B$2:$G$230, 4,FALSE),$B$14:AO$73, AO$74,FALSE),"o")=$D$4,IFERROR(VLOOKUP(VLOOKUP($B35, Dependencies!$B$2:$G$230, 5,FALSE),$B$14:AO$73, AO$74,FALSE),"o")=$D$4,IFERROR(VLOOKUP(VLOOKUP($B35, Dependencies!$B$2:$G$230, 6,FALSE),$B$14:AO$73, AO$74,FALSE),"o")=$D$4),$D$4,IF(OR(IFERROR(VLOOKUP(VLOOKUP($B35, Dependencies!$B$2:$G$230, 2,FALSE), $B$14:AO$73, AO$74,FALSE),"o")=$D$5,IFERROR(VLOOKUP(VLOOKUP($B35, Dependencies!$B$2:$G$230, 3,FALSE), $B$14:AO$73, AO$74,FALSE),"o")=$D$5,IFERROR(VLOOKUP(VLOOKUP($B35, Dependencies!$B$2:$G$230, 4,FALSE), $B$14:AO$73, AO$74,FALSE),"o")=$D$5,IFERROR(VLOOKUP(VLOOKUP($B35, Dependencies!$B$2:$G$230, 5,FALSE), $B$14:AO$73, AO$74,FALSE),"o")=$D$5,IFERROR(VLOOKUP(VLOOKUP($B35, Dependencies!$B$2:$G$230, 6,FALSE), $B$14:AO$73, AO$74,FALSE),"o")=$D$5),$D$5,AN35)))</f>
        <v>o</v>
      </c>
      <c r="AP35" s="94" t="s">
        <v>323</v>
      </c>
      <c r="AQ35" s="72" t="str">
        <f>IF(AP35=$D$4,AP35,IF(OR(IFERROR(VLOOKUP(VLOOKUP($B35, Dependencies!$B$2:$G$230, 2,FALSE),$B$14:AQ$73, AQ$74,FALSE),"o")=$D$4,IFERROR(VLOOKUP(VLOOKUP($B35, Dependencies!$B$2:$G$230, 3,FALSE),$B$14:AQ$73, AQ$74,FALSE),"o")=$D$4,IFERROR(VLOOKUP(VLOOKUP($B35, Dependencies!$B$2:$G$230, 4,FALSE),$B$14:AQ$73, AQ$74,FALSE),"o")=$D$4,IFERROR(VLOOKUP(VLOOKUP($B35, Dependencies!$B$2:$G$230, 5,FALSE),$B$14:AQ$73, AQ$74,FALSE),"o")=$D$4,IFERROR(VLOOKUP(VLOOKUP($B35, Dependencies!$B$2:$G$230, 6,FALSE),$B$14:AQ$73, AQ$74,FALSE),"o")=$D$4),$D$4,IF(OR(IFERROR(VLOOKUP(VLOOKUP($B35, Dependencies!$B$2:$G$230, 2,FALSE), $B$14:AQ$73, AQ$74,FALSE),"o")=$D$5,IFERROR(VLOOKUP(VLOOKUP($B35, Dependencies!$B$2:$G$230, 3,FALSE), $B$14:AQ$73, AQ$74,FALSE),"o")=$D$5,IFERROR(VLOOKUP(VLOOKUP($B35, Dependencies!$B$2:$G$230, 4,FALSE), $B$14:AQ$73, AQ$74,FALSE),"o")=$D$5,IFERROR(VLOOKUP(VLOOKUP($B35, Dependencies!$B$2:$G$230, 5,FALSE), $B$14:AQ$73, AQ$74,FALSE),"o")=$D$5,IFERROR(VLOOKUP(VLOOKUP($B35, Dependencies!$B$2:$G$230, 6,FALSE), $B$14:AQ$73, AQ$74,FALSE),"o")=$D$5),$D$5,AP35)))</f>
        <v>o</v>
      </c>
      <c r="AR35" s="94" t="s">
        <v>323</v>
      </c>
      <c r="AS35" s="71" t="str">
        <f>IF(AR35=$D$4,AR35,IF(OR(IFERROR(VLOOKUP(VLOOKUP($B35, Dependencies!$B$2:$G$230, 2,FALSE),$B$14:AS$73, AS$74,FALSE),"o")=$D$4,IFERROR(VLOOKUP(VLOOKUP($B35, Dependencies!$B$2:$G$230, 3,FALSE),$B$14:AS$73, AS$74,FALSE),"o")=$D$4,IFERROR(VLOOKUP(VLOOKUP($B35, Dependencies!$B$2:$G$230, 4,FALSE),$B$14:AS$73, AS$74,FALSE),"o")=$D$4,IFERROR(VLOOKUP(VLOOKUP($B35, Dependencies!$B$2:$G$230, 5,FALSE),$B$14:AS$73, AS$74,FALSE),"o")=$D$4,IFERROR(VLOOKUP(VLOOKUP($B35, Dependencies!$B$2:$G$230, 6,FALSE),$B$14:AS$73, AS$74,FALSE),"o")=$D$4),$D$4,IF(OR(IFERROR(VLOOKUP(VLOOKUP($B35, Dependencies!$B$2:$G$230, 2,FALSE), $B$14:AS$73, AS$74,FALSE),"o")=$D$5,IFERROR(VLOOKUP(VLOOKUP($B35, Dependencies!$B$2:$G$230, 3,FALSE), $B$14:AS$73, AS$74,FALSE),"o")=$D$5,IFERROR(VLOOKUP(VLOOKUP($B35, Dependencies!$B$2:$G$230, 4,FALSE), $B$14:AS$73, AS$74,FALSE),"o")=$D$5,IFERROR(VLOOKUP(VLOOKUP($B35, Dependencies!$B$2:$G$230, 5,FALSE), $B$14:AS$73, AS$74,FALSE),"o")=$D$5,IFERROR(VLOOKUP(VLOOKUP($B35, Dependencies!$B$2:$G$230, 6,FALSE), $B$14:AS$73, AS$74,FALSE),"o")=$D$5),$D$5,AR35)))</f>
        <v>o</v>
      </c>
    </row>
    <row r="36" spans="1:45" x14ac:dyDescent="0.2">
      <c r="A36" s="40"/>
      <c r="B36" s="73" t="str">
        <f>MLEOsv2!A24</f>
        <v>MLEO_01_11</v>
      </c>
      <c r="C36" s="73">
        <f>MLEOsv2!C24</f>
        <v>3</v>
      </c>
      <c r="D36" s="42" t="str">
        <f>MLEOsv2!G24</f>
        <v>use classes to manage data and control logic.</v>
      </c>
      <c r="E36" s="51" t="b">
        <f>MLEOsv2!H24</f>
        <v>1</v>
      </c>
      <c r="F36" s="93" t="s">
        <v>320</v>
      </c>
      <c r="G36" s="70" t="str">
        <f>IF(F36=$D$4,F36,IF(OR(IFERROR(VLOOKUP(VLOOKUP($B36, Dependencies!$B$2:$G$230, 2,FALSE),$B$14:G$73, G$74,FALSE),"o")=$D$4,IFERROR(VLOOKUP(VLOOKUP($B36, Dependencies!$B$2:$G$230, 3,FALSE),$B$14:G$73, G$74,FALSE),"o")=$D$4,IFERROR(VLOOKUP(VLOOKUP($B36, Dependencies!$B$2:$G$230, 4,FALSE),$B$14:G$73, G$74,FALSE),"o")=$D$4,IFERROR(VLOOKUP(VLOOKUP($B36, Dependencies!$B$2:$G$230, 5,FALSE),$B$14:G$73, G$74,FALSE),"o")=$D$4,IFERROR(VLOOKUP(VLOOKUP($B36, Dependencies!$B$2:$G$230, 6,FALSE),$B$14:G$73, G$74,FALSE),"o")=$D$4),$D$4,IF(OR(IFERROR(VLOOKUP(VLOOKUP($B36, Dependencies!$B$2:$G$230, 2,FALSE), $B$14:G$73, G$74,FALSE),"o")=$D$5,IFERROR(VLOOKUP(VLOOKUP($B36, Dependencies!$B$2:$G$230, 3,FALSE), $B$14:G$73, G$74,FALSE),"o")=$D$5,IFERROR(VLOOKUP(VLOOKUP($B36, Dependencies!$B$2:$G$230, 4,FALSE), $B$14:G$73, G$74,FALSE),"o")=$D$5,IFERROR(VLOOKUP(VLOOKUP($B36, Dependencies!$B$2:$G$230, 5,FALSE), $B$14:G$73, G$74,FALSE),"o")=$D$5,IFERROR(VLOOKUP(VLOOKUP($B36, Dependencies!$B$2:$G$230, 6,FALSE), $B$14:G$73, G$74,FALSE),"o")=$D$5),$D$5,F36)))</f>
        <v>r</v>
      </c>
      <c r="H36" s="93" t="s">
        <v>321</v>
      </c>
      <c r="I36" s="70" t="str">
        <f>IF(H36=$D$4,H36,IF(OR(IFERROR(VLOOKUP(VLOOKUP($B36, Dependencies!$B$2:$G$230, 2,FALSE),$B$14:I$73, I$74,FALSE),"o")=$D$4,IFERROR(VLOOKUP(VLOOKUP($B36, Dependencies!$B$2:$G$230, 3,FALSE),$B$14:I$73, I$74,FALSE),"o")=$D$4,IFERROR(VLOOKUP(VLOOKUP($B36, Dependencies!$B$2:$G$230, 4,FALSE),$B$14:I$73, I$74,FALSE),"o")=$D$4,IFERROR(VLOOKUP(VLOOKUP($B36, Dependencies!$B$2:$G$230, 5,FALSE),$B$14:I$73, I$74,FALSE),"o")=$D$4,IFERROR(VLOOKUP(VLOOKUP($B36, Dependencies!$B$2:$G$230, 6,FALSE),$B$14:I$73, I$74,FALSE),"o")=$D$4),$D$4,IF(OR(IFERROR(VLOOKUP(VLOOKUP($B36, Dependencies!$B$2:$G$230, 2,FALSE), $B$14:I$73, I$74,FALSE),"o")=$D$5,IFERROR(VLOOKUP(VLOOKUP($B36, Dependencies!$B$2:$G$230, 3,FALSE), $B$14:I$73, I$74,FALSE),"o")=$D$5,IFERROR(VLOOKUP(VLOOKUP($B36, Dependencies!$B$2:$G$230, 4,FALSE), $B$14:I$73, I$74,FALSE),"o")=$D$5,IFERROR(VLOOKUP(VLOOKUP($B36, Dependencies!$B$2:$G$230, 5,FALSE), $B$14:I$73, I$74,FALSE),"o")=$D$5,IFERROR(VLOOKUP(VLOOKUP($B36, Dependencies!$B$2:$G$230, 6,FALSE), $B$14:I$73, I$74,FALSE),"o")=$D$5),$D$5,H36)))</f>
        <v>pr</v>
      </c>
      <c r="J36" s="93" t="s">
        <v>320</v>
      </c>
      <c r="K36" s="70" t="str">
        <f>IF(J36=$D$4,J36,IF(OR(IFERROR(VLOOKUP(VLOOKUP($B36, Dependencies!$B$2:$G$230, 2,FALSE),$B$14:K$73, K$74,FALSE),"o")=$D$4,IFERROR(VLOOKUP(VLOOKUP($B36, Dependencies!$B$2:$G$230, 3,FALSE),$B$14:K$73, K$74,FALSE),"o")=$D$4,IFERROR(VLOOKUP(VLOOKUP($B36, Dependencies!$B$2:$G$230, 4,FALSE),$B$14:K$73, K$74,FALSE),"o")=$D$4,IFERROR(VLOOKUP(VLOOKUP($B36, Dependencies!$B$2:$G$230, 5,FALSE),$B$14:K$73, K$74,FALSE),"o")=$D$4,IFERROR(VLOOKUP(VLOOKUP($B36, Dependencies!$B$2:$G$230, 6,FALSE),$B$14:K$73, K$74,FALSE),"o")=$D$4),$D$4,IF(OR(IFERROR(VLOOKUP(VLOOKUP($B36, Dependencies!$B$2:$G$230, 2,FALSE), $B$14:K$73, K$74,FALSE),"o")=$D$5,IFERROR(VLOOKUP(VLOOKUP($B36, Dependencies!$B$2:$G$230, 3,FALSE), $B$14:K$73, K$74,FALSE),"o")=$D$5,IFERROR(VLOOKUP(VLOOKUP($B36, Dependencies!$B$2:$G$230, 4,FALSE), $B$14:K$73, K$74,FALSE),"o")=$D$5,IFERROR(VLOOKUP(VLOOKUP($B36, Dependencies!$B$2:$G$230, 5,FALSE), $B$14:K$73, K$74,FALSE),"o")=$D$5,IFERROR(VLOOKUP(VLOOKUP($B36, Dependencies!$B$2:$G$230, 6,FALSE), $B$14:K$73, K$74,FALSE),"o")=$D$5),$D$5,J36)))</f>
        <v>r</v>
      </c>
      <c r="L36" s="93" t="s">
        <v>323</v>
      </c>
      <c r="M36" s="70" t="str">
        <f>IF(L36=$D$4,L36,IF(OR(IFERROR(VLOOKUP(VLOOKUP($B36, Dependencies!$B$2:$G$230, 2,FALSE),$B$14:M$73, M$74,FALSE),"o")=$D$4,IFERROR(VLOOKUP(VLOOKUP($B36, Dependencies!$B$2:$G$230, 3,FALSE),$B$14:M$73, M$74,FALSE),"o")=$D$4,IFERROR(VLOOKUP(VLOOKUP($B36, Dependencies!$B$2:$G$230, 4,FALSE),$B$14:M$73, M$74,FALSE),"o")=$D$4,IFERROR(VLOOKUP(VLOOKUP($B36, Dependencies!$B$2:$G$230, 5,FALSE),$B$14:M$73, M$74,FALSE),"o")=$D$4,IFERROR(VLOOKUP(VLOOKUP($B36, Dependencies!$B$2:$G$230, 6,FALSE),$B$14:M$73, M$74,FALSE),"o")=$D$4),$D$4,IF(OR(IFERROR(VLOOKUP(VLOOKUP($B36, Dependencies!$B$2:$G$230, 2,FALSE), $B$14:M$73, M$74,FALSE),"o")=$D$5,IFERROR(VLOOKUP(VLOOKUP($B36, Dependencies!$B$2:$G$230, 3,FALSE), $B$14:M$73, M$74,FALSE),"o")=$D$5,IFERROR(VLOOKUP(VLOOKUP($B36, Dependencies!$B$2:$G$230, 4,FALSE), $B$14:M$73, M$74,FALSE),"o")=$D$5,IFERROR(VLOOKUP(VLOOKUP($B36, Dependencies!$B$2:$G$230, 5,FALSE), $B$14:M$73, M$74,FALSE),"o")=$D$5,IFERROR(VLOOKUP(VLOOKUP($B36, Dependencies!$B$2:$G$230, 6,FALSE), $B$14:M$73, M$74,FALSE),"o")=$D$5),$D$5,L36)))</f>
        <v>o</v>
      </c>
      <c r="N36" s="93" t="s">
        <v>323</v>
      </c>
      <c r="O36" s="70" t="str">
        <f>IF(N36=$D$4,N36,IF(OR(IFERROR(VLOOKUP(VLOOKUP($B36, Dependencies!$B$2:$G$230, 2,FALSE),$B$14:O$73, O$74,FALSE),"o")=$D$4,IFERROR(VLOOKUP(VLOOKUP($B36, Dependencies!$B$2:$G$230, 3,FALSE),$B$14:O$73, O$74,FALSE),"o")=$D$4,IFERROR(VLOOKUP(VLOOKUP($B36, Dependencies!$B$2:$G$230, 4,FALSE),$B$14:O$73, O$74,FALSE),"o")=$D$4,IFERROR(VLOOKUP(VLOOKUP($B36, Dependencies!$B$2:$G$230, 5,FALSE),$B$14:O$73, O$74,FALSE),"o")=$D$4,IFERROR(VLOOKUP(VLOOKUP($B36, Dependencies!$B$2:$G$230, 6,FALSE),$B$14:O$73, O$74,FALSE),"o")=$D$4),$D$4,IF(OR(IFERROR(VLOOKUP(VLOOKUP($B36, Dependencies!$B$2:$G$230, 2,FALSE), $B$14:O$73, O$74,FALSE),"o")=$D$5,IFERROR(VLOOKUP(VLOOKUP($B36, Dependencies!$B$2:$G$230, 3,FALSE), $B$14:O$73, O$74,FALSE),"o")=$D$5,IFERROR(VLOOKUP(VLOOKUP($B36, Dependencies!$B$2:$G$230, 4,FALSE), $B$14:O$73, O$74,FALSE),"o")=$D$5,IFERROR(VLOOKUP(VLOOKUP($B36, Dependencies!$B$2:$G$230, 5,FALSE), $B$14:O$73, O$74,FALSE),"o")=$D$5,IFERROR(VLOOKUP(VLOOKUP($B36, Dependencies!$B$2:$G$230, 6,FALSE), $B$14:O$73, O$74,FALSE),"o")=$D$5),$D$5,N36)))</f>
        <v>o</v>
      </c>
      <c r="P36" s="93" t="s">
        <v>323</v>
      </c>
      <c r="Q36" s="70" t="str">
        <f>IF(P36=$D$4,P36,IF(OR(IFERROR(VLOOKUP(VLOOKUP($B36, Dependencies!$B$2:$G$230, 2,FALSE),$B$14:Q$73, Q$74,FALSE),"o")=$D$4,IFERROR(VLOOKUP(VLOOKUP($B36, Dependencies!$B$2:$G$230, 3,FALSE),$B$14:Q$73, Q$74,FALSE),"o")=$D$4,IFERROR(VLOOKUP(VLOOKUP($B36, Dependencies!$B$2:$G$230, 4,FALSE),$B$14:Q$73, Q$74,FALSE),"o")=$D$4,IFERROR(VLOOKUP(VLOOKUP($B36, Dependencies!$B$2:$G$230, 5,FALSE),$B$14:Q$73, Q$74,FALSE),"o")=$D$4,IFERROR(VLOOKUP(VLOOKUP($B36, Dependencies!$B$2:$G$230, 6,FALSE),$B$14:Q$73, Q$74,FALSE),"o")=$D$4),$D$4,IF(OR(IFERROR(VLOOKUP(VLOOKUP($B36, Dependencies!$B$2:$G$230, 2,FALSE), $B$14:Q$73, Q$74,FALSE),"o")=$D$5,IFERROR(VLOOKUP(VLOOKUP($B36, Dependencies!$B$2:$G$230, 3,FALSE), $B$14:Q$73, Q$74,FALSE),"o")=$D$5,IFERROR(VLOOKUP(VLOOKUP($B36, Dependencies!$B$2:$G$230, 4,FALSE), $B$14:Q$73, Q$74,FALSE),"o")=$D$5,IFERROR(VLOOKUP(VLOOKUP($B36, Dependencies!$B$2:$G$230, 5,FALSE), $B$14:Q$73, Q$74,FALSE),"o")=$D$5,IFERROR(VLOOKUP(VLOOKUP($B36, Dependencies!$B$2:$G$230, 6,FALSE), $B$14:Q$73, Q$74,FALSE),"o")=$D$5),$D$5,P36)))</f>
        <v>o</v>
      </c>
      <c r="R36" s="93" t="s">
        <v>323</v>
      </c>
      <c r="S36" s="70" t="str">
        <f>IF(R36=$D$4,R36,IF(OR(IFERROR(VLOOKUP(VLOOKUP($B36, Dependencies!$B$2:$G$230, 2,FALSE),$B$14:S$73, S$74,FALSE),"o")=$D$4,IFERROR(VLOOKUP(VLOOKUP($B36, Dependencies!$B$2:$G$230, 3,FALSE),$B$14:S$73, S$74,FALSE),"o")=$D$4,IFERROR(VLOOKUP(VLOOKUP($B36, Dependencies!$B$2:$G$230, 4,FALSE),$B$14:S$73, S$74,FALSE),"o")=$D$4,IFERROR(VLOOKUP(VLOOKUP($B36, Dependencies!$B$2:$G$230, 5,FALSE),$B$14:S$73, S$74,FALSE),"o")=$D$4,IFERROR(VLOOKUP(VLOOKUP($B36, Dependencies!$B$2:$G$230, 6,FALSE),$B$14:S$73, S$74,FALSE),"o")=$D$4),$D$4,IF(OR(IFERROR(VLOOKUP(VLOOKUP($B36, Dependencies!$B$2:$G$230, 2,FALSE), $B$14:S$73, S$74,FALSE),"o")=$D$5,IFERROR(VLOOKUP(VLOOKUP($B36, Dependencies!$B$2:$G$230, 3,FALSE), $B$14:S$73, S$74,FALSE),"o")=$D$5,IFERROR(VLOOKUP(VLOOKUP($B36, Dependencies!$B$2:$G$230, 4,FALSE), $B$14:S$73, S$74,FALSE),"o")=$D$5,IFERROR(VLOOKUP(VLOOKUP($B36, Dependencies!$B$2:$G$230, 5,FALSE), $B$14:S$73, S$74,FALSE),"o")=$D$5,IFERROR(VLOOKUP(VLOOKUP($B36, Dependencies!$B$2:$G$230, 6,FALSE), $B$14:S$73, S$74,FALSE),"o")=$D$5),$D$5,R36)))</f>
        <v>o</v>
      </c>
      <c r="T36" s="93" t="s">
        <v>323</v>
      </c>
      <c r="U36" s="70" t="str">
        <f>IF(T36=$D$4,T36,IF(OR(IFERROR(VLOOKUP(VLOOKUP($B36, Dependencies!$B$2:$G$230, 2,FALSE),$B$14:U$73, U$74,FALSE),"o")=$D$4,IFERROR(VLOOKUP(VLOOKUP($B36, Dependencies!$B$2:$G$230, 3,FALSE),$B$14:U$73, U$74,FALSE),"o")=$D$4,IFERROR(VLOOKUP(VLOOKUP($B36, Dependencies!$B$2:$G$230, 4,FALSE),$B$14:U$73, U$74,FALSE),"o")=$D$4,IFERROR(VLOOKUP(VLOOKUP($B36, Dependencies!$B$2:$G$230, 5,FALSE),$B$14:U$73, U$74,FALSE),"o")=$D$4,IFERROR(VLOOKUP(VLOOKUP($B36, Dependencies!$B$2:$G$230, 6,FALSE),$B$14:U$73, U$74,FALSE),"o")=$D$4),$D$4,IF(OR(IFERROR(VLOOKUP(VLOOKUP($B36, Dependencies!$B$2:$G$230, 2,FALSE), $B$14:U$73, U$74,FALSE),"o")=$D$5,IFERROR(VLOOKUP(VLOOKUP($B36, Dependencies!$B$2:$G$230, 3,FALSE), $B$14:U$73, U$74,FALSE),"o")=$D$5,IFERROR(VLOOKUP(VLOOKUP($B36, Dependencies!$B$2:$G$230, 4,FALSE), $B$14:U$73, U$74,FALSE),"o")=$D$5,IFERROR(VLOOKUP(VLOOKUP($B36, Dependencies!$B$2:$G$230, 5,FALSE), $B$14:U$73, U$74,FALSE),"o")=$D$5,IFERROR(VLOOKUP(VLOOKUP($B36, Dependencies!$B$2:$G$230, 6,FALSE), $B$14:U$73, U$74,FALSE),"o")=$D$5),$D$5,T36)))</f>
        <v>o</v>
      </c>
      <c r="V36" s="93" t="s">
        <v>323</v>
      </c>
      <c r="W36" s="70" t="str">
        <f>IF(V36=$D$4,V36,IF(OR(IFERROR(VLOOKUP(VLOOKUP($B36, Dependencies!$B$2:$G$230, 2,FALSE),$B$14:W$73, W$74,FALSE),"o")=$D$4,IFERROR(VLOOKUP(VLOOKUP($B36, Dependencies!$B$2:$G$230, 3,FALSE),$B$14:W$73, W$74,FALSE),"o")=$D$4,IFERROR(VLOOKUP(VLOOKUP($B36, Dependencies!$B$2:$G$230, 4,FALSE),$B$14:W$73, W$74,FALSE),"o")=$D$4,IFERROR(VLOOKUP(VLOOKUP($B36, Dependencies!$B$2:$G$230, 5,FALSE),$B$14:W$73, W$74,FALSE),"o")=$D$4,IFERROR(VLOOKUP(VLOOKUP($B36, Dependencies!$B$2:$G$230, 6,FALSE),$B$14:W$73, W$74,FALSE),"o")=$D$4),$D$4,IF(OR(IFERROR(VLOOKUP(VLOOKUP($B36, Dependencies!$B$2:$G$230, 2,FALSE), $B$14:W$73, W$74,FALSE),"o")=$D$5,IFERROR(VLOOKUP(VLOOKUP($B36, Dependencies!$B$2:$G$230, 3,FALSE), $B$14:W$73, W$74,FALSE),"o")=$D$5,IFERROR(VLOOKUP(VLOOKUP($B36, Dependencies!$B$2:$G$230, 4,FALSE), $B$14:W$73, W$74,FALSE),"o")=$D$5,IFERROR(VLOOKUP(VLOOKUP($B36, Dependencies!$B$2:$G$230, 5,FALSE), $B$14:W$73, W$74,FALSE),"o")=$D$5,IFERROR(VLOOKUP(VLOOKUP($B36, Dependencies!$B$2:$G$230, 6,FALSE), $B$14:W$73, W$74,FALSE),"o")=$D$5),$D$5,V36)))</f>
        <v>o</v>
      </c>
      <c r="X36" s="93" t="s">
        <v>323</v>
      </c>
      <c r="Y36" s="70" t="str">
        <f>IF(X36=$D$4,X36,IF(OR(IFERROR(VLOOKUP(VLOOKUP($B36, Dependencies!$B$2:$G$230, 2,FALSE),$B$14:Y$73, Y$74,FALSE),"o")=$D$4,IFERROR(VLOOKUP(VLOOKUP($B36, Dependencies!$B$2:$G$230, 3,FALSE),$B$14:Y$73, Y$74,FALSE),"o")=$D$4,IFERROR(VLOOKUP(VLOOKUP($B36, Dependencies!$B$2:$G$230, 4,FALSE),$B$14:Y$73, Y$74,FALSE),"o")=$D$4,IFERROR(VLOOKUP(VLOOKUP($B36, Dependencies!$B$2:$G$230, 5,FALSE),$B$14:Y$73, Y$74,FALSE),"o")=$D$4,IFERROR(VLOOKUP(VLOOKUP($B36, Dependencies!$B$2:$G$230, 6,FALSE),$B$14:Y$73, Y$74,FALSE),"o")=$D$4),$D$4,IF(OR(IFERROR(VLOOKUP(VLOOKUP($B36, Dependencies!$B$2:$G$230, 2,FALSE), $B$14:Y$73, Y$74,FALSE),"o")=$D$5,IFERROR(VLOOKUP(VLOOKUP($B36, Dependencies!$B$2:$G$230, 3,FALSE), $B$14:Y$73, Y$74,FALSE),"o")=$D$5,IFERROR(VLOOKUP(VLOOKUP($B36, Dependencies!$B$2:$G$230, 4,FALSE), $B$14:Y$73, Y$74,FALSE),"o")=$D$5,IFERROR(VLOOKUP(VLOOKUP($B36, Dependencies!$B$2:$G$230, 5,FALSE), $B$14:Y$73, Y$74,FALSE),"o")=$D$5,IFERROR(VLOOKUP(VLOOKUP($B36, Dependencies!$B$2:$G$230, 6,FALSE), $B$14:Y$73, Y$74,FALSE),"o")=$D$5),$D$5,X36)))</f>
        <v>o</v>
      </c>
      <c r="Z36" s="93" t="s">
        <v>323</v>
      </c>
      <c r="AA36" s="70" t="str">
        <f>IF(Z36=$D$4,Z36,IF(OR(IFERROR(VLOOKUP(VLOOKUP($B36, Dependencies!$B$2:$G$230, 2,FALSE),$B$14:AA$73, AA$74,FALSE),"o")=$D$4,IFERROR(VLOOKUP(VLOOKUP($B36, Dependencies!$B$2:$G$230, 3,FALSE),$B$14:AA$73, AA$74,FALSE),"o")=$D$4,IFERROR(VLOOKUP(VLOOKUP($B36, Dependencies!$B$2:$G$230, 4,FALSE),$B$14:AA$73, AA$74,FALSE),"o")=$D$4,IFERROR(VLOOKUP(VLOOKUP($B36, Dependencies!$B$2:$G$230, 5,FALSE),$B$14:AA$73, AA$74,FALSE),"o")=$D$4,IFERROR(VLOOKUP(VLOOKUP($B36, Dependencies!$B$2:$G$230, 6,FALSE),$B$14:AA$73, AA$74,FALSE),"o")=$D$4),$D$4,IF(OR(IFERROR(VLOOKUP(VLOOKUP($B36, Dependencies!$B$2:$G$230, 2,FALSE), $B$14:AA$73, AA$74,FALSE),"o")=$D$5,IFERROR(VLOOKUP(VLOOKUP($B36, Dependencies!$B$2:$G$230, 3,FALSE), $B$14:AA$73, AA$74,FALSE),"o")=$D$5,IFERROR(VLOOKUP(VLOOKUP($B36, Dependencies!$B$2:$G$230, 4,FALSE), $B$14:AA$73, AA$74,FALSE),"o")=$D$5,IFERROR(VLOOKUP(VLOOKUP($B36, Dependencies!$B$2:$G$230, 5,FALSE), $B$14:AA$73, AA$74,FALSE),"o")=$D$5,IFERROR(VLOOKUP(VLOOKUP($B36, Dependencies!$B$2:$G$230, 6,FALSE), $B$14:AA$73, AA$74,FALSE),"o")=$D$5),$D$5,Z36)))</f>
        <v>o</v>
      </c>
      <c r="AB36" s="93" t="s">
        <v>323</v>
      </c>
      <c r="AC36" s="70" t="str">
        <f>IF(AB36=$D$4,AB36,IF(OR(IFERROR(VLOOKUP(VLOOKUP($B36, Dependencies!$B$2:$G$230, 2,FALSE),$B$14:AC$73, AC$74,FALSE),"o")=$D$4,IFERROR(VLOOKUP(VLOOKUP($B36, Dependencies!$B$2:$G$230, 3,FALSE),$B$14:AC$73, AC$74,FALSE),"o")=$D$4,IFERROR(VLOOKUP(VLOOKUP($B36, Dependencies!$B$2:$G$230, 4,FALSE),$B$14:AC$73, AC$74,FALSE),"o")=$D$4,IFERROR(VLOOKUP(VLOOKUP($B36, Dependencies!$B$2:$G$230, 5,FALSE),$B$14:AC$73, AC$74,FALSE),"o")=$D$4,IFERROR(VLOOKUP(VLOOKUP($B36, Dependencies!$B$2:$G$230, 6,FALSE),$B$14:AC$73, AC$74,FALSE),"o")=$D$4),$D$4,IF(OR(IFERROR(VLOOKUP(VLOOKUP($B36, Dependencies!$B$2:$G$230, 2,FALSE), $B$14:AC$73, AC$74,FALSE),"o")=$D$5,IFERROR(VLOOKUP(VLOOKUP($B36, Dependencies!$B$2:$G$230, 3,FALSE), $B$14:AC$73, AC$74,FALSE),"o")=$D$5,IFERROR(VLOOKUP(VLOOKUP($B36, Dependencies!$B$2:$G$230, 4,FALSE), $B$14:AC$73, AC$74,FALSE),"o")=$D$5,IFERROR(VLOOKUP(VLOOKUP($B36, Dependencies!$B$2:$G$230, 5,FALSE), $B$14:AC$73, AC$74,FALSE),"o")=$D$5,IFERROR(VLOOKUP(VLOOKUP($B36, Dependencies!$B$2:$G$230, 6,FALSE), $B$14:AC$73, AC$74,FALSE),"o")=$D$5),$D$5,AB36)))</f>
        <v>o</v>
      </c>
      <c r="AD36" s="93" t="s">
        <v>323</v>
      </c>
      <c r="AE36" s="70" t="str">
        <f>IF(AD36=$D$4,AD36,IF(OR(IFERROR(VLOOKUP(VLOOKUP($B36, Dependencies!$B$2:$G$230, 2,FALSE),$B$14:AE$73, AE$74,FALSE),"o")=$D$4,IFERROR(VLOOKUP(VLOOKUP($B36, Dependencies!$B$2:$G$230, 3,FALSE),$B$14:AE$73, AE$74,FALSE),"o")=$D$4,IFERROR(VLOOKUP(VLOOKUP($B36, Dependencies!$B$2:$G$230, 4,FALSE),$B$14:AE$73, AE$74,FALSE),"o")=$D$4,IFERROR(VLOOKUP(VLOOKUP($B36, Dependencies!$B$2:$G$230, 5,FALSE),$B$14:AE$73, AE$74,FALSE),"o")=$D$4,IFERROR(VLOOKUP(VLOOKUP($B36, Dependencies!$B$2:$G$230, 6,FALSE),$B$14:AE$73, AE$74,FALSE),"o")=$D$4),$D$4,IF(OR(IFERROR(VLOOKUP(VLOOKUP($B36, Dependencies!$B$2:$G$230, 2,FALSE), $B$14:AE$73, AE$74,FALSE),"o")=$D$5,IFERROR(VLOOKUP(VLOOKUP($B36, Dependencies!$B$2:$G$230, 3,FALSE), $B$14:AE$73, AE$74,FALSE),"o")=$D$5,IFERROR(VLOOKUP(VLOOKUP($B36, Dependencies!$B$2:$G$230, 4,FALSE), $B$14:AE$73, AE$74,FALSE),"o")=$D$5,IFERROR(VLOOKUP(VLOOKUP($B36, Dependencies!$B$2:$G$230, 5,FALSE), $B$14:AE$73, AE$74,FALSE),"o")=$D$5,IFERROR(VLOOKUP(VLOOKUP($B36, Dependencies!$B$2:$G$230, 6,FALSE), $B$14:AE$73, AE$74,FALSE),"o")=$D$5),$D$5,AD36)))</f>
        <v>o</v>
      </c>
      <c r="AF36" s="93" t="s">
        <v>323</v>
      </c>
      <c r="AG36" s="70" t="str">
        <f>IF(AF36=$D$4,AF36,IF(OR(IFERROR(VLOOKUP(VLOOKUP($B36, Dependencies!$B$2:$G$230, 2,FALSE),$B$14:AG$73, AG$74,FALSE),"o")=$D$4,IFERROR(VLOOKUP(VLOOKUP($B36, Dependencies!$B$2:$G$230, 3,FALSE),$B$14:AG$73, AG$74,FALSE),"o")=$D$4,IFERROR(VLOOKUP(VLOOKUP($B36, Dependencies!$B$2:$G$230, 4,FALSE),$B$14:AG$73, AG$74,FALSE),"o")=$D$4,IFERROR(VLOOKUP(VLOOKUP($B36, Dependencies!$B$2:$G$230, 5,FALSE),$B$14:AG$73, AG$74,FALSE),"o")=$D$4,IFERROR(VLOOKUP(VLOOKUP($B36, Dependencies!$B$2:$G$230, 6,FALSE),$B$14:AG$73, AG$74,FALSE),"o")=$D$4),$D$4,IF(OR(IFERROR(VLOOKUP(VLOOKUP($B36, Dependencies!$B$2:$G$230, 2,FALSE), $B$14:AG$73, AG$74,FALSE),"o")=$D$5,IFERROR(VLOOKUP(VLOOKUP($B36, Dependencies!$B$2:$G$230, 3,FALSE), $B$14:AG$73, AG$74,FALSE),"o")=$D$5,IFERROR(VLOOKUP(VLOOKUP($B36, Dependencies!$B$2:$G$230, 4,FALSE), $B$14:AG$73, AG$74,FALSE),"o")=$D$5,IFERROR(VLOOKUP(VLOOKUP($B36, Dependencies!$B$2:$G$230, 5,FALSE), $B$14:AG$73, AG$74,FALSE),"o")=$D$5,IFERROR(VLOOKUP(VLOOKUP($B36, Dependencies!$B$2:$G$230, 6,FALSE), $B$14:AG$73, AG$74,FALSE),"o")=$D$5),$D$5,AF36)))</f>
        <v>o</v>
      </c>
      <c r="AH36" s="93" t="s">
        <v>323</v>
      </c>
      <c r="AI36" s="70" t="str">
        <f>IF(AH36=$D$4,AH36,IF(OR(IFERROR(VLOOKUP(VLOOKUP($B36, Dependencies!$B$2:$G$230, 2,FALSE),$B$14:AI$73, AI$74,FALSE),"o")=$D$4,IFERROR(VLOOKUP(VLOOKUP($B36, Dependencies!$B$2:$G$230, 3,FALSE),$B$14:AI$73, AI$74,FALSE),"o")=$D$4,IFERROR(VLOOKUP(VLOOKUP($B36, Dependencies!$B$2:$G$230, 4,FALSE),$B$14:AI$73, AI$74,FALSE),"o")=$D$4,IFERROR(VLOOKUP(VLOOKUP($B36, Dependencies!$B$2:$G$230, 5,FALSE),$B$14:AI$73, AI$74,FALSE),"o")=$D$4,IFERROR(VLOOKUP(VLOOKUP($B36, Dependencies!$B$2:$G$230, 6,FALSE),$B$14:AI$73, AI$74,FALSE),"o")=$D$4),$D$4,IF(OR(IFERROR(VLOOKUP(VLOOKUP($B36, Dependencies!$B$2:$G$230, 2,FALSE), $B$14:AI$73, AI$74,FALSE),"o")=$D$5,IFERROR(VLOOKUP(VLOOKUP($B36, Dependencies!$B$2:$G$230, 3,FALSE), $B$14:AI$73, AI$74,FALSE),"o")=$D$5,IFERROR(VLOOKUP(VLOOKUP($B36, Dependencies!$B$2:$G$230, 4,FALSE), $B$14:AI$73, AI$74,FALSE),"o")=$D$5,IFERROR(VLOOKUP(VLOOKUP($B36, Dependencies!$B$2:$G$230, 5,FALSE), $B$14:AI$73, AI$74,FALSE),"o")=$D$5,IFERROR(VLOOKUP(VLOOKUP($B36, Dependencies!$B$2:$G$230, 6,FALSE), $B$14:AI$73, AI$74,FALSE),"o")=$D$5),$D$5,AH36)))</f>
        <v>o</v>
      </c>
      <c r="AJ36" s="93" t="s">
        <v>323</v>
      </c>
      <c r="AK36" s="70" t="str">
        <f>IF(AJ36=$D$4,AJ36,IF(OR(IFERROR(VLOOKUP(VLOOKUP($B36, Dependencies!$B$2:$G$230, 2,FALSE),$B$14:AK$73, AK$74,FALSE),"o")=$D$4,IFERROR(VLOOKUP(VLOOKUP($B36, Dependencies!$B$2:$G$230, 3,FALSE),$B$14:AK$73, AK$74,FALSE),"o")=$D$4,IFERROR(VLOOKUP(VLOOKUP($B36, Dependencies!$B$2:$G$230, 4,FALSE),$B$14:AK$73, AK$74,FALSE),"o")=$D$4,IFERROR(VLOOKUP(VLOOKUP($B36, Dependencies!$B$2:$G$230, 5,FALSE),$B$14:AK$73, AK$74,FALSE),"o")=$D$4,IFERROR(VLOOKUP(VLOOKUP($B36, Dependencies!$B$2:$G$230, 6,FALSE),$B$14:AK$73, AK$74,FALSE),"o")=$D$4),$D$4,IF(OR(IFERROR(VLOOKUP(VLOOKUP($B36, Dependencies!$B$2:$G$230, 2,FALSE), $B$14:AK$73, AK$74,FALSE),"o")=$D$5,IFERROR(VLOOKUP(VLOOKUP($B36, Dependencies!$B$2:$G$230, 3,FALSE), $B$14:AK$73, AK$74,FALSE),"o")=$D$5,IFERROR(VLOOKUP(VLOOKUP($B36, Dependencies!$B$2:$G$230, 4,FALSE), $B$14:AK$73, AK$74,FALSE),"o")=$D$5,IFERROR(VLOOKUP(VLOOKUP($B36, Dependencies!$B$2:$G$230, 5,FALSE), $B$14:AK$73, AK$74,FALSE),"o")=$D$5,IFERROR(VLOOKUP(VLOOKUP($B36, Dependencies!$B$2:$G$230, 6,FALSE), $B$14:AK$73, AK$74,FALSE),"o")=$D$5),$D$5,AJ36)))</f>
        <v>o</v>
      </c>
      <c r="AL36" s="93" t="s">
        <v>323</v>
      </c>
      <c r="AM36" s="70" t="str">
        <f>IF(AL36=$D$4,AL36,IF(OR(IFERROR(VLOOKUP(VLOOKUP($B36, Dependencies!$B$2:$G$230, 2,FALSE),$B$14:AM$73, AM$74,FALSE),"o")=$D$4,IFERROR(VLOOKUP(VLOOKUP($B36, Dependencies!$B$2:$G$230, 3,FALSE),$B$14:AM$73, AM$74,FALSE),"o")=$D$4,IFERROR(VLOOKUP(VLOOKUP($B36, Dependencies!$B$2:$G$230, 4,FALSE),$B$14:AM$73, AM$74,FALSE),"o")=$D$4,IFERROR(VLOOKUP(VLOOKUP($B36, Dependencies!$B$2:$G$230, 5,FALSE),$B$14:AM$73, AM$74,FALSE),"o")=$D$4,IFERROR(VLOOKUP(VLOOKUP($B36, Dependencies!$B$2:$G$230, 6,FALSE),$B$14:AM$73, AM$74,FALSE),"o")=$D$4),$D$4,IF(OR(IFERROR(VLOOKUP(VLOOKUP($B36, Dependencies!$B$2:$G$230, 2,FALSE), $B$14:AM$73, AM$74,FALSE),"o")=$D$5,IFERROR(VLOOKUP(VLOOKUP($B36, Dependencies!$B$2:$G$230, 3,FALSE), $B$14:AM$73, AM$74,FALSE),"o")=$D$5,IFERROR(VLOOKUP(VLOOKUP($B36, Dependencies!$B$2:$G$230, 4,FALSE), $B$14:AM$73, AM$74,FALSE),"o")=$D$5,IFERROR(VLOOKUP(VLOOKUP($B36, Dependencies!$B$2:$G$230, 5,FALSE), $B$14:AM$73, AM$74,FALSE),"o")=$D$5,IFERROR(VLOOKUP(VLOOKUP($B36, Dependencies!$B$2:$G$230, 6,FALSE), $B$14:AM$73, AM$74,FALSE),"o")=$D$5),$D$5,AL36)))</f>
        <v>o</v>
      </c>
      <c r="AN36" s="93" t="s">
        <v>323</v>
      </c>
      <c r="AO36" s="70" t="str">
        <f>IF(AN36=$D$4,AN36,IF(OR(IFERROR(VLOOKUP(VLOOKUP($B36, Dependencies!$B$2:$G$230, 2,FALSE),$B$14:AO$73, AO$74,FALSE),"o")=$D$4,IFERROR(VLOOKUP(VLOOKUP($B36, Dependencies!$B$2:$G$230, 3,FALSE),$B$14:AO$73, AO$74,FALSE),"o")=$D$4,IFERROR(VLOOKUP(VLOOKUP($B36, Dependencies!$B$2:$G$230, 4,FALSE),$B$14:AO$73, AO$74,FALSE),"o")=$D$4,IFERROR(VLOOKUP(VLOOKUP($B36, Dependencies!$B$2:$G$230, 5,FALSE),$B$14:AO$73, AO$74,FALSE),"o")=$D$4,IFERROR(VLOOKUP(VLOOKUP($B36, Dependencies!$B$2:$G$230, 6,FALSE),$B$14:AO$73, AO$74,FALSE),"o")=$D$4),$D$4,IF(OR(IFERROR(VLOOKUP(VLOOKUP($B36, Dependencies!$B$2:$G$230, 2,FALSE), $B$14:AO$73, AO$74,FALSE),"o")=$D$5,IFERROR(VLOOKUP(VLOOKUP($B36, Dependencies!$B$2:$G$230, 3,FALSE), $B$14:AO$73, AO$74,FALSE),"o")=$D$5,IFERROR(VLOOKUP(VLOOKUP($B36, Dependencies!$B$2:$G$230, 4,FALSE), $B$14:AO$73, AO$74,FALSE),"o")=$D$5,IFERROR(VLOOKUP(VLOOKUP($B36, Dependencies!$B$2:$G$230, 5,FALSE), $B$14:AO$73, AO$74,FALSE),"o")=$D$5,IFERROR(VLOOKUP(VLOOKUP($B36, Dependencies!$B$2:$G$230, 6,FALSE), $B$14:AO$73, AO$74,FALSE),"o")=$D$5),$D$5,AN36)))</f>
        <v>o</v>
      </c>
      <c r="AP36" s="93" t="s">
        <v>323</v>
      </c>
      <c r="AQ36" s="70" t="str">
        <f>IF(AP36=$D$4,AP36,IF(OR(IFERROR(VLOOKUP(VLOOKUP($B36, Dependencies!$B$2:$G$230, 2,FALSE),$B$14:AQ$73, AQ$74,FALSE),"o")=$D$4,IFERROR(VLOOKUP(VLOOKUP($B36, Dependencies!$B$2:$G$230, 3,FALSE),$B$14:AQ$73, AQ$74,FALSE),"o")=$D$4,IFERROR(VLOOKUP(VLOOKUP($B36, Dependencies!$B$2:$G$230, 4,FALSE),$B$14:AQ$73, AQ$74,FALSE),"o")=$D$4,IFERROR(VLOOKUP(VLOOKUP($B36, Dependencies!$B$2:$G$230, 5,FALSE),$B$14:AQ$73, AQ$74,FALSE),"o")=$D$4,IFERROR(VLOOKUP(VLOOKUP($B36, Dependencies!$B$2:$G$230, 6,FALSE),$B$14:AQ$73, AQ$74,FALSE),"o")=$D$4),$D$4,IF(OR(IFERROR(VLOOKUP(VLOOKUP($B36, Dependencies!$B$2:$G$230, 2,FALSE), $B$14:AQ$73, AQ$74,FALSE),"o")=$D$5,IFERROR(VLOOKUP(VLOOKUP($B36, Dependencies!$B$2:$G$230, 3,FALSE), $B$14:AQ$73, AQ$74,FALSE),"o")=$D$5,IFERROR(VLOOKUP(VLOOKUP($B36, Dependencies!$B$2:$G$230, 4,FALSE), $B$14:AQ$73, AQ$74,FALSE),"o")=$D$5,IFERROR(VLOOKUP(VLOOKUP($B36, Dependencies!$B$2:$G$230, 5,FALSE), $B$14:AQ$73, AQ$74,FALSE),"o")=$D$5,IFERROR(VLOOKUP(VLOOKUP($B36, Dependencies!$B$2:$G$230, 6,FALSE), $B$14:AQ$73, AQ$74,FALSE),"o")=$D$5),$D$5,AP36)))</f>
        <v>o</v>
      </c>
      <c r="AR36" s="93" t="s">
        <v>323</v>
      </c>
      <c r="AS36" s="69" t="str">
        <f>IF(AR36=$D$4,AR36,IF(OR(IFERROR(VLOOKUP(VLOOKUP($B36, Dependencies!$B$2:$G$230, 2,FALSE),$B$14:AS$73, AS$74,FALSE),"o")=$D$4,IFERROR(VLOOKUP(VLOOKUP($B36, Dependencies!$B$2:$G$230, 3,FALSE),$B$14:AS$73, AS$74,FALSE),"o")=$D$4,IFERROR(VLOOKUP(VLOOKUP($B36, Dependencies!$B$2:$G$230, 4,FALSE),$B$14:AS$73, AS$74,FALSE),"o")=$D$4,IFERROR(VLOOKUP(VLOOKUP($B36, Dependencies!$B$2:$G$230, 5,FALSE),$B$14:AS$73, AS$74,FALSE),"o")=$D$4,IFERROR(VLOOKUP(VLOOKUP($B36, Dependencies!$B$2:$G$230, 6,FALSE),$B$14:AS$73, AS$74,FALSE),"o")=$D$4),$D$4,IF(OR(IFERROR(VLOOKUP(VLOOKUP($B36, Dependencies!$B$2:$G$230, 2,FALSE), $B$14:AS$73, AS$74,FALSE),"o")=$D$5,IFERROR(VLOOKUP(VLOOKUP($B36, Dependencies!$B$2:$G$230, 3,FALSE), $B$14:AS$73, AS$74,FALSE),"o")=$D$5,IFERROR(VLOOKUP(VLOOKUP($B36, Dependencies!$B$2:$G$230, 4,FALSE), $B$14:AS$73, AS$74,FALSE),"o")=$D$5,IFERROR(VLOOKUP(VLOOKUP($B36, Dependencies!$B$2:$G$230, 5,FALSE), $B$14:AS$73, AS$74,FALSE),"o")=$D$5,IFERROR(VLOOKUP(VLOOKUP($B36, Dependencies!$B$2:$G$230, 6,FALSE), $B$14:AS$73, AS$74,FALSE),"o")=$D$5),$D$5,AR36)))</f>
        <v>o</v>
      </c>
    </row>
    <row r="37" spans="1:45" x14ac:dyDescent="0.2">
      <c r="A37" s="40"/>
      <c r="B37" s="74" t="str">
        <f>MLEOsv2!A25</f>
        <v>MLEO_01_12</v>
      </c>
      <c r="C37" s="74">
        <f>MLEOsv2!C25</f>
        <v>3</v>
      </c>
      <c r="D37" s="44" t="str">
        <f>MLEOsv2!G25</f>
        <v>implement and use chainable methods.</v>
      </c>
      <c r="E37" s="68" t="b">
        <f>MLEOsv2!H25</f>
        <v>0</v>
      </c>
      <c r="F37" s="94" t="s">
        <v>320</v>
      </c>
      <c r="G37" s="72" t="str">
        <f>IF(F37=$D$4,F37,IF(OR(IFERROR(VLOOKUP(VLOOKUP($B37, Dependencies!$B$2:$G$230, 2,FALSE),$B$14:G$73, G$74,FALSE),"o")=$D$4,IFERROR(VLOOKUP(VLOOKUP($B37, Dependencies!$B$2:$G$230, 3,FALSE),$B$14:G$73, G$74,FALSE),"o")=$D$4,IFERROR(VLOOKUP(VLOOKUP($B37, Dependencies!$B$2:$G$230, 4,FALSE),$B$14:G$73, G$74,FALSE),"o")=$D$4,IFERROR(VLOOKUP(VLOOKUP($B37, Dependencies!$B$2:$G$230, 5,FALSE),$B$14:G$73, G$74,FALSE),"o")=$D$4,IFERROR(VLOOKUP(VLOOKUP($B37, Dependencies!$B$2:$G$230, 6,FALSE),$B$14:G$73, G$74,FALSE),"o")=$D$4),$D$4,IF(OR(IFERROR(VLOOKUP(VLOOKUP($B37, Dependencies!$B$2:$G$230, 2,FALSE), $B$14:G$73, G$74,FALSE),"o")=$D$5,IFERROR(VLOOKUP(VLOOKUP($B37, Dependencies!$B$2:$G$230, 3,FALSE), $B$14:G$73, G$74,FALSE),"o")=$D$5,IFERROR(VLOOKUP(VLOOKUP($B37, Dependencies!$B$2:$G$230, 4,FALSE), $B$14:G$73, G$74,FALSE),"o")=$D$5,IFERROR(VLOOKUP(VLOOKUP($B37, Dependencies!$B$2:$G$230, 5,FALSE), $B$14:G$73, G$74,FALSE),"o")=$D$5,IFERROR(VLOOKUP(VLOOKUP($B37, Dependencies!$B$2:$G$230, 6,FALSE), $B$14:G$73, G$74,FALSE),"o")=$D$5),$D$5,F37)))</f>
        <v>r</v>
      </c>
      <c r="H37" s="94" t="s">
        <v>321</v>
      </c>
      <c r="I37" s="72" t="str">
        <f>IF(H37=$D$4,H37,IF(OR(IFERROR(VLOOKUP(VLOOKUP($B37, Dependencies!$B$2:$G$230, 2,FALSE),$B$14:I$73, I$74,FALSE),"o")=$D$4,IFERROR(VLOOKUP(VLOOKUP($B37, Dependencies!$B$2:$G$230, 3,FALSE),$B$14:I$73, I$74,FALSE),"o")=$D$4,IFERROR(VLOOKUP(VLOOKUP($B37, Dependencies!$B$2:$G$230, 4,FALSE),$B$14:I$73, I$74,FALSE),"o")=$D$4,IFERROR(VLOOKUP(VLOOKUP($B37, Dependencies!$B$2:$G$230, 5,FALSE),$B$14:I$73, I$74,FALSE),"o")=$D$4,IFERROR(VLOOKUP(VLOOKUP($B37, Dependencies!$B$2:$G$230, 6,FALSE),$B$14:I$73, I$74,FALSE),"o")=$D$4),$D$4,IF(OR(IFERROR(VLOOKUP(VLOOKUP($B37, Dependencies!$B$2:$G$230, 2,FALSE), $B$14:I$73, I$74,FALSE),"o")=$D$5,IFERROR(VLOOKUP(VLOOKUP($B37, Dependencies!$B$2:$G$230, 3,FALSE), $B$14:I$73, I$74,FALSE),"o")=$D$5,IFERROR(VLOOKUP(VLOOKUP($B37, Dependencies!$B$2:$G$230, 4,FALSE), $B$14:I$73, I$74,FALSE),"o")=$D$5,IFERROR(VLOOKUP(VLOOKUP($B37, Dependencies!$B$2:$G$230, 5,FALSE), $B$14:I$73, I$74,FALSE),"o")=$D$5,IFERROR(VLOOKUP(VLOOKUP($B37, Dependencies!$B$2:$G$230, 6,FALSE), $B$14:I$73, I$74,FALSE),"o")=$D$5),$D$5,H37)))</f>
        <v>pr</v>
      </c>
      <c r="J37" s="94" t="s">
        <v>323</v>
      </c>
      <c r="K37" s="72" t="str">
        <f>IF(J37=$D$4,J37,IF(OR(IFERROR(VLOOKUP(VLOOKUP($B37, Dependencies!$B$2:$G$230, 2,FALSE),$B$14:K$73, K$74,FALSE),"o")=$D$4,IFERROR(VLOOKUP(VLOOKUP($B37, Dependencies!$B$2:$G$230, 3,FALSE),$B$14:K$73, K$74,FALSE),"o")=$D$4,IFERROR(VLOOKUP(VLOOKUP($B37, Dependencies!$B$2:$G$230, 4,FALSE),$B$14:K$73, K$74,FALSE),"o")=$D$4,IFERROR(VLOOKUP(VLOOKUP($B37, Dependencies!$B$2:$G$230, 5,FALSE),$B$14:K$73, K$74,FALSE),"o")=$D$4,IFERROR(VLOOKUP(VLOOKUP($B37, Dependencies!$B$2:$G$230, 6,FALSE),$B$14:K$73, K$74,FALSE),"o")=$D$4),$D$4,IF(OR(IFERROR(VLOOKUP(VLOOKUP($B37, Dependencies!$B$2:$G$230, 2,FALSE), $B$14:K$73, K$74,FALSE),"o")=$D$5,IFERROR(VLOOKUP(VLOOKUP($B37, Dependencies!$B$2:$G$230, 3,FALSE), $B$14:K$73, K$74,FALSE),"o")=$D$5,IFERROR(VLOOKUP(VLOOKUP($B37, Dependencies!$B$2:$G$230, 4,FALSE), $B$14:K$73, K$74,FALSE),"o")=$D$5,IFERROR(VLOOKUP(VLOOKUP($B37, Dependencies!$B$2:$G$230, 5,FALSE), $B$14:K$73, K$74,FALSE),"o")=$D$5,IFERROR(VLOOKUP(VLOOKUP($B37, Dependencies!$B$2:$G$230, 6,FALSE), $B$14:K$73, K$74,FALSE),"o")=$D$5),$D$5,J37)))</f>
        <v>o</v>
      </c>
      <c r="L37" s="94" t="s">
        <v>323</v>
      </c>
      <c r="M37" s="72" t="str">
        <f>IF(L37=$D$4,L37,IF(OR(IFERROR(VLOOKUP(VLOOKUP($B37, Dependencies!$B$2:$G$230, 2,FALSE),$B$14:M$73, M$74,FALSE),"o")=$D$4,IFERROR(VLOOKUP(VLOOKUP($B37, Dependencies!$B$2:$G$230, 3,FALSE),$B$14:M$73, M$74,FALSE),"o")=$D$4,IFERROR(VLOOKUP(VLOOKUP($B37, Dependencies!$B$2:$G$230, 4,FALSE),$B$14:M$73, M$74,FALSE),"o")=$D$4,IFERROR(VLOOKUP(VLOOKUP($B37, Dependencies!$B$2:$G$230, 5,FALSE),$B$14:M$73, M$74,FALSE),"o")=$D$4,IFERROR(VLOOKUP(VLOOKUP($B37, Dependencies!$B$2:$G$230, 6,FALSE),$B$14:M$73, M$74,FALSE),"o")=$D$4),$D$4,IF(OR(IFERROR(VLOOKUP(VLOOKUP($B37, Dependencies!$B$2:$G$230, 2,FALSE), $B$14:M$73, M$74,FALSE),"o")=$D$5,IFERROR(VLOOKUP(VLOOKUP($B37, Dependencies!$B$2:$G$230, 3,FALSE), $B$14:M$73, M$74,FALSE),"o")=$D$5,IFERROR(VLOOKUP(VLOOKUP($B37, Dependencies!$B$2:$G$230, 4,FALSE), $B$14:M$73, M$74,FALSE),"o")=$D$5,IFERROR(VLOOKUP(VLOOKUP($B37, Dependencies!$B$2:$G$230, 5,FALSE), $B$14:M$73, M$74,FALSE),"o")=$D$5,IFERROR(VLOOKUP(VLOOKUP($B37, Dependencies!$B$2:$G$230, 6,FALSE), $B$14:M$73, M$74,FALSE),"o")=$D$5),$D$5,L37)))</f>
        <v>o</v>
      </c>
      <c r="N37" s="94" t="s">
        <v>323</v>
      </c>
      <c r="O37" s="72" t="str">
        <f>IF(N37=$D$4,N37,IF(OR(IFERROR(VLOOKUP(VLOOKUP($B37, Dependencies!$B$2:$G$230, 2,FALSE),$B$14:O$73, O$74,FALSE),"o")=$D$4,IFERROR(VLOOKUP(VLOOKUP($B37, Dependencies!$B$2:$G$230, 3,FALSE),$B$14:O$73, O$74,FALSE),"o")=$D$4,IFERROR(VLOOKUP(VLOOKUP($B37, Dependencies!$B$2:$G$230, 4,FALSE),$B$14:O$73, O$74,FALSE),"o")=$D$4,IFERROR(VLOOKUP(VLOOKUP($B37, Dependencies!$B$2:$G$230, 5,FALSE),$B$14:O$73, O$74,FALSE),"o")=$D$4,IFERROR(VLOOKUP(VLOOKUP($B37, Dependencies!$B$2:$G$230, 6,FALSE),$B$14:O$73, O$74,FALSE),"o")=$D$4),$D$4,IF(OR(IFERROR(VLOOKUP(VLOOKUP($B37, Dependencies!$B$2:$G$230, 2,FALSE), $B$14:O$73, O$74,FALSE),"o")=$D$5,IFERROR(VLOOKUP(VLOOKUP($B37, Dependencies!$B$2:$G$230, 3,FALSE), $B$14:O$73, O$74,FALSE),"o")=$D$5,IFERROR(VLOOKUP(VLOOKUP($B37, Dependencies!$B$2:$G$230, 4,FALSE), $B$14:O$73, O$74,FALSE),"o")=$D$5,IFERROR(VLOOKUP(VLOOKUP($B37, Dependencies!$B$2:$G$230, 5,FALSE), $B$14:O$73, O$74,FALSE),"o")=$D$5,IFERROR(VLOOKUP(VLOOKUP($B37, Dependencies!$B$2:$G$230, 6,FALSE), $B$14:O$73, O$74,FALSE),"o")=$D$5),$D$5,N37)))</f>
        <v>o</v>
      </c>
      <c r="P37" s="94" t="s">
        <v>323</v>
      </c>
      <c r="Q37" s="72" t="str">
        <f>IF(P37=$D$4,P37,IF(OR(IFERROR(VLOOKUP(VLOOKUP($B37, Dependencies!$B$2:$G$230, 2,FALSE),$B$14:Q$73, Q$74,FALSE),"o")=$D$4,IFERROR(VLOOKUP(VLOOKUP($B37, Dependencies!$B$2:$G$230, 3,FALSE),$B$14:Q$73, Q$74,FALSE),"o")=$D$4,IFERROR(VLOOKUP(VLOOKUP($B37, Dependencies!$B$2:$G$230, 4,FALSE),$B$14:Q$73, Q$74,FALSE),"o")=$D$4,IFERROR(VLOOKUP(VLOOKUP($B37, Dependencies!$B$2:$G$230, 5,FALSE),$B$14:Q$73, Q$74,FALSE),"o")=$D$4,IFERROR(VLOOKUP(VLOOKUP($B37, Dependencies!$B$2:$G$230, 6,FALSE),$B$14:Q$73, Q$74,FALSE),"o")=$D$4),$D$4,IF(OR(IFERROR(VLOOKUP(VLOOKUP($B37, Dependencies!$B$2:$G$230, 2,FALSE), $B$14:Q$73, Q$74,FALSE),"o")=$D$5,IFERROR(VLOOKUP(VLOOKUP($B37, Dependencies!$B$2:$G$230, 3,FALSE), $B$14:Q$73, Q$74,FALSE),"o")=$D$5,IFERROR(VLOOKUP(VLOOKUP($B37, Dependencies!$B$2:$G$230, 4,FALSE), $B$14:Q$73, Q$74,FALSE),"o")=$D$5,IFERROR(VLOOKUP(VLOOKUP($B37, Dependencies!$B$2:$G$230, 5,FALSE), $B$14:Q$73, Q$74,FALSE),"o")=$D$5,IFERROR(VLOOKUP(VLOOKUP($B37, Dependencies!$B$2:$G$230, 6,FALSE), $B$14:Q$73, Q$74,FALSE),"o")=$D$5),$D$5,P37)))</f>
        <v>o</v>
      </c>
      <c r="R37" s="94" t="s">
        <v>323</v>
      </c>
      <c r="S37" s="72" t="str">
        <f>IF(R37=$D$4,R37,IF(OR(IFERROR(VLOOKUP(VLOOKUP($B37, Dependencies!$B$2:$G$230, 2,FALSE),$B$14:S$73, S$74,FALSE),"o")=$D$4,IFERROR(VLOOKUP(VLOOKUP($B37, Dependencies!$B$2:$G$230, 3,FALSE),$B$14:S$73, S$74,FALSE),"o")=$D$4,IFERROR(VLOOKUP(VLOOKUP($B37, Dependencies!$B$2:$G$230, 4,FALSE),$B$14:S$73, S$74,FALSE),"o")=$D$4,IFERROR(VLOOKUP(VLOOKUP($B37, Dependencies!$B$2:$G$230, 5,FALSE),$B$14:S$73, S$74,FALSE),"o")=$D$4,IFERROR(VLOOKUP(VLOOKUP($B37, Dependencies!$B$2:$G$230, 6,FALSE),$B$14:S$73, S$74,FALSE),"o")=$D$4),$D$4,IF(OR(IFERROR(VLOOKUP(VLOOKUP($B37, Dependencies!$B$2:$G$230, 2,FALSE), $B$14:S$73, S$74,FALSE),"o")=$D$5,IFERROR(VLOOKUP(VLOOKUP($B37, Dependencies!$B$2:$G$230, 3,FALSE), $B$14:S$73, S$74,FALSE),"o")=$D$5,IFERROR(VLOOKUP(VLOOKUP($B37, Dependencies!$B$2:$G$230, 4,FALSE), $B$14:S$73, S$74,FALSE),"o")=$D$5,IFERROR(VLOOKUP(VLOOKUP($B37, Dependencies!$B$2:$G$230, 5,FALSE), $B$14:S$73, S$74,FALSE),"o")=$D$5,IFERROR(VLOOKUP(VLOOKUP($B37, Dependencies!$B$2:$G$230, 6,FALSE), $B$14:S$73, S$74,FALSE),"o")=$D$5),$D$5,R37)))</f>
        <v>o</v>
      </c>
      <c r="T37" s="94" t="s">
        <v>323</v>
      </c>
      <c r="U37" s="72" t="str">
        <f>IF(T37=$D$4,T37,IF(OR(IFERROR(VLOOKUP(VLOOKUP($B37, Dependencies!$B$2:$G$230, 2,FALSE),$B$14:U$73, U$74,FALSE),"o")=$D$4,IFERROR(VLOOKUP(VLOOKUP($B37, Dependencies!$B$2:$G$230, 3,FALSE),$B$14:U$73, U$74,FALSE),"o")=$D$4,IFERROR(VLOOKUP(VLOOKUP($B37, Dependencies!$B$2:$G$230, 4,FALSE),$B$14:U$73, U$74,FALSE),"o")=$D$4,IFERROR(VLOOKUP(VLOOKUP($B37, Dependencies!$B$2:$G$230, 5,FALSE),$B$14:U$73, U$74,FALSE),"o")=$D$4,IFERROR(VLOOKUP(VLOOKUP($B37, Dependencies!$B$2:$G$230, 6,FALSE),$B$14:U$73, U$74,FALSE),"o")=$D$4),$D$4,IF(OR(IFERROR(VLOOKUP(VLOOKUP($B37, Dependencies!$B$2:$G$230, 2,FALSE), $B$14:U$73, U$74,FALSE),"o")=$D$5,IFERROR(VLOOKUP(VLOOKUP($B37, Dependencies!$B$2:$G$230, 3,FALSE), $B$14:U$73, U$74,FALSE),"o")=$D$5,IFERROR(VLOOKUP(VLOOKUP($B37, Dependencies!$B$2:$G$230, 4,FALSE), $B$14:U$73, U$74,FALSE),"o")=$D$5,IFERROR(VLOOKUP(VLOOKUP($B37, Dependencies!$B$2:$G$230, 5,FALSE), $B$14:U$73, U$74,FALSE),"o")=$D$5,IFERROR(VLOOKUP(VLOOKUP($B37, Dependencies!$B$2:$G$230, 6,FALSE), $B$14:U$73, U$74,FALSE),"o")=$D$5),$D$5,T37)))</f>
        <v>o</v>
      </c>
      <c r="V37" s="94" t="s">
        <v>323</v>
      </c>
      <c r="W37" s="72" t="str">
        <f>IF(V37=$D$4,V37,IF(OR(IFERROR(VLOOKUP(VLOOKUP($B37, Dependencies!$B$2:$G$230, 2,FALSE),$B$14:W$73, W$74,FALSE),"o")=$D$4,IFERROR(VLOOKUP(VLOOKUP($B37, Dependencies!$B$2:$G$230, 3,FALSE),$B$14:W$73, W$74,FALSE),"o")=$D$4,IFERROR(VLOOKUP(VLOOKUP($B37, Dependencies!$B$2:$G$230, 4,FALSE),$B$14:W$73, W$74,FALSE),"o")=$D$4,IFERROR(VLOOKUP(VLOOKUP($B37, Dependencies!$B$2:$G$230, 5,FALSE),$B$14:W$73, W$74,FALSE),"o")=$D$4,IFERROR(VLOOKUP(VLOOKUP($B37, Dependencies!$B$2:$G$230, 6,FALSE),$B$14:W$73, W$74,FALSE),"o")=$D$4),$D$4,IF(OR(IFERROR(VLOOKUP(VLOOKUP($B37, Dependencies!$B$2:$G$230, 2,FALSE), $B$14:W$73, W$74,FALSE),"o")=$D$5,IFERROR(VLOOKUP(VLOOKUP($B37, Dependencies!$B$2:$G$230, 3,FALSE), $B$14:W$73, W$74,FALSE),"o")=$D$5,IFERROR(VLOOKUP(VLOOKUP($B37, Dependencies!$B$2:$G$230, 4,FALSE), $B$14:W$73, W$74,FALSE),"o")=$D$5,IFERROR(VLOOKUP(VLOOKUP($B37, Dependencies!$B$2:$G$230, 5,FALSE), $B$14:W$73, W$74,FALSE),"o")=$D$5,IFERROR(VLOOKUP(VLOOKUP($B37, Dependencies!$B$2:$G$230, 6,FALSE), $B$14:W$73, W$74,FALSE),"o")=$D$5),$D$5,V37)))</f>
        <v>o</v>
      </c>
      <c r="X37" s="94" t="s">
        <v>323</v>
      </c>
      <c r="Y37" s="72" t="str">
        <f>IF(X37=$D$4,X37,IF(OR(IFERROR(VLOOKUP(VLOOKUP($B37, Dependencies!$B$2:$G$230, 2,FALSE),$B$14:Y$73, Y$74,FALSE),"o")=$D$4,IFERROR(VLOOKUP(VLOOKUP($B37, Dependencies!$B$2:$G$230, 3,FALSE),$B$14:Y$73, Y$74,FALSE),"o")=$D$4,IFERROR(VLOOKUP(VLOOKUP($B37, Dependencies!$B$2:$G$230, 4,FALSE),$B$14:Y$73, Y$74,FALSE),"o")=$D$4,IFERROR(VLOOKUP(VLOOKUP($B37, Dependencies!$B$2:$G$230, 5,FALSE),$B$14:Y$73, Y$74,FALSE),"o")=$D$4,IFERROR(VLOOKUP(VLOOKUP($B37, Dependencies!$B$2:$G$230, 6,FALSE),$B$14:Y$73, Y$74,FALSE),"o")=$D$4),$D$4,IF(OR(IFERROR(VLOOKUP(VLOOKUP($B37, Dependencies!$B$2:$G$230, 2,FALSE), $B$14:Y$73, Y$74,FALSE),"o")=$D$5,IFERROR(VLOOKUP(VLOOKUP($B37, Dependencies!$B$2:$G$230, 3,FALSE), $B$14:Y$73, Y$74,FALSE),"o")=$D$5,IFERROR(VLOOKUP(VLOOKUP($B37, Dependencies!$B$2:$G$230, 4,FALSE), $B$14:Y$73, Y$74,FALSE),"o")=$D$5,IFERROR(VLOOKUP(VLOOKUP($B37, Dependencies!$B$2:$G$230, 5,FALSE), $B$14:Y$73, Y$74,FALSE),"o")=$D$5,IFERROR(VLOOKUP(VLOOKUP($B37, Dependencies!$B$2:$G$230, 6,FALSE), $B$14:Y$73, Y$74,FALSE),"o")=$D$5),$D$5,X37)))</f>
        <v>o</v>
      </c>
      <c r="Z37" s="94" t="s">
        <v>323</v>
      </c>
      <c r="AA37" s="72" t="str">
        <f>IF(Z37=$D$4,Z37,IF(OR(IFERROR(VLOOKUP(VLOOKUP($B37, Dependencies!$B$2:$G$230, 2,FALSE),$B$14:AA$73, AA$74,FALSE),"o")=$D$4,IFERROR(VLOOKUP(VLOOKUP($B37, Dependencies!$B$2:$G$230, 3,FALSE),$B$14:AA$73, AA$74,FALSE),"o")=$D$4,IFERROR(VLOOKUP(VLOOKUP($B37, Dependencies!$B$2:$G$230, 4,FALSE),$B$14:AA$73, AA$74,FALSE),"o")=$D$4,IFERROR(VLOOKUP(VLOOKUP($B37, Dependencies!$B$2:$G$230, 5,FALSE),$B$14:AA$73, AA$74,FALSE),"o")=$D$4,IFERROR(VLOOKUP(VLOOKUP($B37, Dependencies!$B$2:$G$230, 6,FALSE),$B$14:AA$73, AA$74,FALSE),"o")=$D$4),$D$4,IF(OR(IFERROR(VLOOKUP(VLOOKUP($B37, Dependencies!$B$2:$G$230, 2,FALSE), $B$14:AA$73, AA$74,FALSE),"o")=$D$5,IFERROR(VLOOKUP(VLOOKUP($B37, Dependencies!$B$2:$G$230, 3,FALSE), $B$14:AA$73, AA$74,FALSE),"o")=$D$5,IFERROR(VLOOKUP(VLOOKUP($B37, Dependencies!$B$2:$G$230, 4,FALSE), $B$14:AA$73, AA$74,FALSE),"o")=$D$5,IFERROR(VLOOKUP(VLOOKUP($B37, Dependencies!$B$2:$G$230, 5,FALSE), $B$14:AA$73, AA$74,FALSE),"o")=$D$5,IFERROR(VLOOKUP(VLOOKUP($B37, Dependencies!$B$2:$G$230, 6,FALSE), $B$14:AA$73, AA$74,FALSE),"o")=$D$5),$D$5,Z37)))</f>
        <v>o</v>
      </c>
      <c r="AB37" s="94" t="s">
        <v>323</v>
      </c>
      <c r="AC37" s="72" t="str">
        <f>IF(AB37=$D$4,AB37,IF(OR(IFERROR(VLOOKUP(VLOOKUP($B37, Dependencies!$B$2:$G$230, 2,FALSE),$B$14:AC$73, AC$74,FALSE),"o")=$D$4,IFERROR(VLOOKUP(VLOOKUP($B37, Dependencies!$B$2:$G$230, 3,FALSE),$B$14:AC$73, AC$74,FALSE),"o")=$D$4,IFERROR(VLOOKUP(VLOOKUP($B37, Dependencies!$B$2:$G$230, 4,FALSE),$B$14:AC$73, AC$74,FALSE),"o")=$D$4,IFERROR(VLOOKUP(VLOOKUP($B37, Dependencies!$B$2:$G$230, 5,FALSE),$B$14:AC$73, AC$74,FALSE),"o")=$D$4,IFERROR(VLOOKUP(VLOOKUP($B37, Dependencies!$B$2:$G$230, 6,FALSE),$B$14:AC$73, AC$74,FALSE),"o")=$D$4),$D$4,IF(OR(IFERROR(VLOOKUP(VLOOKUP($B37, Dependencies!$B$2:$G$230, 2,FALSE), $B$14:AC$73, AC$74,FALSE),"o")=$D$5,IFERROR(VLOOKUP(VLOOKUP($B37, Dependencies!$B$2:$G$230, 3,FALSE), $B$14:AC$73, AC$74,FALSE),"o")=$D$5,IFERROR(VLOOKUP(VLOOKUP($B37, Dependencies!$B$2:$G$230, 4,FALSE), $B$14:AC$73, AC$74,FALSE),"o")=$D$5,IFERROR(VLOOKUP(VLOOKUP($B37, Dependencies!$B$2:$G$230, 5,FALSE), $B$14:AC$73, AC$74,FALSE),"o")=$D$5,IFERROR(VLOOKUP(VLOOKUP($B37, Dependencies!$B$2:$G$230, 6,FALSE), $B$14:AC$73, AC$74,FALSE),"o")=$D$5),$D$5,AB37)))</f>
        <v>o</v>
      </c>
      <c r="AD37" s="94" t="s">
        <v>323</v>
      </c>
      <c r="AE37" s="72" t="str">
        <f>IF(AD37=$D$4,AD37,IF(OR(IFERROR(VLOOKUP(VLOOKUP($B37, Dependencies!$B$2:$G$230, 2,FALSE),$B$14:AE$73, AE$74,FALSE),"o")=$D$4,IFERROR(VLOOKUP(VLOOKUP($B37, Dependencies!$B$2:$G$230, 3,FALSE),$B$14:AE$73, AE$74,FALSE),"o")=$D$4,IFERROR(VLOOKUP(VLOOKUP($B37, Dependencies!$B$2:$G$230, 4,FALSE),$B$14:AE$73, AE$74,FALSE),"o")=$D$4,IFERROR(VLOOKUP(VLOOKUP($B37, Dependencies!$B$2:$G$230, 5,FALSE),$B$14:AE$73, AE$74,FALSE),"o")=$D$4,IFERROR(VLOOKUP(VLOOKUP($B37, Dependencies!$B$2:$G$230, 6,FALSE),$B$14:AE$73, AE$74,FALSE),"o")=$D$4),$D$4,IF(OR(IFERROR(VLOOKUP(VLOOKUP($B37, Dependencies!$B$2:$G$230, 2,FALSE), $B$14:AE$73, AE$74,FALSE),"o")=$D$5,IFERROR(VLOOKUP(VLOOKUP($B37, Dependencies!$B$2:$G$230, 3,FALSE), $B$14:AE$73, AE$74,FALSE),"o")=$D$5,IFERROR(VLOOKUP(VLOOKUP($B37, Dependencies!$B$2:$G$230, 4,FALSE), $B$14:AE$73, AE$74,FALSE),"o")=$D$5,IFERROR(VLOOKUP(VLOOKUP($B37, Dependencies!$B$2:$G$230, 5,FALSE), $B$14:AE$73, AE$74,FALSE),"o")=$D$5,IFERROR(VLOOKUP(VLOOKUP($B37, Dependencies!$B$2:$G$230, 6,FALSE), $B$14:AE$73, AE$74,FALSE),"o")=$D$5),$D$5,AD37)))</f>
        <v>o</v>
      </c>
      <c r="AF37" s="94" t="s">
        <v>323</v>
      </c>
      <c r="AG37" s="72" t="str">
        <f>IF(AF37=$D$4,AF37,IF(OR(IFERROR(VLOOKUP(VLOOKUP($B37, Dependencies!$B$2:$G$230, 2,FALSE),$B$14:AG$73, AG$74,FALSE),"o")=$D$4,IFERROR(VLOOKUP(VLOOKUP($B37, Dependencies!$B$2:$G$230, 3,FALSE),$B$14:AG$73, AG$74,FALSE),"o")=$D$4,IFERROR(VLOOKUP(VLOOKUP($B37, Dependencies!$B$2:$G$230, 4,FALSE),$B$14:AG$73, AG$74,FALSE),"o")=$D$4,IFERROR(VLOOKUP(VLOOKUP($B37, Dependencies!$B$2:$G$230, 5,FALSE),$B$14:AG$73, AG$74,FALSE),"o")=$D$4,IFERROR(VLOOKUP(VLOOKUP($B37, Dependencies!$B$2:$G$230, 6,FALSE),$B$14:AG$73, AG$74,FALSE),"o")=$D$4),$D$4,IF(OR(IFERROR(VLOOKUP(VLOOKUP($B37, Dependencies!$B$2:$G$230, 2,FALSE), $B$14:AG$73, AG$74,FALSE),"o")=$D$5,IFERROR(VLOOKUP(VLOOKUP($B37, Dependencies!$B$2:$G$230, 3,FALSE), $B$14:AG$73, AG$74,FALSE),"o")=$D$5,IFERROR(VLOOKUP(VLOOKUP($B37, Dependencies!$B$2:$G$230, 4,FALSE), $B$14:AG$73, AG$74,FALSE),"o")=$D$5,IFERROR(VLOOKUP(VLOOKUP($B37, Dependencies!$B$2:$G$230, 5,FALSE), $B$14:AG$73, AG$74,FALSE),"o")=$D$5,IFERROR(VLOOKUP(VLOOKUP($B37, Dependencies!$B$2:$G$230, 6,FALSE), $B$14:AG$73, AG$74,FALSE),"o")=$D$5),$D$5,AF37)))</f>
        <v>o</v>
      </c>
      <c r="AH37" s="94" t="s">
        <v>323</v>
      </c>
      <c r="AI37" s="72" t="str">
        <f>IF(AH37=$D$4,AH37,IF(OR(IFERROR(VLOOKUP(VLOOKUP($B37, Dependencies!$B$2:$G$230, 2,FALSE),$B$14:AI$73, AI$74,FALSE),"o")=$D$4,IFERROR(VLOOKUP(VLOOKUP($B37, Dependencies!$B$2:$G$230, 3,FALSE),$B$14:AI$73, AI$74,FALSE),"o")=$D$4,IFERROR(VLOOKUP(VLOOKUP($B37, Dependencies!$B$2:$G$230, 4,FALSE),$B$14:AI$73, AI$74,FALSE),"o")=$D$4,IFERROR(VLOOKUP(VLOOKUP($B37, Dependencies!$B$2:$G$230, 5,FALSE),$B$14:AI$73, AI$74,FALSE),"o")=$D$4,IFERROR(VLOOKUP(VLOOKUP($B37, Dependencies!$B$2:$G$230, 6,FALSE),$B$14:AI$73, AI$74,FALSE),"o")=$D$4),$D$4,IF(OR(IFERROR(VLOOKUP(VLOOKUP($B37, Dependencies!$B$2:$G$230, 2,FALSE), $B$14:AI$73, AI$74,FALSE),"o")=$D$5,IFERROR(VLOOKUP(VLOOKUP($B37, Dependencies!$B$2:$G$230, 3,FALSE), $B$14:AI$73, AI$74,FALSE),"o")=$D$5,IFERROR(VLOOKUP(VLOOKUP($B37, Dependencies!$B$2:$G$230, 4,FALSE), $B$14:AI$73, AI$74,FALSE),"o")=$D$5,IFERROR(VLOOKUP(VLOOKUP($B37, Dependencies!$B$2:$G$230, 5,FALSE), $B$14:AI$73, AI$74,FALSE),"o")=$D$5,IFERROR(VLOOKUP(VLOOKUP($B37, Dependencies!$B$2:$G$230, 6,FALSE), $B$14:AI$73, AI$74,FALSE),"o")=$D$5),$D$5,AH37)))</f>
        <v>o</v>
      </c>
      <c r="AJ37" s="94" t="s">
        <v>323</v>
      </c>
      <c r="AK37" s="72" t="str">
        <f>IF(AJ37=$D$4,AJ37,IF(OR(IFERROR(VLOOKUP(VLOOKUP($B37, Dependencies!$B$2:$G$230, 2,FALSE),$B$14:AK$73, AK$74,FALSE),"o")=$D$4,IFERROR(VLOOKUP(VLOOKUP($B37, Dependencies!$B$2:$G$230, 3,FALSE),$B$14:AK$73, AK$74,FALSE),"o")=$D$4,IFERROR(VLOOKUP(VLOOKUP($B37, Dependencies!$B$2:$G$230, 4,FALSE),$B$14:AK$73, AK$74,FALSE),"o")=$D$4,IFERROR(VLOOKUP(VLOOKUP($B37, Dependencies!$B$2:$G$230, 5,FALSE),$B$14:AK$73, AK$74,FALSE),"o")=$D$4,IFERROR(VLOOKUP(VLOOKUP($B37, Dependencies!$B$2:$G$230, 6,FALSE),$B$14:AK$73, AK$74,FALSE),"o")=$D$4),$D$4,IF(OR(IFERROR(VLOOKUP(VLOOKUP($B37, Dependencies!$B$2:$G$230, 2,FALSE), $B$14:AK$73, AK$74,FALSE),"o")=$D$5,IFERROR(VLOOKUP(VLOOKUP($B37, Dependencies!$B$2:$G$230, 3,FALSE), $B$14:AK$73, AK$74,FALSE),"o")=$D$5,IFERROR(VLOOKUP(VLOOKUP($B37, Dependencies!$B$2:$G$230, 4,FALSE), $B$14:AK$73, AK$74,FALSE),"o")=$D$5,IFERROR(VLOOKUP(VLOOKUP($B37, Dependencies!$B$2:$G$230, 5,FALSE), $B$14:AK$73, AK$74,FALSE),"o")=$D$5,IFERROR(VLOOKUP(VLOOKUP($B37, Dependencies!$B$2:$G$230, 6,FALSE), $B$14:AK$73, AK$74,FALSE),"o")=$D$5),$D$5,AJ37)))</f>
        <v>o</v>
      </c>
      <c r="AL37" s="94" t="s">
        <v>323</v>
      </c>
      <c r="AM37" s="72" t="str">
        <f>IF(AL37=$D$4,AL37,IF(OR(IFERROR(VLOOKUP(VLOOKUP($B37, Dependencies!$B$2:$G$230, 2,FALSE),$B$14:AM$73, AM$74,FALSE),"o")=$D$4,IFERROR(VLOOKUP(VLOOKUP($B37, Dependencies!$B$2:$G$230, 3,FALSE),$B$14:AM$73, AM$74,FALSE),"o")=$D$4,IFERROR(VLOOKUP(VLOOKUP($B37, Dependencies!$B$2:$G$230, 4,FALSE),$B$14:AM$73, AM$74,FALSE),"o")=$D$4,IFERROR(VLOOKUP(VLOOKUP($B37, Dependencies!$B$2:$G$230, 5,FALSE),$B$14:AM$73, AM$74,FALSE),"o")=$D$4,IFERROR(VLOOKUP(VLOOKUP($B37, Dependencies!$B$2:$G$230, 6,FALSE),$B$14:AM$73, AM$74,FALSE),"o")=$D$4),$D$4,IF(OR(IFERROR(VLOOKUP(VLOOKUP($B37, Dependencies!$B$2:$G$230, 2,FALSE), $B$14:AM$73, AM$74,FALSE),"o")=$D$5,IFERROR(VLOOKUP(VLOOKUP($B37, Dependencies!$B$2:$G$230, 3,FALSE), $B$14:AM$73, AM$74,FALSE),"o")=$D$5,IFERROR(VLOOKUP(VLOOKUP($B37, Dependencies!$B$2:$G$230, 4,FALSE), $B$14:AM$73, AM$74,FALSE),"o")=$D$5,IFERROR(VLOOKUP(VLOOKUP($B37, Dependencies!$B$2:$G$230, 5,FALSE), $B$14:AM$73, AM$74,FALSE),"o")=$D$5,IFERROR(VLOOKUP(VLOOKUP($B37, Dependencies!$B$2:$G$230, 6,FALSE), $B$14:AM$73, AM$74,FALSE),"o")=$D$5),$D$5,AL37)))</f>
        <v>o</v>
      </c>
      <c r="AN37" s="94" t="s">
        <v>323</v>
      </c>
      <c r="AO37" s="72" t="str">
        <f>IF(AN37=$D$4,AN37,IF(OR(IFERROR(VLOOKUP(VLOOKUP($B37, Dependencies!$B$2:$G$230, 2,FALSE),$B$14:AO$73, AO$74,FALSE),"o")=$D$4,IFERROR(VLOOKUP(VLOOKUP($B37, Dependencies!$B$2:$G$230, 3,FALSE),$B$14:AO$73, AO$74,FALSE),"o")=$D$4,IFERROR(VLOOKUP(VLOOKUP($B37, Dependencies!$B$2:$G$230, 4,FALSE),$B$14:AO$73, AO$74,FALSE),"o")=$D$4,IFERROR(VLOOKUP(VLOOKUP($B37, Dependencies!$B$2:$G$230, 5,FALSE),$B$14:AO$73, AO$74,FALSE),"o")=$D$4,IFERROR(VLOOKUP(VLOOKUP($B37, Dependencies!$B$2:$G$230, 6,FALSE),$B$14:AO$73, AO$74,FALSE),"o")=$D$4),$D$4,IF(OR(IFERROR(VLOOKUP(VLOOKUP($B37, Dependencies!$B$2:$G$230, 2,FALSE), $B$14:AO$73, AO$74,FALSE),"o")=$D$5,IFERROR(VLOOKUP(VLOOKUP($B37, Dependencies!$B$2:$G$230, 3,FALSE), $B$14:AO$73, AO$74,FALSE),"o")=$D$5,IFERROR(VLOOKUP(VLOOKUP($B37, Dependencies!$B$2:$G$230, 4,FALSE), $B$14:AO$73, AO$74,FALSE),"o")=$D$5,IFERROR(VLOOKUP(VLOOKUP($B37, Dependencies!$B$2:$G$230, 5,FALSE), $B$14:AO$73, AO$74,FALSE),"o")=$D$5,IFERROR(VLOOKUP(VLOOKUP($B37, Dependencies!$B$2:$G$230, 6,FALSE), $B$14:AO$73, AO$74,FALSE),"o")=$D$5),$D$5,AN37)))</f>
        <v>o</v>
      </c>
      <c r="AP37" s="94" t="s">
        <v>323</v>
      </c>
      <c r="AQ37" s="72" t="str">
        <f>IF(AP37=$D$4,AP37,IF(OR(IFERROR(VLOOKUP(VLOOKUP($B37, Dependencies!$B$2:$G$230, 2,FALSE),$B$14:AQ$73, AQ$74,FALSE),"o")=$D$4,IFERROR(VLOOKUP(VLOOKUP($B37, Dependencies!$B$2:$G$230, 3,FALSE),$B$14:AQ$73, AQ$74,FALSE),"o")=$D$4,IFERROR(VLOOKUP(VLOOKUP($B37, Dependencies!$B$2:$G$230, 4,FALSE),$B$14:AQ$73, AQ$74,FALSE),"o")=$D$4,IFERROR(VLOOKUP(VLOOKUP($B37, Dependencies!$B$2:$G$230, 5,FALSE),$B$14:AQ$73, AQ$74,FALSE),"o")=$D$4,IFERROR(VLOOKUP(VLOOKUP($B37, Dependencies!$B$2:$G$230, 6,FALSE),$B$14:AQ$73, AQ$74,FALSE),"o")=$D$4),$D$4,IF(OR(IFERROR(VLOOKUP(VLOOKUP($B37, Dependencies!$B$2:$G$230, 2,FALSE), $B$14:AQ$73, AQ$74,FALSE),"o")=$D$5,IFERROR(VLOOKUP(VLOOKUP($B37, Dependencies!$B$2:$G$230, 3,FALSE), $B$14:AQ$73, AQ$74,FALSE),"o")=$D$5,IFERROR(VLOOKUP(VLOOKUP($B37, Dependencies!$B$2:$G$230, 4,FALSE), $B$14:AQ$73, AQ$74,FALSE),"o")=$D$5,IFERROR(VLOOKUP(VLOOKUP($B37, Dependencies!$B$2:$G$230, 5,FALSE), $B$14:AQ$73, AQ$74,FALSE),"o")=$D$5,IFERROR(VLOOKUP(VLOOKUP($B37, Dependencies!$B$2:$G$230, 6,FALSE), $B$14:AQ$73, AQ$74,FALSE),"o")=$D$5),$D$5,AP37)))</f>
        <v>o</v>
      </c>
      <c r="AR37" s="94" t="s">
        <v>323</v>
      </c>
      <c r="AS37" s="71" t="str">
        <f>IF(AR37=$D$4,AR37,IF(OR(IFERROR(VLOOKUP(VLOOKUP($B37, Dependencies!$B$2:$G$230, 2,FALSE),$B$14:AS$73, AS$74,FALSE),"o")=$D$4,IFERROR(VLOOKUP(VLOOKUP($B37, Dependencies!$B$2:$G$230, 3,FALSE),$B$14:AS$73, AS$74,FALSE),"o")=$D$4,IFERROR(VLOOKUP(VLOOKUP($B37, Dependencies!$B$2:$G$230, 4,FALSE),$B$14:AS$73, AS$74,FALSE),"o")=$D$4,IFERROR(VLOOKUP(VLOOKUP($B37, Dependencies!$B$2:$G$230, 5,FALSE),$B$14:AS$73, AS$74,FALSE),"o")=$D$4,IFERROR(VLOOKUP(VLOOKUP($B37, Dependencies!$B$2:$G$230, 6,FALSE),$B$14:AS$73, AS$74,FALSE),"o")=$D$4),$D$4,IF(OR(IFERROR(VLOOKUP(VLOOKUP($B37, Dependencies!$B$2:$G$230, 2,FALSE), $B$14:AS$73, AS$74,FALSE),"o")=$D$5,IFERROR(VLOOKUP(VLOOKUP($B37, Dependencies!$B$2:$G$230, 3,FALSE), $B$14:AS$73, AS$74,FALSE),"o")=$D$5,IFERROR(VLOOKUP(VLOOKUP($B37, Dependencies!$B$2:$G$230, 4,FALSE), $B$14:AS$73, AS$74,FALSE),"o")=$D$5,IFERROR(VLOOKUP(VLOOKUP($B37, Dependencies!$B$2:$G$230, 5,FALSE), $B$14:AS$73, AS$74,FALSE),"o")=$D$5,IFERROR(VLOOKUP(VLOOKUP($B37, Dependencies!$B$2:$G$230, 6,FALSE), $B$14:AS$73, AS$74,FALSE),"o")=$D$5),$D$5,AR37)))</f>
        <v>o</v>
      </c>
    </row>
    <row r="38" spans="1:45" x14ac:dyDescent="0.2">
      <c r="A38" s="40"/>
      <c r="B38" s="73" t="str">
        <f>MLEOsv2!A26</f>
        <v>MLEO_01_13</v>
      </c>
      <c r="C38" s="73">
        <f>MLEOsv2!C26</f>
        <v>3</v>
      </c>
      <c r="D38" s="42" t="str">
        <f>MLEOsv2!G26</f>
        <v>implement enumeration types.</v>
      </c>
      <c r="E38" s="51" t="b">
        <f>MLEOsv2!H26</f>
        <v>0</v>
      </c>
      <c r="F38" s="93" t="s">
        <v>320</v>
      </c>
      <c r="G38" s="70" t="str">
        <f>IF(F38=$D$4,F38,IF(OR(IFERROR(VLOOKUP(VLOOKUP($B38, Dependencies!$B$2:$G$230, 2,FALSE),$B$14:G$73, G$74,FALSE),"o")=$D$4,IFERROR(VLOOKUP(VLOOKUP($B38, Dependencies!$B$2:$G$230, 3,FALSE),$B$14:G$73, G$74,FALSE),"o")=$D$4,IFERROR(VLOOKUP(VLOOKUP($B38, Dependencies!$B$2:$G$230, 4,FALSE),$B$14:G$73, G$74,FALSE),"o")=$D$4,IFERROR(VLOOKUP(VLOOKUP($B38, Dependencies!$B$2:$G$230, 5,FALSE),$B$14:G$73, G$74,FALSE),"o")=$D$4,IFERROR(VLOOKUP(VLOOKUP($B38, Dependencies!$B$2:$G$230, 6,FALSE),$B$14:G$73, G$74,FALSE),"o")=$D$4),$D$4,IF(OR(IFERROR(VLOOKUP(VLOOKUP($B38, Dependencies!$B$2:$G$230, 2,FALSE), $B$14:G$73, G$74,FALSE),"o")=$D$5,IFERROR(VLOOKUP(VLOOKUP($B38, Dependencies!$B$2:$G$230, 3,FALSE), $B$14:G$73, G$74,FALSE),"o")=$D$5,IFERROR(VLOOKUP(VLOOKUP($B38, Dependencies!$B$2:$G$230, 4,FALSE), $B$14:G$73, G$74,FALSE),"o")=$D$5,IFERROR(VLOOKUP(VLOOKUP($B38, Dependencies!$B$2:$G$230, 5,FALSE), $B$14:G$73, G$74,FALSE),"o")=$D$5,IFERROR(VLOOKUP(VLOOKUP($B38, Dependencies!$B$2:$G$230, 6,FALSE), $B$14:G$73, G$74,FALSE),"o")=$D$5),$D$5,F38)))</f>
        <v>r</v>
      </c>
      <c r="H38" s="93" t="s">
        <v>321</v>
      </c>
      <c r="I38" s="70" t="str">
        <f>IF(H38=$D$4,H38,IF(OR(IFERROR(VLOOKUP(VLOOKUP($B38, Dependencies!$B$2:$G$230, 2,FALSE),$B$14:I$73, I$74,FALSE),"o")=$D$4,IFERROR(VLOOKUP(VLOOKUP($B38, Dependencies!$B$2:$G$230, 3,FALSE),$B$14:I$73, I$74,FALSE),"o")=$D$4,IFERROR(VLOOKUP(VLOOKUP($B38, Dependencies!$B$2:$G$230, 4,FALSE),$B$14:I$73, I$74,FALSE),"o")=$D$4,IFERROR(VLOOKUP(VLOOKUP($B38, Dependencies!$B$2:$G$230, 5,FALSE),$B$14:I$73, I$74,FALSE),"o")=$D$4,IFERROR(VLOOKUP(VLOOKUP($B38, Dependencies!$B$2:$G$230, 6,FALSE),$B$14:I$73, I$74,FALSE),"o")=$D$4),$D$4,IF(OR(IFERROR(VLOOKUP(VLOOKUP($B38, Dependencies!$B$2:$G$230, 2,FALSE), $B$14:I$73, I$74,FALSE),"o")=$D$5,IFERROR(VLOOKUP(VLOOKUP($B38, Dependencies!$B$2:$G$230, 3,FALSE), $B$14:I$73, I$74,FALSE),"o")=$D$5,IFERROR(VLOOKUP(VLOOKUP($B38, Dependencies!$B$2:$G$230, 4,FALSE), $B$14:I$73, I$74,FALSE),"o")=$D$5,IFERROR(VLOOKUP(VLOOKUP($B38, Dependencies!$B$2:$G$230, 5,FALSE), $B$14:I$73, I$74,FALSE),"o")=$D$5,IFERROR(VLOOKUP(VLOOKUP($B38, Dependencies!$B$2:$G$230, 6,FALSE), $B$14:I$73, I$74,FALSE),"o")=$D$5),$D$5,H38)))</f>
        <v>pr</v>
      </c>
      <c r="J38" s="93" t="s">
        <v>323</v>
      </c>
      <c r="K38" s="70" t="str">
        <f>IF(J38=$D$4,J38,IF(OR(IFERROR(VLOOKUP(VLOOKUP($B38, Dependencies!$B$2:$G$230, 2,FALSE),$B$14:K$73, K$74,FALSE),"o")=$D$4,IFERROR(VLOOKUP(VLOOKUP($B38, Dependencies!$B$2:$G$230, 3,FALSE),$B$14:K$73, K$74,FALSE),"o")=$D$4,IFERROR(VLOOKUP(VLOOKUP($B38, Dependencies!$B$2:$G$230, 4,FALSE),$B$14:K$73, K$74,FALSE),"o")=$D$4,IFERROR(VLOOKUP(VLOOKUP($B38, Dependencies!$B$2:$G$230, 5,FALSE),$B$14:K$73, K$74,FALSE),"o")=$D$4,IFERROR(VLOOKUP(VLOOKUP($B38, Dependencies!$B$2:$G$230, 6,FALSE),$B$14:K$73, K$74,FALSE),"o")=$D$4),$D$4,IF(OR(IFERROR(VLOOKUP(VLOOKUP($B38, Dependencies!$B$2:$G$230, 2,FALSE), $B$14:K$73, K$74,FALSE),"o")=$D$5,IFERROR(VLOOKUP(VLOOKUP($B38, Dependencies!$B$2:$G$230, 3,FALSE), $B$14:K$73, K$74,FALSE),"o")=$D$5,IFERROR(VLOOKUP(VLOOKUP($B38, Dependencies!$B$2:$G$230, 4,FALSE), $B$14:K$73, K$74,FALSE),"o")=$D$5,IFERROR(VLOOKUP(VLOOKUP($B38, Dependencies!$B$2:$G$230, 5,FALSE), $B$14:K$73, K$74,FALSE),"o")=$D$5,IFERROR(VLOOKUP(VLOOKUP($B38, Dependencies!$B$2:$G$230, 6,FALSE), $B$14:K$73, K$74,FALSE),"o")=$D$5),$D$5,J38)))</f>
        <v>o</v>
      </c>
      <c r="L38" s="93" t="s">
        <v>323</v>
      </c>
      <c r="M38" s="70" t="str">
        <f>IF(L38=$D$4,L38,IF(OR(IFERROR(VLOOKUP(VLOOKUP($B38, Dependencies!$B$2:$G$230, 2,FALSE),$B$14:M$73, M$74,FALSE),"o")=$D$4,IFERROR(VLOOKUP(VLOOKUP($B38, Dependencies!$B$2:$G$230, 3,FALSE),$B$14:M$73, M$74,FALSE),"o")=$D$4,IFERROR(VLOOKUP(VLOOKUP($B38, Dependencies!$B$2:$G$230, 4,FALSE),$B$14:M$73, M$74,FALSE),"o")=$D$4,IFERROR(VLOOKUP(VLOOKUP($B38, Dependencies!$B$2:$G$230, 5,FALSE),$B$14:M$73, M$74,FALSE),"o")=$D$4,IFERROR(VLOOKUP(VLOOKUP($B38, Dependencies!$B$2:$G$230, 6,FALSE),$B$14:M$73, M$74,FALSE),"o")=$D$4),$D$4,IF(OR(IFERROR(VLOOKUP(VLOOKUP($B38, Dependencies!$B$2:$G$230, 2,FALSE), $B$14:M$73, M$74,FALSE),"o")=$D$5,IFERROR(VLOOKUP(VLOOKUP($B38, Dependencies!$B$2:$G$230, 3,FALSE), $B$14:M$73, M$74,FALSE),"o")=$D$5,IFERROR(VLOOKUP(VLOOKUP($B38, Dependencies!$B$2:$G$230, 4,FALSE), $B$14:M$73, M$74,FALSE),"o")=$D$5,IFERROR(VLOOKUP(VLOOKUP($B38, Dependencies!$B$2:$G$230, 5,FALSE), $B$14:M$73, M$74,FALSE),"o")=$D$5,IFERROR(VLOOKUP(VLOOKUP($B38, Dependencies!$B$2:$G$230, 6,FALSE), $B$14:M$73, M$74,FALSE),"o")=$D$5),$D$5,L38)))</f>
        <v>o</v>
      </c>
      <c r="N38" s="93" t="s">
        <v>323</v>
      </c>
      <c r="O38" s="70" t="str">
        <f>IF(N38=$D$4,N38,IF(OR(IFERROR(VLOOKUP(VLOOKUP($B38, Dependencies!$B$2:$G$230, 2,FALSE),$B$14:O$73, O$74,FALSE),"o")=$D$4,IFERROR(VLOOKUP(VLOOKUP($B38, Dependencies!$B$2:$G$230, 3,FALSE),$B$14:O$73, O$74,FALSE),"o")=$D$4,IFERROR(VLOOKUP(VLOOKUP($B38, Dependencies!$B$2:$G$230, 4,FALSE),$B$14:O$73, O$74,FALSE),"o")=$D$4,IFERROR(VLOOKUP(VLOOKUP($B38, Dependencies!$B$2:$G$230, 5,FALSE),$B$14:O$73, O$74,FALSE),"o")=$D$4,IFERROR(VLOOKUP(VLOOKUP($B38, Dependencies!$B$2:$G$230, 6,FALSE),$B$14:O$73, O$74,FALSE),"o")=$D$4),$D$4,IF(OR(IFERROR(VLOOKUP(VLOOKUP($B38, Dependencies!$B$2:$G$230, 2,FALSE), $B$14:O$73, O$74,FALSE),"o")=$D$5,IFERROR(VLOOKUP(VLOOKUP($B38, Dependencies!$B$2:$G$230, 3,FALSE), $B$14:O$73, O$74,FALSE),"o")=$D$5,IFERROR(VLOOKUP(VLOOKUP($B38, Dependencies!$B$2:$G$230, 4,FALSE), $B$14:O$73, O$74,FALSE),"o")=$D$5,IFERROR(VLOOKUP(VLOOKUP($B38, Dependencies!$B$2:$G$230, 5,FALSE), $B$14:O$73, O$74,FALSE),"o")=$D$5,IFERROR(VLOOKUP(VLOOKUP($B38, Dependencies!$B$2:$G$230, 6,FALSE), $B$14:O$73, O$74,FALSE),"o")=$D$5),$D$5,N38)))</f>
        <v>o</v>
      </c>
      <c r="P38" s="93" t="s">
        <v>323</v>
      </c>
      <c r="Q38" s="70" t="str">
        <f>IF(P38=$D$4,P38,IF(OR(IFERROR(VLOOKUP(VLOOKUP($B38, Dependencies!$B$2:$G$230, 2,FALSE),$B$14:Q$73, Q$74,FALSE),"o")=$D$4,IFERROR(VLOOKUP(VLOOKUP($B38, Dependencies!$B$2:$G$230, 3,FALSE),$B$14:Q$73, Q$74,FALSE),"o")=$D$4,IFERROR(VLOOKUP(VLOOKUP($B38, Dependencies!$B$2:$G$230, 4,FALSE),$B$14:Q$73, Q$74,FALSE),"o")=$D$4,IFERROR(VLOOKUP(VLOOKUP($B38, Dependencies!$B$2:$G$230, 5,FALSE),$B$14:Q$73, Q$74,FALSE),"o")=$D$4,IFERROR(VLOOKUP(VLOOKUP($B38, Dependencies!$B$2:$G$230, 6,FALSE),$B$14:Q$73, Q$74,FALSE),"o")=$D$4),$D$4,IF(OR(IFERROR(VLOOKUP(VLOOKUP($B38, Dependencies!$B$2:$G$230, 2,FALSE), $B$14:Q$73, Q$74,FALSE),"o")=$D$5,IFERROR(VLOOKUP(VLOOKUP($B38, Dependencies!$B$2:$G$230, 3,FALSE), $B$14:Q$73, Q$74,FALSE),"o")=$D$5,IFERROR(VLOOKUP(VLOOKUP($B38, Dependencies!$B$2:$G$230, 4,FALSE), $B$14:Q$73, Q$74,FALSE),"o")=$D$5,IFERROR(VLOOKUP(VLOOKUP($B38, Dependencies!$B$2:$G$230, 5,FALSE), $B$14:Q$73, Q$74,FALSE),"o")=$D$5,IFERROR(VLOOKUP(VLOOKUP($B38, Dependencies!$B$2:$G$230, 6,FALSE), $B$14:Q$73, Q$74,FALSE),"o")=$D$5),$D$5,P38)))</f>
        <v>o</v>
      </c>
      <c r="R38" s="93" t="s">
        <v>323</v>
      </c>
      <c r="S38" s="70" t="str">
        <f>IF(R38=$D$4,R38,IF(OR(IFERROR(VLOOKUP(VLOOKUP($B38, Dependencies!$B$2:$G$230, 2,FALSE),$B$14:S$73, S$74,FALSE),"o")=$D$4,IFERROR(VLOOKUP(VLOOKUP($B38, Dependencies!$B$2:$G$230, 3,FALSE),$B$14:S$73, S$74,FALSE),"o")=$D$4,IFERROR(VLOOKUP(VLOOKUP($B38, Dependencies!$B$2:$G$230, 4,FALSE),$B$14:S$73, S$74,FALSE),"o")=$D$4,IFERROR(VLOOKUP(VLOOKUP($B38, Dependencies!$B$2:$G$230, 5,FALSE),$B$14:S$73, S$74,FALSE),"o")=$D$4,IFERROR(VLOOKUP(VLOOKUP($B38, Dependencies!$B$2:$G$230, 6,FALSE),$B$14:S$73, S$74,FALSE),"o")=$D$4),$D$4,IF(OR(IFERROR(VLOOKUP(VLOOKUP($B38, Dependencies!$B$2:$G$230, 2,FALSE), $B$14:S$73, S$74,FALSE),"o")=$D$5,IFERROR(VLOOKUP(VLOOKUP($B38, Dependencies!$B$2:$G$230, 3,FALSE), $B$14:S$73, S$74,FALSE),"o")=$D$5,IFERROR(VLOOKUP(VLOOKUP($B38, Dependencies!$B$2:$G$230, 4,FALSE), $B$14:S$73, S$74,FALSE),"o")=$D$5,IFERROR(VLOOKUP(VLOOKUP($B38, Dependencies!$B$2:$G$230, 5,FALSE), $B$14:S$73, S$74,FALSE),"o")=$D$5,IFERROR(VLOOKUP(VLOOKUP($B38, Dependencies!$B$2:$G$230, 6,FALSE), $B$14:S$73, S$74,FALSE),"o")=$D$5),$D$5,R38)))</f>
        <v>o</v>
      </c>
      <c r="T38" s="93" t="s">
        <v>323</v>
      </c>
      <c r="U38" s="70" t="str">
        <f>IF(T38=$D$4,T38,IF(OR(IFERROR(VLOOKUP(VLOOKUP($B38, Dependencies!$B$2:$G$230, 2,FALSE),$B$14:U$73, U$74,FALSE),"o")=$D$4,IFERROR(VLOOKUP(VLOOKUP($B38, Dependencies!$B$2:$G$230, 3,FALSE),$B$14:U$73, U$74,FALSE),"o")=$D$4,IFERROR(VLOOKUP(VLOOKUP($B38, Dependencies!$B$2:$G$230, 4,FALSE),$B$14:U$73, U$74,FALSE),"o")=$D$4,IFERROR(VLOOKUP(VLOOKUP($B38, Dependencies!$B$2:$G$230, 5,FALSE),$B$14:U$73, U$74,FALSE),"o")=$D$4,IFERROR(VLOOKUP(VLOOKUP($B38, Dependencies!$B$2:$G$230, 6,FALSE),$B$14:U$73, U$74,FALSE),"o")=$D$4),$D$4,IF(OR(IFERROR(VLOOKUP(VLOOKUP($B38, Dependencies!$B$2:$G$230, 2,FALSE), $B$14:U$73, U$74,FALSE),"o")=$D$5,IFERROR(VLOOKUP(VLOOKUP($B38, Dependencies!$B$2:$G$230, 3,FALSE), $B$14:U$73, U$74,FALSE),"o")=$D$5,IFERROR(VLOOKUP(VLOOKUP($B38, Dependencies!$B$2:$G$230, 4,FALSE), $B$14:U$73, U$74,FALSE),"o")=$D$5,IFERROR(VLOOKUP(VLOOKUP($B38, Dependencies!$B$2:$G$230, 5,FALSE), $B$14:U$73, U$74,FALSE),"o")=$D$5,IFERROR(VLOOKUP(VLOOKUP($B38, Dependencies!$B$2:$G$230, 6,FALSE), $B$14:U$73, U$74,FALSE),"o")=$D$5),$D$5,T38)))</f>
        <v>o</v>
      </c>
      <c r="V38" s="93" t="s">
        <v>323</v>
      </c>
      <c r="W38" s="70" t="str">
        <f>IF(V38=$D$4,V38,IF(OR(IFERROR(VLOOKUP(VLOOKUP($B38, Dependencies!$B$2:$G$230, 2,FALSE),$B$14:W$73, W$74,FALSE),"o")=$D$4,IFERROR(VLOOKUP(VLOOKUP($B38, Dependencies!$B$2:$G$230, 3,FALSE),$B$14:W$73, W$74,FALSE),"o")=$D$4,IFERROR(VLOOKUP(VLOOKUP($B38, Dependencies!$B$2:$G$230, 4,FALSE),$B$14:W$73, W$74,FALSE),"o")=$D$4,IFERROR(VLOOKUP(VLOOKUP($B38, Dependencies!$B$2:$G$230, 5,FALSE),$B$14:W$73, W$74,FALSE),"o")=$D$4,IFERROR(VLOOKUP(VLOOKUP($B38, Dependencies!$B$2:$G$230, 6,FALSE),$B$14:W$73, W$74,FALSE),"o")=$D$4),$D$4,IF(OR(IFERROR(VLOOKUP(VLOOKUP($B38, Dependencies!$B$2:$G$230, 2,FALSE), $B$14:W$73, W$74,FALSE),"o")=$D$5,IFERROR(VLOOKUP(VLOOKUP($B38, Dependencies!$B$2:$G$230, 3,FALSE), $B$14:W$73, W$74,FALSE),"o")=$D$5,IFERROR(VLOOKUP(VLOOKUP($B38, Dependencies!$B$2:$G$230, 4,FALSE), $B$14:W$73, W$74,FALSE),"o")=$D$5,IFERROR(VLOOKUP(VLOOKUP($B38, Dependencies!$B$2:$G$230, 5,FALSE), $B$14:W$73, W$74,FALSE),"o")=$D$5,IFERROR(VLOOKUP(VLOOKUP($B38, Dependencies!$B$2:$G$230, 6,FALSE), $B$14:W$73, W$74,FALSE),"o")=$D$5),$D$5,V38)))</f>
        <v>o</v>
      </c>
      <c r="X38" s="93" t="s">
        <v>323</v>
      </c>
      <c r="Y38" s="70" t="str">
        <f>IF(X38=$D$4,X38,IF(OR(IFERROR(VLOOKUP(VLOOKUP($B38, Dependencies!$B$2:$G$230, 2,FALSE),$B$14:Y$73, Y$74,FALSE),"o")=$D$4,IFERROR(VLOOKUP(VLOOKUP($B38, Dependencies!$B$2:$G$230, 3,FALSE),$B$14:Y$73, Y$74,FALSE),"o")=$D$4,IFERROR(VLOOKUP(VLOOKUP($B38, Dependencies!$B$2:$G$230, 4,FALSE),$B$14:Y$73, Y$74,FALSE),"o")=$D$4,IFERROR(VLOOKUP(VLOOKUP($B38, Dependencies!$B$2:$G$230, 5,FALSE),$B$14:Y$73, Y$74,FALSE),"o")=$D$4,IFERROR(VLOOKUP(VLOOKUP($B38, Dependencies!$B$2:$G$230, 6,FALSE),$B$14:Y$73, Y$74,FALSE),"o")=$D$4),$D$4,IF(OR(IFERROR(VLOOKUP(VLOOKUP($B38, Dependencies!$B$2:$G$230, 2,FALSE), $B$14:Y$73, Y$74,FALSE),"o")=$D$5,IFERROR(VLOOKUP(VLOOKUP($B38, Dependencies!$B$2:$G$230, 3,FALSE), $B$14:Y$73, Y$74,FALSE),"o")=$D$5,IFERROR(VLOOKUP(VLOOKUP($B38, Dependencies!$B$2:$G$230, 4,FALSE), $B$14:Y$73, Y$74,FALSE),"o")=$D$5,IFERROR(VLOOKUP(VLOOKUP($B38, Dependencies!$B$2:$G$230, 5,FALSE), $B$14:Y$73, Y$74,FALSE),"o")=$D$5,IFERROR(VLOOKUP(VLOOKUP($B38, Dependencies!$B$2:$G$230, 6,FALSE), $B$14:Y$73, Y$74,FALSE),"o")=$D$5),$D$5,X38)))</f>
        <v>o</v>
      </c>
      <c r="Z38" s="93" t="s">
        <v>323</v>
      </c>
      <c r="AA38" s="70" t="str">
        <f>IF(Z38=$D$4,Z38,IF(OR(IFERROR(VLOOKUP(VLOOKUP($B38, Dependencies!$B$2:$G$230, 2,FALSE),$B$14:AA$73, AA$74,FALSE),"o")=$D$4,IFERROR(VLOOKUP(VLOOKUP($B38, Dependencies!$B$2:$G$230, 3,FALSE),$B$14:AA$73, AA$74,FALSE),"o")=$D$4,IFERROR(VLOOKUP(VLOOKUP($B38, Dependencies!$B$2:$G$230, 4,FALSE),$B$14:AA$73, AA$74,FALSE),"o")=$D$4,IFERROR(VLOOKUP(VLOOKUP($B38, Dependencies!$B$2:$G$230, 5,FALSE),$B$14:AA$73, AA$74,FALSE),"o")=$D$4,IFERROR(VLOOKUP(VLOOKUP($B38, Dependencies!$B$2:$G$230, 6,FALSE),$B$14:AA$73, AA$74,FALSE),"o")=$D$4),$D$4,IF(OR(IFERROR(VLOOKUP(VLOOKUP($B38, Dependencies!$B$2:$G$230, 2,FALSE), $B$14:AA$73, AA$74,FALSE),"o")=$D$5,IFERROR(VLOOKUP(VLOOKUP($B38, Dependencies!$B$2:$G$230, 3,FALSE), $B$14:AA$73, AA$74,FALSE),"o")=$D$5,IFERROR(VLOOKUP(VLOOKUP($B38, Dependencies!$B$2:$G$230, 4,FALSE), $B$14:AA$73, AA$74,FALSE),"o")=$D$5,IFERROR(VLOOKUP(VLOOKUP($B38, Dependencies!$B$2:$G$230, 5,FALSE), $B$14:AA$73, AA$74,FALSE),"o")=$D$5,IFERROR(VLOOKUP(VLOOKUP($B38, Dependencies!$B$2:$G$230, 6,FALSE), $B$14:AA$73, AA$74,FALSE),"o")=$D$5),$D$5,Z38)))</f>
        <v>o</v>
      </c>
      <c r="AB38" s="93" t="s">
        <v>323</v>
      </c>
      <c r="AC38" s="70" t="str">
        <f>IF(AB38=$D$4,AB38,IF(OR(IFERROR(VLOOKUP(VLOOKUP($B38, Dependencies!$B$2:$G$230, 2,FALSE),$B$14:AC$73, AC$74,FALSE),"o")=$D$4,IFERROR(VLOOKUP(VLOOKUP($B38, Dependencies!$B$2:$G$230, 3,FALSE),$B$14:AC$73, AC$74,FALSE),"o")=$D$4,IFERROR(VLOOKUP(VLOOKUP($B38, Dependencies!$B$2:$G$230, 4,FALSE),$B$14:AC$73, AC$74,FALSE),"o")=$D$4,IFERROR(VLOOKUP(VLOOKUP($B38, Dependencies!$B$2:$G$230, 5,FALSE),$B$14:AC$73, AC$74,FALSE),"o")=$D$4,IFERROR(VLOOKUP(VLOOKUP($B38, Dependencies!$B$2:$G$230, 6,FALSE),$B$14:AC$73, AC$74,FALSE),"o")=$D$4),$D$4,IF(OR(IFERROR(VLOOKUP(VLOOKUP($B38, Dependencies!$B$2:$G$230, 2,FALSE), $B$14:AC$73, AC$74,FALSE),"o")=$D$5,IFERROR(VLOOKUP(VLOOKUP($B38, Dependencies!$B$2:$G$230, 3,FALSE), $B$14:AC$73, AC$74,FALSE),"o")=$D$5,IFERROR(VLOOKUP(VLOOKUP($B38, Dependencies!$B$2:$G$230, 4,FALSE), $B$14:AC$73, AC$74,FALSE),"o")=$D$5,IFERROR(VLOOKUP(VLOOKUP($B38, Dependencies!$B$2:$G$230, 5,FALSE), $B$14:AC$73, AC$74,FALSE),"o")=$D$5,IFERROR(VLOOKUP(VLOOKUP($B38, Dependencies!$B$2:$G$230, 6,FALSE), $B$14:AC$73, AC$74,FALSE),"o")=$D$5),$D$5,AB38)))</f>
        <v>o</v>
      </c>
      <c r="AD38" s="93" t="s">
        <v>323</v>
      </c>
      <c r="AE38" s="70" t="str">
        <f>IF(AD38=$D$4,AD38,IF(OR(IFERROR(VLOOKUP(VLOOKUP($B38, Dependencies!$B$2:$G$230, 2,FALSE),$B$14:AE$73, AE$74,FALSE),"o")=$D$4,IFERROR(VLOOKUP(VLOOKUP($B38, Dependencies!$B$2:$G$230, 3,FALSE),$B$14:AE$73, AE$74,FALSE),"o")=$D$4,IFERROR(VLOOKUP(VLOOKUP($B38, Dependencies!$B$2:$G$230, 4,FALSE),$B$14:AE$73, AE$74,FALSE),"o")=$D$4,IFERROR(VLOOKUP(VLOOKUP($B38, Dependencies!$B$2:$G$230, 5,FALSE),$B$14:AE$73, AE$74,FALSE),"o")=$D$4,IFERROR(VLOOKUP(VLOOKUP($B38, Dependencies!$B$2:$G$230, 6,FALSE),$B$14:AE$73, AE$74,FALSE),"o")=$D$4),$D$4,IF(OR(IFERROR(VLOOKUP(VLOOKUP($B38, Dependencies!$B$2:$G$230, 2,FALSE), $B$14:AE$73, AE$74,FALSE),"o")=$D$5,IFERROR(VLOOKUP(VLOOKUP($B38, Dependencies!$B$2:$G$230, 3,FALSE), $B$14:AE$73, AE$74,FALSE),"o")=$D$5,IFERROR(VLOOKUP(VLOOKUP($B38, Dependencies!$B$2:$G$230, 4,FALSE), $B$14:AE$73, AE$74,FALSE),"o")=$D$5,IFERROR(VLOOKUP(VLOOKUP($B38, Dependencies!$B$2:$G$230, 5,FALSE), $B$14:AE$73, AE$74,FALSE),"o")=$D$5,IFERROR(VLOOKUP(VLOOKUP($B38, Dependencies!$B$2:$G$230, 6,FALSE), $B$14:AE$73, AE$74,FALSE),"o")=$D$5),$D$5,AD38)))</f>
        <v>o</v>
      </c>
      <c r="AF38" s="93" t="s">
        <v>323</v>
      </c>
      <c r="AG38" s="70" t="str">
        <f>IF(AF38=$D$4,AF38,IF(OR(IFERROR(VLOOKUP(VLOOKUP($B38, Dependencies!$B$2:$G$230, 2,FALSE),$B$14:AG$73, AG$74,FALSE),"o")=$D$4,IFERROR(VLOOKUP(VLOOKUP($B38, Dependencies!$B$2:$G$230, 3,FALSE),$B$14:AG$73, AG$74,FALSE),"o")=$D$4,IFERROR(VLOOKUP(VLOOKUP($B38, Dependencies!$B$2:$G$230, 4,FALSE),$B$14:AG$73, AG$74,FALSE),"o")=$D$4,IFERROR(VLOOKUP(VLOOKUP($B38, Dependencies!$B$2:$G$230, 5,FALSE),$B$14:AG$73, AG$74,FALSE),"o")=$D$4,IFERROR(VLOOKUP(VLOOKUP($B38, Dependencies!$B$2:$G$230, 6,FALSE),$B$14:AG$73, AG$74,FALSE),"o")=$D$4),$D$4,IF(OR(IFERROR(VLOOKUP(VLOOKUP($B38, Dependencies!$B$2:$G$230, 2,FALSE), $B$14:AG$73, AG$74,FALSE),"o")=$D$5,IFERROR(VLOOKUP(VLOOKUP($B38, Dependencies!$B$2:$G$230, 3,FALSE), $B$14:AG$73, AG$74,FALSE),"o")=$D$5,IFERROR(VLOOKUP(VLOOKUP($B38, Dependencies!$B$2:$G$230, 4,FALSE), $B$14:AG$73, AG$74,FALSE),"o")=$D$5,IFERROR(VLOOKUP(VLOOKUP($B38, Dependencies!$B$2:$G$230, 5,FALSE), $B$14:AG$73, AG$74,FALSE),"o")=$D$5,IFERROR(VLOOKUP(VLOOKUP($B38, Dependencies!$B$2:$G$230, 6,FALSE), $B$14:AG$73, AG$74,FALSE),"o")=$D$5),$D$5,AF38)))</f>
        <v>o</v>
      </c>
      <c r="AH38" s="93" t="s">
        <v>323</v>
      </c>
      <c r="AI38" s="70" t="str">
        <f>IF(AH38=$D$4,AH38,IF(OR(IFERROR(VLOOKUP(VLOOKUP($B38, Dependencies!$B$2:$G$230, 2,FALSE),$B$14:AI$73, AI$74,FALSE),"o")=$D$4,IFERROR(VLOOKUP(VLOOKUP($B38, Dependencies!$B$2:$G$230, 3,FALSE),$B$14:AI$73, AI$74,FALSE),"o")=$D$4,IFERROR(VLOOKUP(VLOOKUP($B38, Dependencies!$B$2:$G$230, 4,FALSE),$B$14:AI$73, AI$74,FALSE),"o")=$D$4,IFERROR(VLOOKUP(VLOOKUP($B38, Dependencies!$B$2:$G$230, 5,FALSE),$B$14:AI$73, AI$74,FALSE),"o")=$D$4,IFERROR(VLOOKUP(VLOOKUP($B38, Dependencies!$B$2:$G$230, 6,FALSE),$B$14:AI$73, AI$74,FALSE),"o")=$D$4),$D$4,IF(OR(IFERROR(VLOOKUP(VLOOKUP($B38, Dependencies!$B$2:$G$230, 2,FALSE), $B$14:AI$73, AI$74,FALSE),"o")=$D$5,IFERROR(VLOOKUP(VLOOKUP($B38, Dependencies!$B$2:$G$230, 3,FALSE), $B$14:AI$73, AI$74,FALSE),"o")=$D$5,IFERROR(VLOOKUP(VLOOKUP($B38, Dependencies!$B$2:$G$230, 4,FALSE), $B$14:AI$73, AI$74,FALSE),"o")=$D$5,IFERROR(VLOOKUP(VLOOKUP($B38, Dependencies!$B$2:$G$230, 5,FALSE), $B$14:AI$73, AI$74,FALSE),"o")=$D$5,IFERROR(VLOOKUP(VLOOKUP($B38, Dependencies!$B$2:$G$230, 6,FALSE), $B$14:AI$73, AI$74,FALSE),"o")=$D$5),$D$5,AH38)))</f>
        <v>o</v>
      </c>
      <c r="AJ38" s="93" t="s">
        <v>323</v>
      </c>
      <c r="AK38" s="70" t="str">
        <f>IF(AJ38=$D$4,AJ38,IF(OR(IFERROR(VLOOKUP(VLOOKUP($B38, Dependencies!$B$2:$G$230, 2,FALSE),$B$14:AK$73, AK$74,FALSE),"o")=$D$4,IFERROR(VLOOKUP(VLOOKUP($B38, Dependencies!$B$2:$G$230, 3,FALSE),$B$14:AK$73, AK$74,FALSE),"o")=$D$4,IFERROR(VLOOKUP(VLOOKUP($B38, Dependencies!$B$2:$G$230, 4,FALSE),$B$14:AK$73, AK$74,FALSE),"o")=$D$4,IFERROR(VLOOKUP(VLOOKUP($B38, Dependencies!$B$2:$G$230, 5,FALSE),$B$14:AK$73, AK$74,FALSE),"o")=$D$4,IFERROR(VLOOKUP(VLOOKUP($B38, Dependencies!$B$2:$G$230, 6,FALSE),$B$14:AK$73, AK$74,FALSE),"o")=$D$4),$D$4,IF(OR(IFERROR(VLOOKUP(VLOOKUP($B38, Dependencies!$B$2:$G$230, 2,FALSE), $B$14:AK$73, AK$74,FALSE),"o")=$D$5,IFERROR(VLOOKUP(VLOOKUP($B38, Dependencies!$B$2:$G$230, 3,FALSE), $B$14:AK$73, AK$74,FALSE),"o")=$D$5,IFERROR(VLOOKUP(VLOOKUP($B38, Dependencies!$B$2:$G$230, 4,FALSE), $B$14:AK$73, AK$74,FALSE),"o")=$D$5,IFERROR(VLOOKUP(VLOOKUP($B38, Dependencies!$B$2:$G$230, 5,FALSE), $B$14:AK$73, AK$74,FALSE),"o")=$D$5,IFERROR(VLOOKUP(VLOOKUP($B38, Dependencies!$B$2:$G$230, 6,FALSE), $B$14:AK$73, AK$74,FALSE),"o")=$D$5),$D$5,AJ38)))</f>
        <v>o</v>
      </c>
      <c r="AL38" s="93" t="s">
        <v>323</v>
      </c>
      <c r="AM38" s="70" t="str">
        <f>IF(AL38=$D$4,AL38,IF(OR(IFERROR(VLOOKUP(VLOOKUP($B38, Dependencies!$B$2:$G$230, 2,FALSE),$B$14:AM$73, AM$74,FALSE),"o")=$D$4,IFERROR(VLOOKUP(VLOOKUP($B38, Dependencies!$B$2:$G$230, 3,FALSE),$B$14:AM$73, AM$74,FALSE),"o")=$D$4,IFERROR(VLOOKUP(VLOOKUP($B38, Dependencies!$B$2:$G$230, 4,FALSE),$B$14:AM$73, AM$74,FALSE),"o")=$D$4,IFERROR(VLOOKUP(VLOOKUP($B38, Dependencies!$B$2:$G$230, 5,FALSE),$B$14:AM$73, AM$74,FALSE),"o")=$D$4,IFERROR(VLOOKUP(VLOOKUP($B38, Dependencies!$B$2:$G$230, 6,FALSE),$B$14:AM$73, AM$74,FALSE),"o")=$D$4),$D$4,IF(OR(IFERROR(VLOOKUP(VLOOKUP($B38, Dependencies!$B$2:$G$230, 2,FALSE), $B$14:AM$73, AM$74,FALSE),"o")=$D$5,IFERROR(VLOOKUP(VLOOKUP($B38, Dependencies!$B$2:$G$230, 3,FALSE), $B$14:AM$73, AM$74,FALSE),"o")=$D$5,IFERROR(VLOOKUP(VLOOKUP($B38, Dependencies!$B$2:$G$230, 4,FALSE), $B$14:AM$73, AM$74,FALSE),"o")=$D$5,IFERROR(VLOOKUP(VLOOKUP($B38, Dependencies!$B$2:$G$230, 5,FALSE), $B$14:AM$73, AM$74,FALSE),"o")=$D$5,IFERROR(VLOOKUP(VLOOKUP($B38, Dependencies!$B$2:$G$230, 6,FALSE), $B$14:AM$73, AM$74,FALSE),"o")=$D$5),$D$5,AL38)))</f>
        <v>o</v>
      </c>
      <c r="AN38" s="93" t="s">
        <v>323</v>
      </c>
      <c r="AO38" s="70" t="str">
        <f>IF(AN38=$D$4,AN38,IF(OR(IFERROR(VLOOKUP(VLOOKUP($B38, Dependencies!$B$2:$G$230, 2,FALSE),$B$14:AO$73, AO$74,FALSE),"o")=$D$4,IFERROR(VLOOKUP(VLOOKUP($B38, Dependencies!$B$2:$G$230, 3,FALSE),$B$14:AO$73, AO$74,FALSE),"o")=$D$4,IFERROR(VLOOKUP(VLOOKUP($B38, Dependencies!$B$2:$G$230, 4,FALSE),$B$14:AO$73, AO$74,FALSE),"o")=$D$4,IFERROR(VLOOKUP(VLOOKUP($B38, Dependencies!$B$2:$G$230, 5,FALSE),$B$14:AO$73, AO$74,FALSE),"o")=$D$4,IFERROR(VLOOKUP(VLOOKUP($B38, Dependencies!$B$2:$G$230, 6,FALSE),$B$14:AO$73, AO$74,FALSE),"o")=$D$4),$D$4,IF(OR(IFERROR(VLOOKUP(VLOOKUP($B38, Dependencies!$B$2:$G$230, 2,FALSE), $B$14:AO$73, AO$74,FALSE),"o")=$D$5,IFERROR(VLOOKUP(VLOOKUP($B38, Dependencies!$B$2:$G$230, 3,FALSE), $B$14:AO$73, AO$74,FALSE),"o")=$D$5,IFERROR(VLOOKUP(VLOOKUP($B38, Dependencies!$B$2:$G$230, 4,FALSE), $B$14:AO$73, AO$74,FALSE),"o")=$D$5,IFERROR(VLOOKUP(VLOOKUP($B38, Dependencies!$B$2:$G$230, 5,FALSE), $B$14:AO$73, AO$74,FALSE),"o")=$D$5,IFERROR(VLOOKUP(VLOOKUP($B38, Dependencies!$B$2:$G$230, 6,FALSE), $B$14:AO$73, AO$74,FALSE),"o")=$D$5),$D$5,AN38)))</f>
        <v>o</v>
      </c>
      <c r="AP38" s="93" t="s">
        <v>323</v>
      </c>
      <c r="AQ38" s="70" t="str">
        <f>IF(AP38=$D$4,AP38,IF(OR(IFERROR(VLOOKUP(VLOOKUP($B38, Dependencies!$B$2:$G$230, 2,FALSE),$B$14:AQ$73, AQ$74,FALSE),"o")=$D$4,IFERROR(VLOOKUP(VLOOKUP($B38, Dependencies!$B$2:$G$230, 3,FALSE),$B$14:AQ$73, AQ$74,FALSE),"o")=$D$4,IFERROR(VLOOKUP(VLOOKUP($B38, Dependencies!$B$2:$G$230, 4,FALSE),$B$14:AQ$73, AQ$74,FALSE),"o")=$D$4,IFERROR(VLOOKUP(VLOOKUP($B38, Dependencies!$B$2:$G$230, 5,FALSE),$B$14:AQ$73, AQ$74,FALSE),"o")=$D$4,IFERROR(VLOOKUP(VLOOKUP($B38, Dependencies!$B$2:$G$230, 6,FALSE),$B$14:AQ$73, AQ$74,FALSE),"o")=$D$4),$D$4,IF(OR(IFERROR(VLOOKUP(VLOOKUP($B38, Dependencies!$B$2:$G$230, 2,FALSE), $B$14:AQ$73, AQ$74,FALSE),"o")=$D$5,IFERROR(VLOOKUP(VLOOKUP($B38, Dependencies!$B$2:$G$230, 3,FALSE), $B$14:AQ$73, AQ$74,FALSE),"o")=$D$5,IFERROR(VLOOKUP(VLOOKUP($B38, Dependencies!$B$2:$G$230, 4,FALSE), $B$14:AQ$73, AQ$74,FALSE),"o")=$D$5,IFERROR(VLOOKUP(VLOOKUP($B38, Dependencies!$B$2:$G$230, 5,FALSE), $B$14:AQ$73, AQ$74,FALSE),"o")=$D$5,IFERROR(VLOOKUP(VLOOKUP($B38, Dependencies!$B$2:$G$230, 6,FALSE), $B$14:AQ$73, AQ$74,FALSE),"o")=$D$5),$D$5,AP38)))</f>
        <v>o</v>
      </c>
      <c r="AR38" s="93" t="s">
        <v>323</v>
      </c>
      <c r="AS38" s="69" t="str">
        <f>IF(AR38=$D$4,AR38,IF(OR(IFERROR(VLOOKUP(VLOOKUP($B38, Dependencies!$B$2:$G$230, 2,FALSE),$B$14:AS$73, AS$74,FALSE),"o")=$D$4,IFERROR(VLOOKUP(VLOOKUP($B38, Dependencies!$B$2:$G$230, 3,FALSE),$B$14:AS$73, AS$74,FALSE),"o")=$D$4,IFERROR(VLOOKUP(VLOOKUP($B38, Dependencies!$B$2:$G$230, 4,FALSE),$B$14:AS$73, AS$74,FALSE),"o")=$D$4,IFERROR(VLOOKUP(VLOOKUP($B38, Dependencies!$B$2:$G$230, 5,FALSE),$B$14:AS$73, AS$74,FALSE),"o")=$D$4,IFERROR(VLOOKUP(VLOOKUP($B38, Dependencies!$B$2:$G$230, 6,FALSE),$B$14:AS$73, AS$74,FALSE),"o")=$D$4),$D$4,IF(OR(IFERROR(VLOOKUP(VLOOKUP($B38, Dependencies!$B$2:$G$230, 2,FALSE), $B$14:AS$73, AS$74,FALSE),"o")=$D$5,IFERROR(VLOOKUP(VLOOKUP($B38, Dependencies!$B$2:$G$230, 3,FALSE), $B$14:AS$73, AS$74,FALSE),"o")=$D$5,IFERROR(VLOOKUP(VLOOKUP($B38, Dependencies!$B$2:$G$230, 4,FALSE), $B$14:AS$73, AS$74,FALSE),"o")=$D$5,IFERROR(VLOOKUP(VLOOKUP($B38, Dependencies!$B$2:$G$230, 5,FALSE), $B$14:AS$73, AS$74,FALSE),"o")=$D$5,IFERROR(VLOOKUP(VLOOKUP($B38, Dependencies!$B$2:$G$230, 6,FALSE), $B$14:AS$73, AS$74,FALSE),"o")=$D$5),$D$5,AR38)))</f>
        <v>o</v>
      </c>
    </row>
    <row r="39" spans="1:45" x14ac:dyDescent="0.2">
      <c r="A39" s="40"/>
      <c r="B39" s="74" t="str">
        <f>MLEOsv2!A27</f>
        <v>MLEO_01_14</v>
      </c>
      <c r="C39" s="74">
        <f>MLEOsv2!C27</f>
        <v>3</v>
      </c>
      <c r="D39" s="44" t="str">
        <f>MLEOsv2!G27</f>
        <v>implement and use static and final attributes and methods.</v>
      </c>
      <c r="E39" s="68" t="b">
        <f>MLEOsv2!H27</f>
        <v>0</v>
      </c>
      <c r="F39" s="94" t="s">
        <v>320</v>
      </c>
      <c r="G39" s="72" t="str">
        <f>IF(F39=$D$4,F39,IF(OR(IFERROR(VLOOKUP(VLOOKUP($B39, Dependencies!$B$2:$G$230, 2,FALSE),$B$14:G$73, G$74,FALSE),"o")=$D$4,IFERROR(VLOOKUP(VLOOKUP($B39, Dependencies!$B$2:$G$230, 3,FALSE),$B$14:G$73, G$74,FALSE),"o")=$D$4,IFERROR(VLOOKUP(VLOOKUP($B39, Dependencies!$B$2:$G$230, 4,FALSE),$B$14:G$73, G$74,FALSE),"o")=$D$4,IFERROR(VLOOKUP(VLOOKUP($B39, Dependencies!$B$2:$G$230, 5,FALSE),$B$14:G$73, G$74,FALSE),"o")=$D$4,IFERROR(VLOOKUP(VLOOKUP($B39, Dependencies!$B$2:$G$230, 6,FALSE),$B$14:G$73, G$74,FALSE),"o")=$D$4),$D$4,IF(OR(IFERROR(VLOOKUP(VLOOKUP($B39, Dependencies!$B$2:$G$230, 2,FALSE), $B$14:G$73, G$74,FALSE),"o")=$D$5,IFERROR(VLOOKUP(VLOOKUP($B39, Dependencies!$B$2:$G$230, 3,FALSE), $B$14:G$73, G$74,FALSE),"o")=$D$5,IFERROR(VLOOKUP(VLOOKUP($B39, Dependencies!$B$2:$G$230, 4,FALSE), $B$14:G$73, G$74,FALSE),"o")=$D$5,IFERROR(VLOOKUP(VLOOKUP($B39, Dependencies!$B$2:$G$230, 5,FALSE), $B$14:G$73, G$74,FALSE),"o")=$D$5,IFERROR(VLOOKUP(VLOOKUP($B39, Dependencies!$B$2:$G$230, 6,FALSE), $B$14:G$73, G$74,FALSE),"o")=$D$5),$D$5,F39)))</f>
        <v>r</v>
      </c>
      <c r="H39" s="94" t="s">
        <v>321</v>
      </c>
      <c r="I39" s="72" t="str">
        <f>IF(H39=$D$4,H39,IF(OR(IFERROR(VLOOKUP(VLOOKUP($B39, Dependencies!$B$2:$G$230, 2,FALSE),$B$14:I$73, I$74,FALSE),"o")=$D$4,IFERROR(VLOOKUP(VLOOKUP($B39, Dependencies!$B$2:$G$230, 3,FALSE),$B$14:I$73, I$74,FALSE),"o")=$D$4,IFERROR(VLOOKUP(VLOOKUP($B39, Dependencies!$B$2:$G$230, 4,FALSE),$B$14:I$73, I$74,FALSE),"o")=$D$4,IFERROR(VLOOKUP(VLOOKUP($B39, Dependencies!$B$2:$G$230, 5,FALSE),$B$14:I$73, I$74,FALSE),"o")=$D$4,IFERROR(VLOOKUP(VLOOKUP($B39, Dependencies!$B$2:$G$230, 6,FALSE),$B$14:I$73, I$74,FALSE),"o")=$D$4),$D$4,IF(OR(IFERROR(VLOOKUP(VLOOKUP($B39, Dependencies!$B$2:$G$230, 2,FALSE), $B$14:I$73, I$74,FALSE),"o")=$D$5,IFERROR(VLOOKUP(VLOOKUP($B39, Dependencies!$B$2:$G$230, 3,FALSE), $B$14:I$73, I$74,FALSE),"o")=$D$5,IFERROR(VLOOKUP(VLOOKUP($B39, Dependencies!$B$2:$G$230, 4,FALSE), $B$14:I$73, I$74,FALSE),"o")=$D$5,IFERROR(VLOOKUP(VLOOKUP($B39, Dependencies!$B$2:$G$230, 5,FALSE), $B$14:I$73, I$74,FALSE),"o")=$D$5,IFERROR(VLOOKUP(VLOOKUP($B39, Dependencies!$B$2:$G$230, 6,FALSE), $B$14:I$73, I$74,FALSE),"o")=$D$5),$D$5,H39)))</f>
        <v>pr</v>
      </c>
      <c r="J39" s="94" t="s">
        <v>323</v>
      </c>
      <c r="K39" s="72" t="str">
        <f>IF(J39=$D$4,J39,IF(OR(IFERROR(VLOOKUP(VLOOKUP($B39, Dependencies!$B$2:$G$230, 2,FALSE),$B$14:K$73, K$74,FALSE),"o")=$D$4,IFERROR(VLOOKUP(VLOOKUP($B39, Dependencies!$B$2:$G$230, 3,FALSE),$B$14:K$73, K$74,FALSE),"o")=$D$4,IFERROR(VLOOKUP(VLOOKUP($B39, Dependencies!$B$2:$G$230, 4,FALSE),$B$14:K$73, K$74,FALSE),"o")=$D$4,IFERROR(VLOOKUP(VLOOKUP($B39, Dependencies!$B$2:$G$230, 5,FALSE),$B$14:K$73, K$74,FALSE),"o")=$D$4,IFERROR(VLOOKUP(VLOOKUP($B39, Dependencies!$B$2:$G$230, 6,FALSE),$B$14:K$73, K$74,FALSE),"o")=$D$4),$D$4,IF(OR(IFERROR(VLOOKUP(VLOOKUP($B39, Dependencies!$B$2:$G$230, 2,FALSE), $B$14:K$73, K$74,FALSE),"o")=$D$5,IFERROR(VLOOKUP(VLOOKUP($B39, Dependencies!$B$2:$G$230, 3,FALSE), $B$14:K$73, K$74,FALSE),"o")=$D$5,IFERROR(VLOOKUP(VLOOKUP($B39, Dependencies!$B$2:$G$230, 4,FALSE), $B$14:K$73, K$74,FALSE),"o")=$D$5,IFERROR(VLOOKUP(VLOOKUP($B39, Dependencies!$B$2:$G$230, 5,FALSE), $B$14:K$73, K$74,FALSE),"o")=$D$5,IFERROR(VLOOKUP(VLOOKUP($B39, Dependencies!$B$2:$G$230, 6,FALSE), $B$14:K$73, K$74,FALSE),"o")=$D$5),$D$5,J39)))</f>
        <v>o</v>
      </c>
      <c r="L39" s="94" t="s">
        <v>323</v>
      </c>
      <c r="M39" s="72" t="str">
        <f>IF(L39=$D$4,L39,IF(OR(IFERROR(VLOOKUP(VLOOKUP($B39, Dependencies!$B$2:$G$230, 2,FALSE),$B$14:M$73, M$74,FALSE),"o")=$D$4,IFERROR(VLOOKUP(VLOOKUP($B39, Dependencies!$B$2:$G$230, 3,FALSE),$B$14:M$73, M$74,FALSE),"o")=$D$4,IFERROR(VLOOKUP(VLOOKUP($B39, Dependencies!$B$2:$G$230, 4,FALSE),$B$14:M$73, M$74,FALSE),"o")=$D$4,IFERROR(VLOOKUP(VLOOKUP($B39, Dependencies!$B$2:$G$230, 5,FALSE),$B$14:M$73, M$74,FALSE),"o")=$D$4,IFERROR(VLOOKUP(VLOOKUP($B39, Dependencies!$B$2:$G$230, 6,FALSE),$B$14:M$73, M$74,FALSE),"o")=$D$4),$D$4,IF(OR(IFERROR(VLOOKUP(VLOOKUP($B39, Dependencies!$B$2:$G$230, 2,FALSE), $B$14:M$73, M$74,FALSE),"o")=$D$5,IFERROR(VLOOKUP(VLOOKUP($B39, Dependencies!$B$2:$G$230, 3,FALSE), $B$14:M$73, M$74,FALSE),"o")=$D$5,IFERROR(VLOOKUP(VLOOKUP($B39, Dependencies!$B$2:$G$230, 4,FALSE), $B$14:M$73, M$74,FALSE),"o")=$D$5,IFERROR(VLOOKUP(VLOOKUP($B39, Dependencies!$B$2:$G$230, 5,FALSE), $B$14:M$73, M$74,FALSE),"o")=$D$5,IFERROR(VLOOKUP(VLOOKUP($B39, Dependencies!$B$2:$G$230, 6,FALSE), $B$14:M$73, M$74,FALSE),"o")=$D$5),$D$5,L39)))</f>
        <v>o</v>
      </c>
      <c r="N39" s="94" t="s">
        <v>323</v>
      </c>
      <c r="O39" s="72" t="str">
        <f>IF(N39=$D$4,N39,IF(OR(IFERROR(VLOOKUP(VLOOKUP($B39, Dependencies!$B$2:$G$230, 2,FALSE),$B$14:O$73, O$74,FALSE),"o")=$D$4,IFERROR(VLOOKUP(VLOOKUP($B39, Dependencies!$B$2:$G$230, 3,FALSE),$B$14:O$73, O$74,FALSE),"o")=$D$4,IFERROR(VLOOKUP(VLOOKUP($B39, Dependencies!$B$2:$G$230, 4,FALSE),$B$14:O$73, O$74,FALSE),"o")=$D$4,IFERROR(VLOOKUP(VLOOKUP($B39, Dependencies!$B$2:$G$230, 5,FALSE),$B$14:O$73, O$74,FALSE),"o")=$D$4,IFERROR(VLOOKUP(VLOOKUP($B39, Dependencies!$B$2:$G$230, 6,FALSE),$B$14:O$73, O$74,FALSE),"o")=$D$4),$D$4,IF(OR(IFERROR(VLOOKUP(VLOOKUP($B39, Dependencies!$B$2:$G$230, 2,FALSE), $B$14:O$73, O$74,FALSE),"o")=$D$5,IFERROR(VLOOKUP(VLOOKUP($B39, Dependencies!$B$2:$G$230, 3,FALSE), $B$14:O$73, O$74,FALSE),"o")=$D$5,IFERROR(VLOOKUP(VLOOKUP($B39, Dependencies!$B$2:$G$230, 4,FALSE), $B$14:O$73, O$74,FALSE),"o")=$D$5,IFERROR(VLOOKUP(VLOOKUP($B39, Dependencies!$B$2:$G$230, 5,FALSE), $B$14:O$73, O$74,FALSE),"o")=$D$5,IFERROR(VLOOKUP(VLOOKUP($B39, Dependencies!$B$2:$G$230, 6,FALSE), $B$14:O$73, O$74,FALSE),"o")=$D$5),$D$5,N39)))</f>
        <v>o</v>
      </c>
      <c r="P39" s="94" t="s">
        <v>323</v>
      </c>
      <c r="Q39" s="72" t="str">
        <f>IF(P39=$D$4,P39,IF(OR(IFERROR(VLOOKUP(VLOOKUP($B39, Dependencies!$B$2:$G$230, 2,FALSE),$B$14:Q$73, Q$74,FALSE),"o")=$D$4,IFERROR(VLOOKUP(VLOOKUP($B39, Dependencies!$B$2:$G$230, 3,FALSE),$B$14:Q$73, Q$74,FALSE),"o")=$D$4,IFERROR(VLOOKUP(VLOOKUP($B39, Dependencies!$B$2:$G$230, 4,FALSE),$B$14:Q$73, Q$74,FALSE),"o")=$D$4,IFERROR(VLOOKUP(VLOOKUP($B39, Dependencies!$B$2:$G$230, 5,FALSE),$B$14:Q$73, Q$74,FALSE),"o")=$D$4,IFERROR(VLOOKUP(VLOOKUP($B39, Dependencies!$B$2:$G$230, 6,FALSE),$B$14:Q$73, Q$74,FALSE),"o")=$D$4),$D$4,IF(OR(IFERROR(VLOOKUP(VLOOKUP($B39, Dependencies!$B$2:$G$230, 2,FALSE), $B$14:Q$73, Q$74,FALSE),"o")=$D$5,IFERROR(VLOOKUP(VLOOKUP($B39, Dependencies!$B$2:$G$230, 3,FALSE), $B$14:Q$73, Q$74,FALSE),"o")=$D$5,IFERROR(VLOOKUP(VLOOKUP($B39, Dependencies!$B$2:$G$230, 4,FALSE), $B$14:Q$73, Q$74,FALSE),"o")=$D$5,IFERROR(VLOOKUP(VLOOKUP($B39, Dependencies!$B$2:$G$230, 5,FALSE), $B$14:Q$73, Q$74,FALSE),"o")=$D$5,IFERROR(VLOOKUP(VLOOKUP($B39, Dependencies!$B$2:$G$230, 6,FALSE), $B$14:Q$73, Q$74,FALSE),"o")=$D$5),$D$5,P39)))</f>
        <v>o</v>
      </c>
      <c r="R39" s="94" t="s">
        <v>323</v>
      </c>
      <c r="S39" s="72" t="str">
        <f>IF(R39=$D$4,R39,IF(OR(IFERROR(VLOOKUP(VLOOKUP($B39, Dependencies!$B$2:$G$230, 2,FALSE),$B$14:S$73, S$74,FALSE),"o")=$D$4,IFERROR(VLOOKUP(VLOOKUP($B39, Dependencies!$B$2:$G$230, 3,FALSE),$B$14:S$73, S$74,FALSE),"o")=$D$4,IFERROR(VLOOKUP(VLOOKUP($B39, Dependencies!$B$2:$G$230, 4,FALSE),$B$14:S$73, S$74,FALSE),"o")=$D$4,IFERROR(VLOOKUP(VLOOKUP($B39, Dependencies!$B$2:$G$230, 5,FALSE),$B$14:S$73, S$74,FALSE),"o")=$D$4,IFERROR(VLOOKUP(VLOOKUP($B39, Dependencies!$B$2:$G$230, 6,FALSE),$B$14:S$73, S$74,FALSE),"o")=$D$4),$D$4,IF(OR(IFERROR(VLOOKUP(VLOOKUP($B39, Dependencies!$B$2:$G$230, 2,FALSE), $B$14:S$73, S$74,FALSE),"o")=$D$5,IFERROR(VLOOKUP(VLOOKUP($B39, Dependencies!$B$2:$G$230, 3,FALSE), $B$14:S$73, S$74,FALSE),"o")=$D$5,IFERROR(VLOOKUP(VLOOKUP($B39, Dependencies!$B$2:$G$230, 4,FALSE), $B$14:S$73, S$74,FALSE),"o")=$D$5,IFERROR(VLOOKUP(VLOOKUP($B39, Dependencies!$B$2:$G$230, 5,FALSE), $B$14:S$73, S$74,FALSE),"o")=$D$5,IFERROR(VLOOKUP(VLOOKUP($B39, Dependencies!$B$2:$G$230, 6,FALSE), $B$14:S$73, S$74,FALSE),"o")=$D$5),$D$5,R39)))</f>
        <v>o</v>
      </c>
      <c r="T39" s="94" t="s">
        <v>323</v>
      </c>
      <c r="U39" s="72" t="str">
        <f>IF(T39=$D$4,T39,IF(OR(IFERROR(VLOOKUP(VLOOKUP($B39, Dependencies!$B$2:$G$230, 2,FALSE),$B$14:U$73, U$74,FALSE),"o")=$D$4,IFERROR(VLOOKUP(VLOOKUP($B39, Dependencies!$B$2:$G$230, 3,FALSE),$B$14:U$73, U$74,FALSE),"o")=$D$4,IFERROR(VLOOKUP(VLOOKUP($B39, Dependencies!$B$2:$G$230, 4,FALSE),$B$14:U$73, U$74,FALSE),"o")=$D$4,IFERROR(VLOOKUP(VLOOKUP($B39, Dependencies!$B$2:$G$230, 5,FALSE),$B$14:U$73, U$74,FALSE),"o")=$D$4,IFERROR(VLOOKUP(VLOOKUP($B39, Dependencies!$B$2:$G$230, 6,FALSE),$B$14:U$73, U$74,FALSE),"o")=$D$4),$D$4,IF(OR(IFERROR(VLOOKUP(VLOOKUP($B39, Dependencies!$B$2:$G$230, 2,FALSE), $B$14:U$73, U$74,FALSE),"o")=$D$5,IFERROR(VLOOKUP(VLOOKUP($B39, Dependencies!$B$2:$G$230, 3,FALSE), $B$14:U$73, U$74,FALSE),"o")=$D$5,IFERROR(VLOOKUP(VLOOKUP($B39, Dependencies!$B$2:$G$230, 4,FALSE), $B$14:U$73, U$74,FALSE),"o")=$D$5,IFERROR(VLOOKUP(VLOOKUP($B39, Dependencies!$B$2:$G$230, 5,FALSE), $B$14:U$73, U$74,FALSE),"o")=$D$5,IFERROR(VLOOKUP(VLOOKUP($B39, Dependencies!$B$2:$G$230, 6,FALSE), $B$14:U$73, U$74,FALSE),"o")=$D$5),$D$5,T39)))</f>
        <v>o</v>
      </c>
      <c r="V39" s="94" t="s">
        <v>323</v>
      </c>
      <c r="W39" s="72" t="str">
        <f>IF(V39=$D$4,V39,IF(OR(IFERROR(VLOOKUP(VLOOKUP($B39, Dependencies!$B$2:$G$230, 2,FALSE),$B$14:W$73, W$74,FALSE),"o")=$D$4,IFERROR(VLOOKUP(VLOOKUP($B39, Dependencies!$B$2:$G$230, 3,FALSE),$B$14:W$73, W$74,FALSE),"o")=$D$4,IFERROR(VLOOKUP(VLOOKUP($B39, Dependencies!$B$2:$G$230, 4,FALSE),$B$14:W$73, W$74,FALSE),"o")=$D$4,IFERROR(VLOOKUP(VLOOKUP($B39, Dependencies!$B$2:$G$230, 5,FALSE),$B$14:W$73, W$74,FALSE),"o")=$D$4,IFERROR(VLOOKUP(VLOOKUP($B39, Dependencies!$B$2:$G$230, 6,FALSE),$B$14:W$73, W$74,FALSE),"o")=$D$4),$D$4,IF(OR(IFERROR(VLOOKUP(VLOOKUP($B39, Dependencies!$B$2:$G$230, 2,FALSE), $B$14:W$73, W$74,FALSE),"o")=$D$5,IFERROR(VLOOKUP(VLOOKUP($B39, Dependencies!$B$2:$G$230, 3,FALSE), $B$14:W$73, W$74,FALSE),"o")=$D$5,IFERROR(VLOOKUP(VLOOKUP($B39, Dependencies!$B$2:$G$230, 4,FALSE), $B$14:W$73, W$74,FALSE),"o")=$D$5,IFERROR(VLOOKUP(VLOOKUP($B39, Dependencies!$B$2:$G$230, 5,FALSE), $B$14:W$73, W$74,FALSE),"o")=$D$5,IFERROR(VLOOKUP(VLOOKUP($B39, Dependencies!$B$2:$G$230, 6,FALSE), $B$14:W$73, W$74,FALSE),"o")=$D$5),$D$5,V39)))</f>
        <v>o</v>
      </c>
      <c r="X39" s="94" t="s">
        <v>323</v>
      </c>
      <c r="Y39" s="72" t="str">
        <f>IF(X39=$D$4,X39,IF(OR(IFERROR(VLOOKUP(VLOOKUP($B39, Dependencies!$B$2:$G$230, 2,FALSE),$B$14:Y$73, Y$74,FALSE),"o")=$D$4,IFERROR(VLOOKUP(VLOOKUP($B39, Dependencies!$B$2:$G$230, 3,FALSE),$B$14:Y$73, Y$74,FALSE),"o")=$D$4,IFERROR(VLOOKUP(VLOOKUP($B39, Dependencies!$B$2:$G$230, 4,FALSE),$B$14:Y$73, Y$74,FALSE),"o")=$D$4,IFERROR(VLOOKUP(VLOOKUP($B39, Dependencies!$B$2:$G$230, 5,FALSE),$B$14:Y$73, Y$74,FALSE),"o")=$D$4,IFERROR(VLOOKUP(VLOOKUP($B39, Dependencies!$B$2:$G$230, 6,FALSE),$B$14:Y$73, Y$74,FALSE),"o")=$D$4),$D$4,IF(OR(IFERROR(VLOOKUP(VLOOKUP($B39, Dependencies!$B$2:$G$230, 2,FALSE), $B$14:Y$73, Y$74,FALSE),"o")=$D$5,IFERROR(VLOOKUP(VLOOKUP($B39, Dependencies!$B$2:$G$230, 3,FALSE), $B$14:Y$73, Y$74,FALSE),"o")=$D$5,IFERROR(VLOOKUP(VLOOKUP($B39, Dependencies!$B$2:$G$230, 4,FALSE), $B$14:Y$73, Y$74,FALSE),"o")=$D$5,IFERROR(VLOOKUP(VLOOKUP($B39, Dependencies!$B$2:$G$230, 5,FALSE), $B$14:Y$73, Y$74,FALSE),"o")=$D$5,IFERROR(VLOOKUP(VLOOKUP($B39, Dependencies!$B$2:$G$230, 6,FALSE), $B$14:Y$73, Y$74,FALSE),"o")=$D$5),$D$5,X39)))</f>
        <v>o</v>
      </c>
      <c r="Z39" s="94" t="s">
        <v>323</v>
      </c>
      <c r="AA39" s="72" t="str">
        <f>IF(Z39=$D$4,Z39,IF(OR(IFERROR(VLOOKUP(VLOOKUP($B39, Dependencies!$B$2:$G$230, 2,FALSE),$B$14:AA$73, AA$74,FALSE),"o")=$D$4,IFERROR(VLOOKUP(VLOOKUP($B39, Dependencies!$B$2:$G$230, 3,FALSE),$B$14:AA$73, AA$74,FALSE),"o")=$D$4,IFERROR(VLOOKUP(VLOOKUP($B39, Dependencies!$B$2:$G$230, 4,FALSE),$B$14:AA$73, AA$74,FALSE),"o")=$D$4,IFERROR(VLOOKUP(VLOOKUP($B39, Dependencies!$B$2:$G$230, 5,FALSE),$B$14:AA$73, AA$74,FALSE),"o")=$D$4,IFERROR(VLOOKUP(VLOOKUP($B39, Dependencies!$B$2:$G$230, 6,FALSE),$B$14:AA$73, AA$74,FALSE),"o")=$D$4),$D$4,IF(OR(IFERROR(VLOOKUP(VLOOKUP($B39, Dependencies!$B$2:$G$230, 2,FALSE), $B$14:AA$73, AA$74,FALSE),"o")=$D$5,IFERROR(VLOOKUP(VLOOKUP($B39, Dependencies!$B$2:$G$230, 3,FALSE), $B$14:AA$73, AA$74,FALSE),"o")=$D$5,IFERROR(VLOOKUP(VLOOKUP($B39, Dependencies!$B$2:$G$230, 4,FALSE), $B$14:AA$73, AA$74,FALSE),"o")=$D$5,IFERROR(VLOOKUP(VLOOKUP($B39, Dependencies!$B$2:$G$230, 5,FALSE), $B$14:AA$73, AA$74,FALSE),"o")=$D$5,IFERROR(VLOOKUP(VLOOKUP($B39, Dependencies!$B$2:$G$230, 6,FALSE), $B$14:AA$73, AA$74,FALSE),"o")=$D$5),$D$5,Z39)))</f>
        <v>o</v>
      </c>
      <c r="AB39" s="94" t="s">
        <v>323</v>
      </c>
      <c r="AC39" s="72" t="str">
        <f>IF(AB39=$D$4,AB39,IF(OR(IFERROR(VLOOKUP(VLOOKUP($B39, Dependencies!$B$2:$G$230, 2,FALSE),$B$14:AC$73, AC$74,FALSE),"o")=$D$4,IFERROR(VLOOKUP(VLOOKUP($B39, Dependencies!$B$2:$G$230, 3,FALSE),$B$14:AC$73, AC$74,FALSE),"o")=$D$4,IFERROR(VLOOKUP(VLOOKUP($B39, Dependencies!$B$2:$G$230, 4,FALSE),$B$14:AC$73, AC$74,FALSE),"o")=$D$4,IFERROR(VLOOKUP(VLOOKUP($B39, Dependencies!$B$2:$G$230, 5,FALSE),$B$14:AC$73, AC$74,FALSE),"o")=$D$4,IFERROR(VLOOKUP(VLOOKUP($B39, Dependencies!$B$2:$G$230, 6,FALSE),$B$14:AC$73, AC$74,FALSE),"o")=$D$4),$D$4,IF(OR(IFERROR(VLOOKUP(VLOOKUP($B39, Dependencies!$B$2:$G$230, 2,FALSE), $B$14:AC$73, AC$74,FALSE),"o")=$D$5,IFERROR(VLOOKUP(VLOOKUP($B39, Dependencies!$B$2:$G$230, 3,FALSE), $B$14:AC$73, AC$74,FALSE),"o")=$D$5,IFERROR(VLOOKUP(VLOOKUP($B39, Dependencies!$B$2:$G$230, 4,FALSE), $B$14:AC$73, AC$74,FALSE),"o")=$D$5,IFERROR(VLOOKUP(VLOOKUP($B39, Dependencies!$B$2:$G$230, 5,FALSE), $B$14:AC$73, AC$74,FALSE),"o")=$D$5,IFERROR(VLOOKUP(VLOOKUP($B39, Dependencies!$B$2:$G$230, 6,FALSE), $B$14:AC$73, AC$74,FALSE),"o")=$D$5),$D$5,AB39)))</f>
        <v>o</v>
      </c>
      <c r="AD39" s="94" t="s">
        <v>323</v>
      </c>
      <c r="AE39" s="72" t="str">
        <f>IF(AD39=$D$4,AD39,IF(OR(IFERROR(VLOOKUP(VLOOKUP($B39, Dependencies!$B$2:$G$230, 2,FALSE),$B$14:AE$73, AE$74,FALSE),"o")=$D$4,IFERROR(VLOOKUP(VLOOKUP($B39, Dependencies!$B$2:$G$230, 3,FALSE),$B$14:AE$73, AE$74,FALSE),"o")=$D$4,IFERROR(VLOOKUP(VLOOKUP($B39, Dependencies!$B$2:$G$230, 4,FALSE),$B$14:AE$73, AE$74,FALSE),"o")=$D$4,IFERROR(VLOOKUP(VLOOKUP($B39, Dependencies!$B$2:$G$230, 5,FALSE),$B$14:AE$73, AE$74,FALSE),"o")=$D$4,IFERROR(VLOOKUP(VLOOKUP($B39, Dependencies!$B$2:$G$230, 6,FALSE),$B$14:AE$73, AE$74,FALSE),"o")=$D$4),$D$4,IF(OR(IFERROR(VLOOKUP(VLOOKUP($B39, Dependencies!$B$2:$G$230, 2,FALSE), $B$14:AE$73, AE$74,FALSE),"o")=$D$5,IFERROR(VLOOKUP(VLOOKUP($B39, Dependencies!$B$2:$G$230, 3,FALSE), $B$14:AE$73, AE$74,FALSE),"o")=$D$5,IFERROR(VLOOKUP(VLOOKUP($B39, Dependencies!$B$2:$G$230, 4,FALSE), $B$14:AE$73, AE$74,FALSE),"o")=$D$5,IFERROR(VLOOKUP(VLOOKUP($B39, Dependencies!$B$2:$G$230, 5,FALSE), $B$14:AE$73, AE$74,FALSE),"o")=$D$5,IFERROR(VLOOKUP(VLOOKUP($B39, Dependencies!$B$2:$G$230, 6,FALSE), $B$14:AE$73, AE$74,FALSE),"o")=$D$5),$D$5,AD39)))</f>
        <v>o</v>
      </c>
      <c r="AF39" s="94" t="s">
        <v>323</v>
      </c>
      <c r="AG39" s="72" t="str">
        <f>IF(AF39=$D$4,AF39,IF(OR(IFERROR(VLOOKUP(VLOOKUP($B39, Dependencies!$B$2:$G$230, 2,FALSE),$B$14:AG$73, AG$74,FALSE),"o")=$D$4,IFERROR(VLOOKUP(VLOOKUP($B39, Dependencies!$B$2:$G$230, 3,FALSE),$B$14:AG$73, AG$74,FALSE),"o")=$D$4,IFERROR(VLOOKUP(VLOOKUP($B39, Dependencies!$B$2:$G$230, 4,FALSE),$B$14:AG$73, AG$74,FALSE),"o")=$D$4,IFERROR(VLOOKUP(VLOOKUP($B39, Dependencies!$B$2:$G$230, 5,FALSE),$B$14:AG$73, AG$74,FALSE),"o")=$D$4,IFERROR(VLOOKUP(VLOOKUP($B39, Dependencies!$B$2:$G$230, 6,FALSE),$B$14:AG$73, AG$74,FALSE),"o")=$D$4),$D$4,IF(OR(IFERROR(VLOOKUP(VLOOKUP($B39, Dependencies!$B$2:$G$230, 2,FALSE), $B$14:AG$73, AG$74,FALSE),"o")=$D$5,IFERROR(VLOOKUP(VLOOKUP($B39, Dependencies!$B$2:$G$230, 3,FALSE), $B$14:AG$73, AG$74,FALSE),"o")=$D$5,IFERROR(VLOOKUP(VLOOKUP($B39, Dependencies!$B$2:$G$230, 4,FALSE), $B$14:AG$73, AG$74,FALSE),"o")=$D$5,IFERROR(VLOOKUP(VLOOKUP($B39, Dependencies!$B$2:$G$230, 5,FALSE), $B$14:AG$73, AG$74,FALSE),"o")=$D$5,IFERROR(VLOOKUP(VLOOKUP($B39, Dependencies!$B$2:$G$230, 6,FALSE), $B$14:AG$73, AG$74,FALSE),"o")=$D$5),$D$5,AF39)))</f>
        <v>o</v>
      </c>
      <c r="AH39" s="94" t="s">
        <v>323</v>
      </c>
      <c r="AI39" s="72" t="str">
        <f>IF(AH39=$D$4,AH39,IF(OR(IFERROR(VLOOKUP(VLOOKUP($B39, Dependencies!$B$2:$G$230, 2,FALSE),$B$14:AI$73, AI$74,FALSE),"o")=$D$4,IFERROR(VLOOKUP(VLOOKUP($B39, Dependencies!$B$2:$G$230, 3,FALSE),$B$14:AI$73, AI$74,FALSE),"o")=$D$4,IFERROR(VLOOKUP(VLOOKUP($B39, Dependencies!$B$2:$G$230, 4,FALSE),$B$14:AI$73, AI$74,FALSE),"o")=$D$4,IFERROR(VLOOKUP(VLOOKUP($B39, Dependencies!$B$2:$G$230, 5,FALSE),$B$14:AI$73, AI$74,FALSE),"o")=$D$4,IFERROR(VLOOKUP(VLOOKUP($B39, Dependencies!$B$2:$G$230, 6,FALSE),$B$14:AI$73, AI$74,FALSE),"o")=$D$4),$D$4,IF(OR(IFERROR(VLOOKUP(VLOOKUP($B39, Dependencies!$B$2:$G$230, 2,FALSE), $B$14:AI$73, AI$74,FALSE),"o")=$D$5,IFERROR(VLOOKUP(VLOOKUP($B39, Dependencies!$B$2:$G$230, 3,FALSE), $B$14:AI$73, AI$74,FALSE),"o")=$D$5,IFERROR(VLOOKUP(VLOOKUP($B39, Dependencies!$B$2:$G$230, 4,FALSE), $B$14:AI$73, AI$74,FALSE),"o")=$D$5,IFERROR(VLOOKUP(VLOOKUP($B39, Dependencies!$B$2:$G$230, 5,FALSE), $B$14:AI$73, AI$74,FALSE),"o")=$D$5,IFERROR(VLOOKUP(VLOOKUP($B39, Dependencies!$B$2:$G$230, 6,FALSE), $B$14:AI$73, AI$74,FALSE),"o")=$D$5),$D$5,AH39)))</f>
        <v>o</v>
      </c>
      <c r="AJ39" s="94" t="s">
        <v>323</v>
      </c>
      <c r="AK39" s="72" t="str">
        <f>IF(AJ39=$D$4,AJ39,IF(OR(IFERROR(VLOOKUP(VLOOKUP($B39, Dependencies!$B$2:$G$230, 2,FALSE),$B$14:AK$73, AK$74,FALSE),"o")=$D$4,IFERROR(VLOOKUP(VLOOKUP($B39, Dependencies!$B$2:$G$230, 3,FALSE),$B$14:AK$73, AK$74,FALSE),"o")=$D$4,IFERROR(VLOOKUP(VLOOKUP($B39, Dependencies!$B$2:$G$230, 4,FALSE),$B$14:AK$73, AK$74,FALSE),"o")=$D$4,IFERROR(VLOOKUP(VLOOKUP($B39, Dependencies!$B$2:$G$230, 5,FALSE),$B$14:AK$73, AK$74,FALSE),"o")=$D$4,IFERROR(VLOOKUP(VLOOKUP($B39, Dependencies!$B$2:$G$230, 6,FALSE),$B$14:AK$73, AK$74,FALSE),"o")=$D$4),$D$4,IF(OR(IFERROR(VLOOKUP(VLOOKUP($B39, Dependencies!$B$2:$G$230, 2,FALSE), $B$14:AK$73, AK$74,FALSE),"o")=$D$5,IFERROR(VLOOKUP(VLOOKUP($B39, Dependencies!$B$2:$G$230, 3,FALSE), $B$14:AK$73, AK$74,FALSE),"o")=$D$5,IFERROR(VLOOKUP(VLOOKUP($B39, Dependencies!$B$2:$G$230, 4,FALSE), $B$14:AK$73, AK$74,FALSE),"o")=$D$5,IFERROR(VLOOKUP(VLOOKUP($B39, Dependencies!$B$2:$G$230, 5,FALSE), $B$14:AK$73, AK$74,FALSE),"o")=$D$5,IFERROR(VLOOKUP(VLOOKUP($B39, Dependencies!$B$2:$G$230, 6,FALSE), $B$14:AK$73, AK$74,FALSE),"o")=$D$5),$D$5,AJ39)))</f>
        <v>o</v>
      </c>
      <c r="AL39" s="94" t="s">
        <v>323</v>
      </c>
      <c r="AM39" s="72" t="str">
        <f>IF(AL39=$D$4,AL39,IF(OR(IFERROR(VLOOKUP(VLOOKUP($B39, Dependencies!$B$2:$G$230, 2,FALSE),$B$14:AM$73, AM$74,FALSE),"o")=$D$4,IFERROR(VLOOKUP(VLOOKUP($B39, Dependencies!$B$2:$G$230, 3,FALSE),$B$14:AM$73, AM$74,FALSE),"o")=$D$4,IFERROR(VLOOKUP(VLOOKUP($B39, Dependencies!$B$2:$G$230, 4,FALSE),$B$14:AM$73, AM$74,FALSE),"o")=$D$4,IFERROR(VLOOKUP(VLOOKUP($B39, Dependencies!$B$2:$G$230, 5,FALSE),$B$14:AM$73, AM$74,FALSE),"o")=$D$4,IFERROR(VLOOKUP(VLOOKUP($B39, Dependencies!$B$2:$G$230, 6,FALSE),$B$14:AM$73, AM$74,FALSE),"o")=$D$4),$D$4,IF(OR(IFERROR(VLOOKUP(VLOOKUP($B39, Dependencies!$B$2:$G$230, 2,FALSE), $B$14:AM$73, AM$74,FALSE),"o")=$D$5,IFERROR(VLOOKUP(VLOOKUP($B39, Dependencies!$B$2:$G$230, 3,FALSE), $B$14:AM$73, AM$74,FALSE),"o")=$D$5,IFERROR(VLOOKUP(VLOOKUP($B39, Dependencies!$B$2:$G$230, 4,FALSE), $B$14:AM$73, AM$74,FALSE),"o")=$D$5,IFERROR(VLOOKUP(VLOOKUP($B39, Dependencies!$B$2:$G$230, 5,FALSE), $B$14:AM$73, AM$74,FALSE),"o")=$D$5,IFERROR(VLOOKUP(VLOOKUP($B39, Dependencies!$B$2:$G$230, 6,FALSE), $B$14:AM$73, AM$74,FALSE),"o")=$D$5),$D$5,AL39)))</f>
        <v>o</v>
      </c>
      <c r="AN39" s="94" t="s">
        <v>323</v>
      </c>
      <c r="AO39" s="72" t="str">
        <f>IF(AN39=$D$4,AN39,IF(OR(IFERROR(VLOOKUP(VLOOKUP($B39, Dependencies!$B$2:$G$230, 2,FALSE),$B$14:AO$73, AO$74,FALSE),"o")=$D$4,IFERROR(VLOOKUP(VLOOKUP($B39, Dependencies!$B$2:$G$230, 3,FALSE),$B$14:AO$73, AO$74,FALSE),"o")=$D$4,IFERROR(VLOOKUP(VLOOKUP($B39, Dependencies!$B$2:$G$230, 4,FALSE),$B$14:AO$73, AO$74,FALSE),"o")=$D$4,IFERROR(VLOOKUP(VLOOKUP($B39, Dependencies!$B$2:$G$230, 5,FALSE),$B$14:AO$73, AO$74,FALSE),"o")=$D$4,IFERROR(VLOOKUP(VLOOKUP($B39, Dependencies!$B$2:$G$230, 6,FALSE),$B$14:AO$73, AO$74,FALSE),"o")=$D$4),$D$4,IF(OR(IFERROR(VLOOKUP(VLOOKUP($B39, Dependencies!$B$2:$G$230, 2,FALSE), $B$14:AO$73, AO$74,FALSE),"o")=$D$5,IFERROR(VLOOKUP(VLOOKUP($B39, Dependencies!$B$2:$G$230, 3,FALSE), $B$14:AO$73, AO$74,FALSE),"o")=$D$5,IFERROR(VLOOKUP(VLOOKUP($B39, Dependencies!$B$2:$G$230, 4,FALSE), $B$14:AO$73, AO$74,FALSE),"o")=$D$5,IFERROR(VLOOKUP(VLOOKUP($B39, Dependencies!$B$2:$G$230, 5,FALSE), $B$14:AO$73, AO$74,FALSE),"o")=$D$5,IFERROR(VLOOKUP(VLOOKUP($B39, Dependencies!$B$2:$G$230, 6,FALSE), $B$14:AO$73, AO$74,FALSE),"o")=$D$5),$D$5,AN39)))</f>
        <v>o</v>
      </c>
      <c r="AP39" s="94" t="s">
        <v>323</v>
      </c>
      <c r="AQ39" s="72" t="str">
        <f>IF(AP39=$D$4,AP39,IF(OR(IFERROR(VLOOKUP(VLOOKUP($B39, Dependencies!$B$2:$G$230, 2,FALSE),$B$14:AQ$73, AQ$74,FALSE),"o")=$D$4,IFERROR(VLOOKUP(VLOOKUP($B39, Dependencies!$B$2:$G$230, 3,FALSE),$B$14:AQ$73, AQ$74,FALSE),"o")=$D$4,IFERROR(VLOOKUP(VLOOKUP($B39, Dependencies!$B$2:$G$230, 4,FALSE),$B$14:AQ$73, AQ$74,FALSE),"o")=$D$4,IFERROR(VLOOKUP(VLOOKUP($B39, Dependencies!$B$2:$G$230, 5,FALSE),$B$14:AQ$73, AQ$74,FALSE),"o")=$D$4,IFERROR(VLOOKUP(VLOOKUP($B39, Dependencies!$B$2:$G$230, 6,FALSE),$B$14:AQ$73, AQ$74,FALSE),"o")=$D$4),$D$4,IF(OR(IFERROR(VLOOKUP(VLOOKUP($B39, Dependencies!$B$2:$G$230, 2,FALSE), $B$14:AQ$73, AQ$74,FALSE),"o")=$D$5,IFERROR(VLOOKUP(VLOOKUP($B39, Dependencies!$B$2:$G$230, 3,FALSE), $B$14:AQ$73, AQ$74,FALSE),"o")=$D$5,IFERROR(VLOOKUP(VLOOKUP($B39, Dependencies!$B$2:$G$230, 4,FALSE), $B$14:AQ$73, AQ$74,FALSE),"o")=$D$5,IFERROR(VLOOKUP(VLOOKUP($B39, Dependencies!$B$2:$G$230, 5,FALSE), $B$14:AQ$73, AQ$74,FALSE),"o")=$D$5,IFERROR(VLOOKUP(VLOOKUP($B39, Dependencies!$B$2:$G$230, 6,FALSE), $B$14:AQ$73, AQ$74,FALSE),"o")=$D$5),$D$5,AP39)))</f>
        <v>o</v>
      </c>
      <c r="AR39" s="94" t="s">
        <v>323</v>
      </c>
      <c r="AS39" s="71" t="str">
        <f>IF(AR39=$D$4,AR39,IF(OR(IFERROR(VLOOKUP(VLOOKUP($B39, Dependencies!$B$2:$G$230, 2,FALSE),$B$14:AS$73, AS$74,FALSE),"o")=$D$4,IFERROR(VLOOKUP(VLOOKUP($B39, Dependencies!$B$2:$G$230, 3,FALSE),$B$14:AS$73, AS$74,FALSE),"o")=$D$4,IFERROR(VLOOKUP(VLOOKUP($B39, Dependencies!$B$2:$G$230, 4,FALSE),$B$14:AS$73, AS$74,FALSE),"o")=$D$4,IFERROR(VLOOKUP(VLOOKUP($B39, Dependencies!$B$2:$G$230, 5,FALSE),$B$14:AS$73, AS$74,FALSE),"o")=$D$4,IFERROR(VLOOKUP(VLOOKUP($B39, Dependencies!$B$2:$G$230, 6,FALSE),$B$14:AS$73, AS$74,FALSE),"o")=$D$4),$D$4,IF(OR(IFERROR(VLOOKUP(VLOOKUP($B39, Dependencies!$B$2:$G$230, 2,FALSE), $B$14:AS$73, AS$74,FALSE),"o")=$D$5,IFERROR(VLOOKUP(VLOOKUP($B39, Dependencies!$B$2:$G$230, 3,FALSE), $B$14:AS$73, AS$74,FALSE),"o")=$D$5,IFERROR(VLOOKUP(VLOOKUP($B39, Dependencies!$B$2:$G$230, 4,FALSE), $B$14:AS$73, AS$74,FALSE),"o")=$D$5,IFERROR(VLOOKUP(VLOOKUP($B39, Dependencies!$B$2:$G$230, 5,FALSE), $B$14:AS$73, AS$74,FALSE),"o")=$D$5,IFERROR(VLOOKUP(VLOOKUP($B39, Dependencies!$B$2:$G$230, 6,FALSE), $B$14:AS$73, AS$74,FALSE),"o")=$D$5),$D$5,AR39)))</f>
        <v>o</v>
      </c>
    </row>
    <row r="40" spans="1:45" x14ac:dyDescent="0.2">
      <c r="A40" s="40"/>
      <c r="B40" s="73" t="str">
        <f>MLEOsv2!A28</f>
        <v>MLEO_10_03</v>
      </c>
      <c r="C40" s="73">
        <f>MLEOsv2!C28</f>
        <v>3</v>
      </c>
      <c r="D40" s="42" t="str">
        <f>MLEOsv2!G28</f>
        <v>identify associations with roles and multiplicities between participating classes.</v>
      </c>
      <c r="E40" s="51" t="b">
        <f>MLEOsv2!H28</f>
        <v>1</v>
      </c>
      <c r="F40" s="93" t="s">
        <v>320</v>
      </c>
      <c r="G40" s="70" t="str">
        <f>IF(F40=$D$4,F40,IF(OR(IFERROR(VLOOKUP(VLOOKUP($B40, Dependencies!$B$2:$G$230, 2,FALSE),$B$14:G$73, G$74,FALSE),"o")=$D$4,IFERROR(VLOOKUP(VLOOKUP($B40, Dependencies!$B$2:$G$230, 3,FALSE),$B$14:G$73, G$74,FALSE),"o")=$D$4,IFERROR(VLOOKUP(VLOOKUP($B40, Dependencies!$B$2:$G$230, 4,FALSE),$B$14:G$73, G$74,FALSE),"o")=$D$4,IFERROR(VLOOKUP(VLOOKUP($B40, Dependencies!$B$2:$G$230, 5,FALSE),$B$14:G$73, G$74,FALSE),"o")=$D$4,IFERROR(VLOOKUP(VLOOKUP($B40, Dependencies!$B$2:$G$230, 6,FALSE),$B$14:G$73, G$74,FALSE),"o")=$D$4),$D$4,IF(OR(IFERROR(VLOOKUP(VLOOKUP($B40, Dependencies!$B$2:$G$230, 2,FALSE), $B$14:G$73, G$74,FALSE),"o")=$D$5,IFERROR(VLOOKUP(VLOOKUP($B40, Dependencies!$B$2:$G$230, 3,FALSE), $B$14:G$73, G$74,FALSE),"o")=$D$5,IFERROR(VLOOKUP(VLOOKUP($B40, Dependencies!$B$2:$G$230, 4,FALSE), $B$14:G$73, G$74,FALSE),"o")=$D$5,IFERROR(VLOOKUP(VLOOKUP($B40, Dependencies!$B$2:$G$230, 5,FALSE), $B$14:G$73, G$74,FALSE),"o")=$D$5,IFERROR(VLOOKUP(VLOOKUP($B40, Dependencies!$B$2:$G$230, 6,FALSE), $B$14:G$73, G$74,FALSE),"o")=$D$5),$D$5,F40)))</f>
        <v>r</v>
      </c>
      <c r="H40" s="93" t="s">
        <v>321</v>
      </c>
      <c r="I40" s="70" t="str">
        <f>IF(H40=$D$4,H40,IF(OR(IFERROR(VLOOKUP(VLOOKUP($B40, Dependencies!$B$2:$G$230, 2,FALSE),$B$14:I$73, I$74,FALSE),"o")=$D$4,IFERROR(VLOOKUP(VLOOKUP($B40, Dependencies!$B$2:$G$230, 3,FALSE),$B$14:I$73, I$74,FALSE),"o")=$D$4,IFERROR(VLOOKUP(VLOOKUP($B40, Dependencies!$B$2:$G$230, 4,FALSE),$B$14:I$73, I$74,FALSE),"o")=$D$4,IFERROR(VLOOKUP(VLOOKUP($B40, Dependencies!$B$2:$G$230, 5,FALSE),$B$14:I$73, I$74,FALSE),"o")=$D$4,IFERROR(VLOOKUP(VLOOKUP($B40, Dependencies!$B$2:$G$230, 6,FALSE),$B$14:I$73, I$74,FALSE),"o")=$D$4),$D$4,IF(OR(IFERROR(VLOOKUP(VLOOKUP($B40, Dependencies!$B$2:$G$230, 2,FALSE), $B$14:I$73, I$74,FALSE),"o")=$D$5,IFERROR(VLOOKUP(VLOOKUP($B40, Dependencies!$B$2:$G$230, 3,FALSE), $B$14:I$73, I$74,FALSE),"o")=$D$5,IFERROR(VLOOKUP(VLOOKUP($B40, Dependencies!$B$2:$G$230, 4,FALSE), $B$14:I$73, I$74,FALSE),"o")=$D$5,IFERROR(VLOOKUP(VLOOKUP($B40, Dependencies!$B$2:$G$230, 5,FALSE), $B$14:I$73, I$74,FALSE),"o")=$D$5,IFERROR(VLOOKUP(VLOOKUP($B40, Dependencies!$B$2:$G$230, 6,FALSE), $B$14:I$73, I$74,FALSE),"o")=$D$5),$D$5,H40)))</f>
        <v>pr</v>
      </c>
      <c r="J40" s="93" t="s">
        <v>321</v>
      </c>
      <c r="K40" s="70" t="str">
        <f>IF(J40=$D$4,J40,IF(OR(IFERROR(VLOOKUP(VLOOKUP($B40, Dependencies!$B$2:$G$230, 2,FALSE),$B$14:K$73, K$74,FALSE),"o")=$D$4,IFERROR(VLOOKUP(VLOOKUP($B40, Dependencies!$B$2:$G$230, 3,FALSE),$B$14:K$73, K$74,FALSE),"o")=$D$4,IFERROR(VLOOKUP(VLOOKUP($B40, Dependencies!$B$2:$G$230, 4,FALSE),$B$14:K$73, K$74,FALSE),"o")=$D$4,IFERROR(VLOOKUP(VLOOKUP($B40, Dependencies!$B$2:$G$230, 5,FALSE),$B$14:K$73, K$74,FALSE),"o")=$D$4,IFERROR(VLOOKUP(VLOOKUP($B40, Dependencies!$B$2:$G$230, 6,FALSE),$B$14:K$73, K$74,FALSE),"o")=$D$4),$D$4,IF(OR(IFERROR(VLOOKUP(VLOOKUP($B40, Dependencies!$B$2:$G$230, 2,FALSE), $B$14:K$73, K$74,FALSE),"o")=$D$5,IFERROR(VLOOKUP(VLOOKUP($B40, Dependencies!$B$2:$G$230, 3,FALSE), $B$14:K$73, K$74,FALSE),"o")=$D$5,IFERROR(VLOOKUP(VLOOKUP($B40, Dependencies!$B$2:$G$230, 4,FALSE), $B$14:K$73, K$74,FALSE),"o")=$D$5,IFERROR(VLOOKUP(VLOOKUP($B40, Dependencies!$B$2:$G$230, 5,FALSE), $B$14:K$73, K$74,FALSE),"o")=$D$5,IFERROR(VLOOKUP(VLOOKUP($B40, Dependencies!$B$2:$G$230, 6,FALSE), $B$14:K$73, K$74,FALSE),"o")=$D$5),$D$5,J40)))</f>
        <v>pr</v>
      </c>
      <c r="L40" s="93" t="s">
        <v>323</v>
      </c>
      <c r="M40" s="70" t="str">
        <f>IF(L40=$D$4,L40,IF(OR(IFERROR(VLOOKUP(VLOOKUP($B40, Dependencies!$B$2:$G$230, 2,FALSE),$B$14:M$73, M$74,FALSE),"o")=$D$4,IFERROR(VLOOKUP(VLOOKUP($B40, Dependencies!$B$2:$G$230, 3,FALSE),$B$14:M$73, M$74,FALSE),"o")=$D$4,IFERROR(VLOOKUP(VLOOKUP($B40, Dependencies!$B$2:$G$230, 4,FALSE),$B$14:M$73, M$74,FALSE),"o")=$D$4,IFERROR(VLOOKUP(VLOOKUP($B40, Dependencies!$B$2:$G$230, 5,FALSE),$B$14:M$73, M$74,FALSE),"o")=$D$4,IFERROR(VLOOKUP(VLOOKUP($B40, Dependencies!$B$2:$G$230, 6,FALSE),$B$14:M$73, M$74,FALSE),"o")=$D$4),$D$4,IF(OR(IFERROR(VLOOKUP(VLOOKUP($B40, Dependencies!$B$2:$G$230, 2,FALSE), $B$14:M$73, M$74,FALSE),"o")=$D$5,IFERROR(VLOOKUP(VLOOKUP($B40, Dependencies!$B$2:$G$230, 3,FALSE), $B$14:M$73, M$74,FALSE),"o")=$D$5,IFERROR(VLOOKUP(VLOOKUP($B40, Dependencies!$B$2:$G$230, 4,FALSE), $B$14:M$73, M$74,FALSE),"o")=$D$5,IFERROR(VLOOKUP(VLOOKUP($B40, Dependencies!$B$2:$G$230, 5,FALSE), $B$14:M$73, M$74,FALSE),"o")=$D$5,IFERROR(VLOOKUP(VLOOKUP($B40, Dependencies!$B$2:$G$230, 6,FALSE), $B$14:M$73, M$74,FALSE),"o")=$D$5),$D$5,L40)))</f>
        <v>o</v>
      </c>
      <c r="N40" s="93" t="s">
        <v>323</v>
      </c>
      <c r="O40" s="70" t="str">
        <f>IF(N40=$D$4,N40,IF(OR(IFERROR(VLOOKUP(VLOOKUP($B40, Dependencies!$B$2:$G$230, 2,FALSE),$B$14:O$73, O$74,FALSE),"o")=$D$4,IFERROR(VLOOKUP(VLOOKUP($B40, Dependencies!$B$2:$G$230, 3,FALSE),$B$14:O$73, O$74,FALSE),"o")=$D$4,IFERROR(VLOOKUP(VLOOKUP($B40, Dependencies!$B$2:$G$230, 4,FALSE),$B$14:O$73, O$74,FALSE),"o")=$D$4,IFERROR(VLOOKUP(VLOOKUP($B40, Dependencies!$B$2:$G$230, 5,FALSE),$B$14:O$73, O$74,FALSE),"o")=$D$4,IFERROR(VLOOKUP(VLOOKUP($B40, Dependencies!$B$2:$G$230, 6,FALSE),$B$14:O$73, O$74,FALSE),"o")=$D$4),$D$4,IF(OR(IFERROR(VLOOKUP(VLOOKUP($B40, Dependencies!$B$2:$G$230, 2,FALSE), $B$14:O$73, O$74,FALSE),"o")=$D$5,IFERROR(VLOOKUP(VLOOKUP($B40, Dependencies!$B$2:$G$230, 3,FALSE), $B$14:O$73, O$74,FALSE),"o")=$D$5,IFERROR(VLOOKUP(VLOOKUP($B40, Dependencies!$B$2:$G$230, 4,FALSE), $B$14:O$73, O$74,FALSE),"o")=$D$5,IFERROR(VLOOKUP(VLOOKUP($B40, Dependencies!$B$2:$G$230, 5,FALSE), $B$14:O$73, O$74,FALSE),"o")=$D$5,IFERROR(VLOOKUP(VLOOKUP($B40, Dependencies!$B$2:$G$230, 6,FALSE), $B$14:O$73, O$74,FALSE),"o")=$D$5),$D$5,N40)))</f>
        <v>o</v>
      </c>
      <c r="P40" s="93" t="s">
        <v>323</v>
      </c>
      <c r="Q40" s="70" t="str">
        <f>IF(P40=$D$4,P40,IF(OR(IFERROR(VLOOKUP(VLOOKUP($B40, Dependencies!$B$2:$G$230, 2,FALSE),$B$14:Q$73, Q$74,FALSE),"o")=$D$4,IFERROR(VLOOKUP(VLOOKUP($B40, Dependencies!$B$2:$G$230, 3,FALSE),$B$14:Q$73, Q$74,FALSE),"o")=$D$4,IFERROR(VLOOKUP(VLOOKUP($B40, Dependencies!$B$2:$G$230, 4,FALSE),$B$14:Q$73, Q$74,FALSE),"o")=$D$4,IFERROR(VLOOKUP(VLOOKUP($B40, Dependencies!$B$2:$G$230, 5,FALSE),$B$14:Q$73, Q$74,FALSE),"o")=$D$4,IFERROR(VLOOKUP(VLOOKUP($B40, Dependencies!$B$2:$G$230, 6,FALSE),$B$14:Q$73, Q$74,FALSE),"o")=$D$4),$D$4,IF(OR(IFERROR(VLOOKUP(VLOOKUP($B40, Dependencies!$B$2:$G$230, 2,FALSE), $B$14:Q$73, Q$74,FALSE),"o")=$D$5,IFERROR(VLOOKUP(VLOOKUP($B40, Dependencies!$B$2:$G$230, 3,FALSE), $B$14:Q$73, Q$74,FALSE),"o")=$D$5,IFERROR(VLOOKUP(VLOOKUP($B40, Dependencies!$B$2:$G$230, 4,FALSE), $B$14:Q$73, Q$74,FALSE),"o")=$D$5,IFERROR(VLOOKUP(VLOOKUP($B40, Dependencies!$B$2:$G$230, 5,FALSE), $B$14:Q$73, Q$74,FALSE),"o")=$D$5,IFERROR(VLOOKUP(VLOOKUP($B40, Dependencies!$B$2:$G$230, 6,FALSE), $B$14:Q$73, Q$74,FALSE),"o")=$D$5),$D$5,P40)))</f>
        <v>o</v>
      </c>
      <c r="R40" s="93" t="s">
        <v>323</v>
      </c>
      <c r="S40" s="70" t="str">
        <f>IF(R40=$D$4,R40,IF(OR(IFERROR(VLOOKUP(VLOOKUP($B40, Dependencies!$B$2:$G$230, 2,FALSE),$B$14:S$73, S$74,FALSE),"o")=$D$4,IFERROR(VLOOKUP(VLOOKUP($B40, Dependencies!$B$2:$G$230, 3,FALSE),$B$14:S$73, S$74,FALSE),"o")=$D$4,IFERROR(VLOOKUP(VLOOKUP($B40, Dependencies!$B$2:$G$230, 4,FALSE),$B$14:S$73, S$74,FALSE),"o")=$D$4,IFERROR(VLOOKUP(VLOOKUP($B40, Dependencies!$B$2:$G$230, 5,FALSE),$B$14:S$73, S$74,FALSE),"o")=$D$4,IFERROR(VLOOKUP(VLOOKUP($B40, Dependencies!$B$2:$G$230, 6,FALSE),$B$14:S$73, S$74,FALSE),"o")=$D$4),$D$4,IF(OR(IFERROR(VLOOKUP(VLOOKUP($B40, Dependencies!$B$2:$G$230, 2,FALSE), $B$14:S$73, S$74,FALSE),"o")=$D$5,IFERROR(VLOOKUP(VLOOKUP($B40, Dependencies!$B$2:$G$230, 3,FALSE), $B$14:S$73, S$74,FALSE),"o")=$D$5,IFERROR(VLOOKUP(VLOOKUP($B40, Dependencies!$B$2:$G$230, 4,FALSE), $B$14:S$73, S$74,FALSE),"o")=$D$5,IFERROR(VLOOKUP(VLOOKUP($B40, Dependencies!$B$2:$G$230, 5,FALSE), $B$14:S$73, S$74,FALSE),"o")=$D$5,IFERROR(VLOOKUP(VLOOKUP($B40, Dependencies!$B$2:$G$230, 6,FALSE), $B$14:S$73, S$74,FALSE),"o")=$D$5),$D$5,R40)))</f>
        <v>o</v>
      </c>
      <c r="T40" s="93" t="s">
        <v>323</v>
      </c>
      <c r="U40" s="70" t="str">
        <f>IF(T40=$D$4,T40,IF(OR(IFERROR(VLOOKUP(VLOOKUP($B40, Dependencies!$B$2:$G$230, 2,FALSE),$B$14:U$73, U$74,FALSE),"o")=$D$4,IFERROR(VLOOKUP(VLOOKUP($B40, Dependencies!$B$2:$G$230, 3,FALSE),$B$14:U$73, U$74,FALSE),"o")=$D$4,IFERROR(VLOOKUP(VLOOKUP($B40, Dependencies!$B$2:$G$230, 4,FALSE),$B$14:U$73, U$74,FALSE),"o")=$D$4,IFERROR(VLOOKUP(VLOOKUP($B40, Dependencies!$B$2:$G$230, 5,FALSE),$B$14:U$73, U$74,FALSE),"o")=$D$4,IFERROR(VLOOKUP(VLOOKUP($B40, Dependencies!$B$2:$G$230, 6,FALSE),$B$14:U$73, U$74,FALSE),"o")=$D$4),$D$4,IF(OR(IFERROR(VLOOKUP(VLOOKUP($B40, Dependencies!$B$2:$G$230, 2,FALSE), $B$14:U$73, U$74,FALSE),"o")=$D$5,IFERROR(VLOOKUP(VLOOKUP($B40, Dependencies!$B$2:$G$230, 3,FALSE), $B$14:U$73, U$74,FALSE),"o")=$D$5,IFERROR(VLOOKUP(VLOOKUP($B40, Dependencies!$B$2:$G$230, 4,FALSE), $B$14:U$73, U$74,FALSE),"o")=$D$5,IFERROR(VLOOKUP(VLOOKUP($B40, Dependencies!$B$2:$G$230, 5,FALSE), $B$14:U$73, U$74,FALSE),"o")=$D$5,IFERROR(VLOOKUP(VLOOKUP($B40, Dependencies!$B$2:$G$230, 6,FALSE), $B$14:U$73, U$74,FALSE),"o")=$D$5),$D$5,T40)))</f>
        <v>o</v>
      </c>
      <c r="V40" s="93" t="s">
        <v>323</v>
      </c>
      <c r="W40" s="70" t="str">
        <f>IF(V40=$D$4,V40,IF(OR(IFERROR(VLOOKUP(VLOOKUP($B40, Dependencies!$B$2:$G$230, 2,FALSE),$B$14:W$73, W$74,FALSE),"o")=$D$4,IFERROR(VLOOKUP(VLOOKUP($B40, Dependencies!$B$2:$G$230, 3,FALSE),$B$14:W$73, W$74,FALSE),"o")=$D$4,IFERROR(VLOOKUP(VLOOKUP($B40, Dependencies!$B$2:$G$230, 4,FALSE),$B$14:W$73, W$74,FALSE),"o")=$D$4,IFERROR(VLOOKUP(VLOOKUP($B40, Dependencies!$B$2:$G$230, 5,FALSE),$B$14:W$73, W$74,FALSE),"o")=$D$4,IFERROR(VLOOKUP(VLOOKUP($B40, Dependencies!$B$2:$G$230, 6,FALSE),$B$14:W$73, W$74,FALSE),"o")=$D$4),$D$4,IF(OR(IFERROR(VLOOKUP(VLOOKUP($B40, Dependencies!$B$2:$G$230, 2,FALSE), $B$14:W$73, W$74,FALSE),"o")=$D$5,IFERROR(VLOOKUP(VLOOKUP($B40, Dependencies!$B$2:$G$230, 3,FALSE), $B$14:W$73, W$74,FALSE),"o")=$D$5,IFERROR(VLOOKUP(VLOOKUP($B40, Dependencies!$B$2:$G$230, 4,FALSE), $B$14:W$73, W$74,FALSE),"o")=$D$5,IFERROR(VLOOKUP(VLOOKUP($B40, Dependencies!$B$2:$G$230, 5,FALSE), $B$14:W$73, W$74,FALSE),"o")=$D$5,IFERROR(VLOOKUP(VLOOKUP($B40, Dependencies!$B$2:$G$230, 6,FALSE), $B$14:W$73, W$74,FALSE),"o")=$D$5),$D$5,V40)))</f>
        <v>o</v>
      </c>
      <c r="X40" s="93" t="s">
        <v>323</v>
      </c>
      <c r="Y40" s="70" t="str">
        <f>IF(X40=$D$4,X40,IF(OR(IFERROR(VLOOKUP(VLOOKUP($B40, Dependencies!$B$2:$G$230, 2,FALSE),$B$14:Y$73, Y$74,FALSE),"o")=$D$4,IFERROR(VLOOKUP(VLOOKUP($B40, Dependencies!$B$2:$G$230, 3,FALSE),$B$14:Y$73, Y$74,FALSE),"o")=$D$4,IFERROR(VLOOKUP(VLOOKUP($B40, Dependencies!$B$2:$G$230, 4,FALSE),$B$14:Y$73, Y$74,FALSE),"o")=$D$4,IFERROR(VLOOKUP(VLOOKUP($B40, Dependencies!$B$2:$G$230, 5,FALSE),$B$14:Y$73, Y$74,FALSE),"o")=$D$4,IFERROR(VLOOKUP(VLOOKUP($B40, Dependencies!$B$2:$G$230, 6,FALSE),$B$14:Y$73, Y$74,FALSE),"o")=$D$4),$D$4,IF(OR(IFERROR(VLOOKUP(VLOOKUP($B40, Dependencies!$B$2:$G$230, 2,FALSE), $B$14:Y$73, Y$74,FALSE),"o")=$D$5,IFERROR(VLOOKUP(VLOOKUP($B40, Dependencies!$B$2:$G$230, 3,FALSE), $B$14:Y$73, Y$74,FALSE),"o")=$D$5,IFERROR(VLOOKUP(VLOOKUP($B40, Dependencies!$B$2:$G$230, 4,FALSE), $B$14:Y$73, Y$74,FALSE),"o")=$D$5,IFERROR(VLOOKUP(VLOOKUP($B40, Dependencies!$B$2:$G$230, 5,FALSE), $B$14:Y$73, Y$74,FALSE),"o")=$D$5,IFERROR(VLOOKUP(VLOOKUP($B40, Dependencies!$B$2:$G$230, 6,FALSE), $B$14:Y$73, Y$74,FALSE),"o")=$D$5),$D$5,X40)))</f>
        <v>o</v>
      </c>
      <c r="Z40" s="93" t="s">
        <v>323</v>
      </c>
      <c r="AA40" s="70" t="str">
        <f>IF(Z40=$D$4,Z40,IF(OR(IFERROR(VLOOKUP(VLOOKUP($B40, Dependencies!$B$2:$G$230, 2,FALSE),$B$14:AA$73, AA$74,FALSE),"o")=$D$4,IFERROR(VLOOKUP(VLOOKUP($B40, Dependencies!$B$2:$G$230, 3,FALSE),$B$14:AA$73, AA$74,FALSE),"o")=$D$4,IFERROR(VLOOKUP(VLOOKUP($B40, Dependencies!$B$2:$G$230, 4,FALSE),$B$14:AA$73, AA$74,FALSE),"o")=$D$4,IFERROR(VLOOKUP(VLOOKUP($B40, Dependencies!$B$2:$G$230, 5,FALSE),$B$14:AA$73, AA$74,FALSE),"o")=$D$4,IFERROR(VLOOKUP(VLOOKUP($B40, Dependencies!$B$2:$G$230, 6,FALSE),$B$14:AA$73, AA$74,FALSE),"o")=$D$4),$D$4,IF(OR(IFERROR(VLOOKUP(VLOOKUP($B40, Dependencies!$B$2:$G$230, 2,FALSE), $B$14:AA$73, AA$74,FALSE),"o")=$D$5,IFERROR(VLOOKUP(VLOOKUP($B40, Dependencies!$B$2:$G$230, 3,FALSE), $B$14:AA$73, AA$74,FALSE),"o")=$D$5,IFERROR(VLOOKUP(VLOOKUP($B40, Dependencies!$B$2:$G$230, 4,FALSE), $B$14:AA$73, AA$74,FALSE),"o")=$D$5,IFERROR(VLOOKUP(VLOOKUP($B40, Dependencies!$B$2:$G$230, 5,FALSE), $B$14:AA$73, AA$74,FALSE),"o")=$D$5,IFERROR(VLOOKUP(VLOOKUP($B40, Dependencies!$B$2:$G$230, 6,FALSE), $B$14:AA$73, AA$74,FALSE),"o")=$D$5),$D$5,Z40)))</f>
        <v>o</v>
      </c>
      <c r="AB40" s="93" t="s">
        <v>323</v>
      </c>
      <c r="AC40" s="70" t="str">
        <f>IF(AB40=$D$4,AB40,IF(OR(IFERROR(VLOOKUP(VLOOKUP($B40, Dependencies!$B$2:$G$230, 2,FALSE),$B$14:AC$73, AC$74,FALSE),"o")=$D$4,IFERROR(VLOOKUP(VLOOKUP($B40, Dependencies!$B$2:$G$230, 3,FALSE),$B$14:AC$73, AC$74,FALSE),"o")=$D$4,IFERROR(VLOOKUP(VLOOKUP($B40, Dependencies!$B$2:$G$230, 4,FALSE),$B$14:AC$73, AC$74,FALSE),"o")=$D$4,IFERROR(VLOOKUP(VLOOKUP($B40, Dependencies!$B$2:$G$230, 5,FALSE),$B$14:AC$73, AC$74,FALSE),"o")=$D$4,IFERROR(VLOOKUP(VLOOKUP($B40, Dependencies!$B$2:$G$230, 6,FALSE),$B$14:AC$73, AC$74,FALSE),"o")=$D$4),$D$4,IF(OR(IFERROR(VLOOKUP(VLOOKUP($B40, Dependencies!$B$2:$G$230, 2,FALSE), $B$14:AC$73, AC$74,FALSE),"o")=$D$5,IFERROR(VLOOKUP(VLOOKUP($B40, Dependencies!$B$2:$G$230, 3,FALSE), $B$14:AC$73, AC$74,FALSE),"o")=$D$5,IFERROR(VLOOKUP(VLOOKUP($B40, Dependencies!$B$2:$G$230, 4,FALSE), $B$14:AC$73, AC$74,FALSE),"o")=$D$5,IFERROR(VLOOKUP(VLOOKUP($B40, Dependencies!$B$2:$G$230, 5,FALSE), $B$14:AC$73, AC$74,FALSE),"o")=$D$5,IFERROR(VLOOKUP(VLOOKUP($B40, Dependencies!$B$2:$G$230, 6,FALSE), $B$14:AC$73, AC$74,FALSE),"o")=$D$5),$D$5,AB40)))</f>
        <v>o</v>
      </c>
      <c r="AD40" s="93" t="s">
        <v>323</v>
      </c>
      <c r="AE40" s="70" t="str">
        <f>IF(AD40=$D$4,AD40,IF(OR(IFERROR(VLOOKUP(VLOOKUP($B40, Dependencies!$B$2:$G$230, 2,FALSE),$B$14:AE$73, AE$74,FALSE),"o")=$D$4,IFERROR(VLOOKUP(VLOOKUP($B40, Dependencies!$B$2:$G$230, 3,FALSE),$B$14:AE$73, AE$74,FALSE),"o")=$D$4,IFERROR(VLOOKUP(VLOOKUP($B40, Dependencies!$B$2:$G$230, 4,FALSE),$B$14:AE$73, AE$74,FALSE),"o")=$D$4,IFERROR(VLOOKUP(VLOOKUP($B40, Dependencies!$B$2:$G$230, 5,FALSE),$B$14:AE$73, AE$74,FALSE),"o")=$D$4,IFERROR(VLOOKUP(VLOOKUP($B40, Dependencies!$B$2:$G$230, 6,FALSE),$B$14:AE$73, AE$74,FALSE),"o")=$D$4),$D$4,IF(OR(IFERROR(VLOOKUP(VLOOKUP($B40, Dependencies!$B$2:$G$230, 2,FALSE), $B$14:AE$73, AE$74,FALSE),"o")=$D$5,IFERROR(VLOOKUP(VLOOKUP($B40, Dependencies!$B$2:$G$230, 3,FALSE), $B$14:AE$73, AE$74,FALSE),"o")=$D$5,IFERROR(VLOOKUP(VLOOKUP($B40, Dependencies!$B$2:$G$230, 4,FALSE), $B$14:AE$73, AE$74,FALSE),"o")=$D$5,IFERROR(VLOOKUP(VLOOKUP($B40, Dependencies!$B$2:$G$230, 5,FALSE), $B$14:AE$73, AE$74,FALSE),"o")=$D$5,IFERROR(VLOOKUP(VLOOKUP($B40, Dependencies!$B$2:$G$230, 6,FALSE), $B$14:AE$73, AE$74,FALSE),"o")=$D$5),$D$5,AD40)))</f>
        <v>o</v>
      </c>
      <c r="AF40" s="93" t="s">
        <v>323</v>
      </c>
      <c r="AG40" s="70" t="str">
        <f>IF(AF40=$D$4,AF40,IF(OR(IFERROR(VLOOKUP(VLOOKUP($B40, Dependencies!$B$2:$G$230, 2,FALSE),$B$14:AG$73, AG$74,FALSE),"o")=$D$4,IFERROR(VLOOKUP(VLOOKUP($B40, Dependencies!$B$2:$G$230, 3,FALSE),$B$14:AG$73, AG$74,FALSE),"o")=$D$4,IFERROR(VLOOKUP(VLOOKUP($B40, Dependencies!$B$2:$G$230, 4,FALSE),$B$14:AG$73, AG$74,FALSE),"o")=$D$4,IFERROR(VLOOKUP(VLOOKUP($B40, Dependencies!$B$2:$G$230, 5,FALSE),$B$14:AG$73, AG$74,FALSE),"o")=$D$4,IFERROR(VLOOKUP(VLOOKUP($B40, Dependencies!$B$2:$G$230, 6,FALSE),$B$14:AG$73, AG$74,FALSE),"o")=$D$4),$D$4,IF(OR(IFERROR(VLOOKUP(VLOOKUP($B40, Dependencies!$B$2:$G$230, 2,FALSE), $B$14:AG$73, AG$74,FALSE),"o")=$D$5,IFERROR(VLOOKUP(VLOOKUP($B40, Dependencies!$B$2:$G$230, 3,FALSE), $B$14:AG$73, AG$74,FALSE),"o")=$D$5,IFERROR(VLOOKUP(VLOOKUP($B40, Dependencies!$B$2:$G$230, 4,FALSE), $B$14:AG$73, AG$74,FALSE),"o")=$D$5,IFERROR(VLOOKUP(VLOOKUP($B40, Dependencies!$B$2:$G$230, 5,FALSE), $B$14:AG$73, AG$74,FALSE),"o")=$D$5,IFERROR(VLOOKUP(VLOOKUP($B40, Dependencies!$B$2:$G$230, 6,FALSE), $B$14:AG$73, AG$74,FALSE),"o")=$D$5),$D$5,AF40)))</f>
        <v>o</v>
      </c>
      <c r="AH40" s="93" t="s">
        <v>323</v>
      </c>
      <c r="AI40" s="70" t="str">
        <f>IF(AH40=$D$4,AH40,IF(OR(IFERROR(VLOOKUP(VLOOKUP($B40, Dependencies!$B$2:$G$230, 2,FALSE),$B$14:AI$73, AI$74,FALSE),"o")=$D$4,IFERROR(VLOOKUP(VLOOKUP($B40, Dependencies!$B$2:$G$230, 3,FALSE),$B$14:AI$73, AI$74,FALSE),"o")=$D$4,IFERROR(VLOOKUP(VLOOKUP($B40, Dependencies!$B$2:$G$230, 4,FALSE),$B$14:AI$73, AI$74,FALSE),"o")=$D$4,IFERROR(VLOOKUP(VLOOKUP($B40, Dependencies!$B$2:$G$230, 5,FALSE),$B$14:AI$73, AI$74,FALSE),"o")=$D$4,IFERROR(VLOOKUP(VLOOKUP($B40, Dependencies!$B$2:$G$230, 6,FALSE),$B$14:AI$73, AI$74,FALSE),"o")=$D$4),$D$4,IF(OR(IFERROR(VLOOKUP(VLOOKUP($B40, Dependencies!$B$2:$G$230, 2,FALSE), $B$14:AI$73, AI$74,FALSE),"o")=$D$5,IFERROR(VLOOKUP(VLOOKUP($B40, Dependencies!$B$2:$G$230, 3,FALSE), $B$14:AI$73, AI$74,FALSE),"o")=$D$5,IFERROR(VLOOKUP(VLOOKUP($B40, Dependencies!$B$2:$G$230, 4,FALSE), $B$14:AI$73, AI$74,FALSE),"o")=$D$5,IFERROR(VLOOKUP(VLOOKUP($B40, Dependencies!$B$2:$G$230, 5,FALSE), $B$14:AI$73, AI$74,FALSE),"o")=$D$5,IFERROR(VLOOKUP(VLOOKUP($B40, Dependencies!$B$2:$G$230, 6,FALSE), $B$14:AI$73, AI$74,FALSE),"o")=$D$5),$D$5,AH40)))</f>
        <v>o</v>
      </c>
      <c r="AJ40" s="93" t="s">
        <v>323</v>
      </c>
      <c r="AK40" s="70" t="str">
        <f>IF(AJ40=$D$4,AJ40,IF(OR(IFERROR(VLOOKUP(VLOOKUP($B40, Dependencies!$B$2:$G$230, 2,FALSE),$B$14:AK$73, AK$74,FALSE),"o")=$D$4,IFERROR(VLOOKUP(VLOOKUP($B40, Dependencies!$B$2:$G$230, 3,FALSE),$B$14:AK$73, AK$74,FALSE),"o")=$D$4,IFERROR(VLOOKUP(VLOOKUP($B40, Dependencies!$B$2:$G$230, 4,FALSE),$B$14:AK$73, AK$74,FALSE),"o")=$D$4,IFERROR(VLOOKUP(VLOOKUP($B40, Dependencies!$B$2:$G$230, 5,FALSE),$B$14:AK$73, AK$74,FALSE),"o")=$D$4,IFERROR(VLOOKUP(VLOOKUP($B40, Dependencies!$B$2:$G$230, 6,FALSE),$B$14:AK$73, AK$74,FALSE),"o")=$D$4),$D$4,IF(OR(IFERROR(VLOOKUP(VLOOKUP($B40, Dependencies!$B$2:$G$230, 2,FALSE), $B$14:AK$73, AK$74,FALSE),"o")=$D$5,IFERROR(VLOOKUP(VLOOKUP($B40, Dependencies!$B$2:$G$230, 3,FALSE), $B$14:AK$73, AK$74,FALSE),"o")=$D$5,IFERROR(VLOOKUP(VLOOKUP($B40, Dependencies!$B$2:$G$230, 4,FALSE), $B$14:AK$73, AK$74,FALSE),"o")=$D$5,IFERROR(VLOOKUP(VLOOKUP($B40, Dependencies!$B$2:$G$230, 5,FALSE), $B$14:AK$73, AK$74,FALSE),"o")=$D$5,IFERROR(VLOOKUP(VLOOKUP($B40, Dependencies!$B$2:$G$230, 6,FALSE), $B$14:AK$73, AK$74,FALSE),"o")=$D$5),$D$5,AJ40)))</f>
        <v>o</v>
      </c>
      <c r="AL40" s="93" t="s">
        <v>323</v>
      </c>
      <c r="AM40" s="70" t="str">
        <f>IF(AL40=$D$4,AL40,IF(OR(IFERROR(VLOOKUP(VLOOKUP($B40, Dependencies!$B$2:$G$230, 2,FALSE),$B$14:AM$73, AM$74,FALSE),"o")=$D$4,IFERROR(VLOOKUP(VLOOKUP($B40, Dependencies!$B$2:$G$230, 3,FALSE),$B$14:AM$73, AM$74,FALSE),"o")=$D$4,IFERROR(VLOOKUP(VLOOKUP($B40, Dependencies!$B$2:$G$230, 4,FALSE),$B$14:AM$73, AM$74,FALSE),"o")=$D$4,IFERROR(VLOOKUP(VLOOKUP($B40, Dependencies!$B$2:$G$230, 5,FALSE),$B$14:AM$73, AM$74,FALSE),"o")=$D$4,IFERROR(VLOOKUP(VLOOKUP($B40, Dependencies!$B$2:$G$230, 6,FALSE),$B$14:AM$73, AM$74,FALSE),"o")=$D$4),$D$4,IF(OR(IFERROR(VLOOKUP(VLOOKUP($B40, Dependencies!$B$2:$G$230, 2,FALSE), $B$14:AM$73, AM$74,FALSE),"o")=$D$5,IFERROR(VLOOKUP(VLOOKUP($B40, Dependencies!$B$2:$G$230, 3,FALSE), $B$14:AM$73, AM$74,FALSE),"o")=$D$5,IFERROR(VLOOKUP(VLOOKUP($B40, Dependencies!$B$2:$G$230, 4,FALSE), $B$14:AM$73, AM$74,FALSE),"o")=$D$5,IFERROR(VLOOKUP(VLOOKUP($B40, Dependencies!$B$2:$G$230, 5,FALSE), $B$14:AM$73, AM$74,FALSE),"o")=$D$5,IFERROR(VLOOKUP(VLOOKUP($B40, Dependencies!$B$2:$G$230, 6,FALSE), $B$14:AM$73, AM$74,FALSE),"o")=$D$5),$D$5,AL40)))</f>
        <v>o</v>
      </c>
      <c r="AN40" s="93" t="s">
        <v>323</v>
      </c>
      <c r="AO40" s="70" t="str">
        <f>IF(AN40=$D$4,AN40,IF(OR(IFERROR(VLOOKUP(VLOOKUP($B40, Dependencies!$B$2:$G$230, 2,FALSE),$B$14:AO$73, AO$74,FALSE),"o")=$D$4,IFERROR(VLOOKUP(VLOOKUP($B40, Dependencies!$B$2:$G$230, 3,FALSE),$B$14:AO$73, AO$74,FALSE),"o")=$D$4,IFERROR(VLOOKUP(VLOOKUP($B40, Dependencies!$B$2:$G$230, 4,FALSE),$B$14:AO$73, AO$74,FALSE),"o")=$D$4,IFERROR(VLOOKUP(VLOOKUP($B40, Dependencies!$B$2:$G$230, 5,FALSE),$B$14:AO$73, AO$74,FALSE),"o")=$D$4,IFERROR(VLOOKUP(VLOOKUP($B40, Dependencies!$B$2:$G$230, 6,FALSE),$B$14:AO$73, AO$74,FALSE),"o")=$D$4),$D$4,IF(OR(IFERROR(VLOOKUP(VLOOKUP($B40, Dependencies!$B$2:$G$230, 2,FALSE), $B$14:AO$73, AO$74,FALSE),"o")=$D$5,IFERROR(VLOOKUP(VLOOKUP($B40, Dependencies!$B$2:$G$230, 3,FALSE), $B$14:AO$73, AO$74,FALSE),"o")=$D$5,IFERROR(VLOOKUP(VLOOKUP($B40, Dependencies!$B$2:$G$230, 4,FALSE), $B$14:AO$73, AO$74,FALSE),"o")=$D$5,IFERROR(VLOOKUP(VLOOKUP($B40, Dependencies!$B$2:$G$230, 5,FALSE), $B$14:AO$73, AO$74,FALSE),"o")=$D$5,IFERROR(VLOOKUP(VLOOKUP($B40, Dependencies!$B$2:$G$230, 6,FALSE), $B$14:AO$73, AO$74,FALSE),"o")=$D$5),$D$5,AN40)))</f>
        <v>o</v>
      </c>
      <c r="AP40" s="93" t="s">
        <v>323</v>
      </c>
      <c r="AQ40" s="70" t="str">
        <f>IF(AP40=$D$4,AP40,IF(OR(IFERROR(VLOOKUP(VLOOKUP($B40, Dependencies!$B$2:$G$230, 2,FALSE),$B$14:AQ$73, AQ$74,FALSE),"o")=$D$4,IFERROR(VLOOKUP(VLOOKUP($B40, Dependencies!$B$2:$G$230, 3,FALSE),$B$14:AQ$73, AQ$74,FALSE),"o")=$D$4,IFERROR(VLOOKUP(VLOOKUP($B40, Dependencies!$B$2:$G$230, 4,FALSE),$B$14:AQ$73, AQ$74,FALSE),"o")=$D$4,IFERROR(VLOOKUP(VLOOKUP($B40, Dependencies!$B$2:$G$230, 5,FALSE),$B$14:AQ$73, AQ$74,FALSE),"o")=$D$4,IFERROR(VLOOKUP(VLOOKUP($B40, Dependencies!$B$2:$G$230, 6,FALSE),$B$14:AQ$73, AQ$74,FALSE),"o")=$D$4),$D$4,IF(OR(IFERROR(VLOOKUP(VLOOKUP($B40, Dependencies!$B$2:$G$230, 2,FALSE), $B$14:AQ$73, AQ$74,FALSE),"o")=$D$5,IFERROR(VLOOKUP(VLOOKUP($B40, Dependencies!$B$2:$G$230, 3,FALSE), $B$14:AQ$73, AQ$74,FALSE),"o")=$D$5,IFERROR(VLOOKUP(VLOOKUP($B40, Dependencies!$B$2:$G$230, 4,FALSE), $B$14:AQ$73, AQ$74,FALSE),"o")=$D$5,IFERROR(VLOOKUP(VLOOKUP($B40, Dependencies!$B$2:$G$230, 5,FALSE), $B$14:AQ$73, AQ$74,FALSE),"o")=$D$5,IFERROR(VLOOKUP(VLOOKUP($B40, Dependencies!$B$2:$G$230, 6,FALSE), $B$14:AQ$73, AQ$74,FALSE),"o")=$D$5),$D$5,AP40)))</f>
        <v>o</v>
      </c>
      <c r="AR40" s="93" t="s">
        <v>323</v>
      </c>
      <c r="AS40" s="69" t="str">
        <f>IF(AR40=$D$4,AR40,IF(OR(IFERROR(VLOOKUP(VLOOKUP($B40, Dependencies!$B$2:$G$230, 2,FALSE),$B$14:AS$73, AS$74,FALSE),"o")=$D$4,IFERROR(VLOOKUP(VLOOKUP($B40, Dependencies!$B$2:$G$230, 3,FALSE),$B$14:AS$73, AS$74,FALSE),"o")=$D$4,IFERROR(VLOOKUP(VLOOKUP($B40, Dependencies!$B$2:$G$230, 4,FALSE),$B$14:AS$73, AS$74,FALSE),"o")=$D$4,IFERROR(VLOOKUP(VLOOKUP($B40, Dependencies!$B$2:$G$230, 5,FALSE),$B$14:AS$73, AS$74,FALSE),"o")=$D$4,IFERROR(VLOOKUP(VLOOKUP($B40, Dependencies!$B$2:$G$230, 6,FALSE),$B$14:AS$73, AS$74,FALSE),"o")=$D$4),$D$4,IF(OR(IFERROR(VLOOKUP(VLOOKUP($B40, Dependencies!$B$2:$G$230, 2,FALSE), $B$14:AS$73, AS$74,FALSE),"o")=$D$5,IFERROR(VLOOKUP(VLOOKUP($B40, Dependencies!$B$2:$G$230, 3,FALSE), $B$14:AS$73, AS$74,FALSE),"o")=$D$5,IFERROR(VLOOKUP(VLOOKUP($B40, Dependencies!$B$2:$G$230, 4,FALSE), $B$14:AS$73, AS$74,FALSE),"o")=$D$5,IFERROR(VLOOKUP(VLOOKUP($B40, Dependencies!$B$2:$G$230, 5,FALSE), $B$14:AS$73, AS$74,FALSE),"o")=$D$5,IFERROR(VLOOKUP(VLOOKUP($B40, Dependencies!$B$2:$G$230, 6,FALSE), $B$14:AS$73, AS$74,FALSE),"o")=$D$5),$D$5,AR40)))</f>
        <v>o</v>
      </c>
    </row>
    <row r="41" spans="1:45" x14ac:dyDescent="0.2">
      <c r="A41" s="40"/>
      <c r="B41" s="74" t="str">
        <f>MLEOsv2!A29</f>
        <v>MLEO_10_04</v>
      </c>
      <c r="C41" s="74">
        <f>MLEOsv2!C29</f>
        <v>3</v>
      </c>
      <c r="D41" s="44" t="str">
        <f>MLEOsv2!G29</f>
        <v>identify aggregation associations between participating classes including aggregation and composition.</v>
      </c>
      <c r="E41" s="68" t="b">
        <f>MLEOsv2!H29</f>
        <v>0</v>
      </c>
      <c r="F41" s="94" t="s">
        <v>320</v>
      </c>
      <c r="G41" s="72" t="str">
        <f>IF(F41=$D$4,F41,IF(OR(IFERROR(VLOOKUP(VLOOKUP($B41, Dependencies!$B$2:$G$230, 2,FALSE),$B$14:G$73, G$74,FALSE),"o")=$D$4,IFERROR(VLOOKUP(VLOOKUP($B41, Dependencies!$B$2:$G$230, 3,FALSE),$B$14:G$73, G$74,FALSE),"o")=$D$4,IFERROR(VLOOKUP(VLOOKUP($B41, Dependencies!$B$2:$G$230, 4,FALSE),$B$14:G$73, G$74,FALSE),"o")=$D$4,IFERROR(VLOOKUP(VLOOKUP($B41, Dependencies!$B$2:$G$230, 5,FALSE),$B$14:G$73, G$74,FALSE),"o")=$D$4,IFERROR(VLOOKUP(VLOOKUP($B41, Dependencies!$B$2:$G$230, 6,FALSE),$B$14:G$73, G$74,FALSE),"o")=$D$4),$D$4,IF(OR(IFERROR(VLOOKUP(VLOOKUP($B41, Dependencies!$B$2:$G$230, 2,FALSE), $B$14:G$73, G$74,FALSE),"o")=$D$5,IFERROR(VLOOKUP(VLOOKUP($B41, Dependencies!$B$2:$G$230, 3,FALSE), $B$14:G$73, G$74,FALSE),"o")=$D$5,IFERROR(VLOOKUP(VLOOKUP($B41, Dependencies!$B$2:$G$230, 4,FALSE), $B$14:G$73, G$74,FALSE),"o")=$D$5,IFERROR(VLOOKUP(VLOOKUP($B41, Dependencies!$B$2:$G$230, 5,FALSE), $B$14:G$73, G$74,FALSE),"o")=$D$5,IFERROR(VLOOKUP(VLOOKUP($B41, Dependencies!$B$2:$G$230, 6,FALSE), $B$14:G$73, G$74,FALSE),"o")=$D$5),$D$5,F41)))</f>
        <v>r</v>
      </c>
      <c r="H41" s="94" t="s">
        <v>321</v>
      </c>
      <c r="I41" s="72" t="str">
        <f>IF(H41=$D$4,H41,IF(OR(IFERROR(VLOOKUP(VLOOKUP($B41, Dependencies!$B$2:$G$230, 2,FALSE),$B$14:I$73, I$74,FALSE),"o")=$D$4,IFERROR(VLOOKUP(VLOOKUP($B41, Dependencies!$B$2:$G$230, 3,FALSE),$B$14:I$73, I$74,FALSE),"o")=$D$4,IFERROR(VLOOKUP(VLOOKUP($B41, Dependencies!$B$2:$G$230, 4,FALSE),$B$14:I$73, I$74,FALSE),"o")=$D$4,IFERROR(VLOOKUP(VLOOKUP($B41, Dependencies!$B$2:$G$230, 5,FALSE),$B$14:I$73, I$74,FALSE),"o")=$D$4,IFERROR(VLOOKUP(VLOOKUP($B41, Dependencies!$B$2:$G$230, 6,FALSE),$B$14:I$73, I$74,FALSE),"o")=$D$4),$D$4,IF(OR(IFERROR(VLOOKUP(VLOOKUP($B41, Dependencies!$B$2:$G$230, 2,FALSE), $B$14:I$73, I$74,FALSE),"o")=$D$5,IFERROR(VLOOKUP(VLOOKUP($B41, Dependencies!$B$2:$G$230, 3,FALSE), $B$14:I$73, I$74,FALSE),"o")=$D$5,IFERROR(VLOOKUP(VLOOKUP($B41, Dependencies!$B$2:$G$230, 4,FALSE), $B$14:I$73, I$74,FALSE),"o")=$D$5,IFERROR(VLOOKUP(VLOOKUP($B41, Dependencies!$B$2:$G$230, 5,FALSE), $B$14:I$73, I$74,FALSE),"o")=$D$5,IFERROR(VLOOKUP(VLOOKUP($B41, Dependencies!$B$2:$G$230, 6,FALSE), $B$14:I$73, I$74,FALSE),"o")=$D$5),$D$5,H41)))</f>
        <v>pr</v>
      </c>
      <c r="J41" s="94" t="s">
        <v>323</v>
      </c>
      <c r="K41" s="72" t="str">
        <f>IF(J41=$D$4,J41,IF(OR(IFERROR(VLOOKUP(VLOOKUP($B41, Dependencies!$B$2:$G$230, 2,FALSE),$B$14:K$73, K$74,FALSE),"o")=$D$4,IFERROR(VLOOKUP(VLOOKUP($B41, Dependencies!$B$2:$G$230, 3,FALSE),$B$14:K$73, K$74,FALSE),"o")=$D$4,IFERROR(VLOOKUP(VLOOKUP($B41, Dependencies!$B$2:$G$230, 4,FALSE),$B$14:K$73, K$74,FALSE),"o")=$D$4,IFERROR(VLOOKUP(VLOOKUP($B41, Dependencies!$B$2:$G$230, 5,FALSE),$B$14:K$73, K$74,FALSE),"o")=$D$4,IFERROR(VLOOKUP(VLOOKUP($B41, Dependencies!$B$2:$G$230, 6,FALSE),$B$14:K$73, K$74,FALSE),"o")=$D$4),$D$4,IF(OR(IFERROR(VLOOKUP(VLOOKUP($B41, Dependencies!$B$2:$G$230, 2,FALSE), $B$14:K$73, K$74,FALSE),"o")=$D$5,IFERROR(VLOOKUP(VLOOKUP($B41, Dependencies!$B$2:$G$230, 3,FALSE), $B$14:K$73, K$74,FALSE),"o")=$D$5,IFERROR(VLOOKUP(VLOOKUP($B41, Dependencies!$B$2:$G$230, 4,FALSE), $B$14:K$73, K$74,FALSE),"o")=$D$5,IFERROR(VLOOKUP(VLOOKUP($B41, Dependencies!$B$2:$G$230, 5,FALSE), $B$14:K$73, K$74,FALSE),"o")=$D$5,IFERROR(VLOOKUP(VLOOKUP($B41, Dependencies!$B$2:$G$230, 6,FALSE), $B$14:K$73, K$74,FALSE),"o")=$D$5),$D$5,J41)))</f>
        <v>o</v>
      </c>
      <c r="L41" s="94" t="s">
        <v>323</v>
      </c>
      <c r="M41" s="72" t="str">
        <f>IF(L41=$D$4,L41,IF(OR(IFERROR(VLOOKUP(VLOOKUP($B41, Dependencies!$B$2:$G$230, 2,FALSE),$B$14:M$73, M$74,FALSE),"o")=$D$4,IFERROR(VLOOKUP(VLOOKUP($B41, Dependencies!$B$2:$G$230, 3,FALSE),$B$14:M$73, M$74,FALSE),"o")=$D$4,IFERROR(VLOOKUP(VLOOKUP($B41, Dependencies!$B$2:$G$230, 4,FALSE),$B$14:M$73, M$74,FALSE),"o")=$D$4,IFERROR(VLOOKUP(VLOOKUP($B41, Dependencies!$B$2:$G$230, 5,FALSE),$B$14:M$73, M$74,FALSE),"o")=$D$4,IFERROR(VLOOKUP(VLOOKUP($B41, Dependencies!$B$2:$G$230, 6,FALSE),$B$14:M$73, M$74,FALSE),"o")=$D$4),$D$4,IF(OR(IFERROR(VLOOKUP(VLOOKUP($B41, Dependencies!$B$2:$G$230, 2,FALSE), $B$14:M$73, M$74,FALSE),"o")=$D$5,IFERROR(VLOOKUP(VLOOKUP($B41, Dependencies!$B$2:$G$230, 3,FALSE), $B$14:M$73, M$74,FALSE),"o")=$D$5,IFERROR(VLOOKUP(VLOOKUP($B41, Dependencies!$B$2:$G$230, 4,FALSE), $B$14:M$73, M$74,FALSE),"o")=$D$5,IFERROR(VLOOKUP(VLOOKUP($B41, Dependencies!$B$2:$G$230, 5,FALSE), $B$14:M$73, M$74,FALSE),"o")=$D$5,IFERROR(VLOOKUP(VLOOKUP($B41, Dependencies!$B$2:$G$230, 6,FALSE), $B$14:M$73, M$74,FALSE),"o")=$D$5),$D$5,L41)))</f>
        <v>o</v>
      </c>
      <c r="N41" s="94" t="s">
        <v>323</v>
      </c>
      <c r="O41" s="72" t="str">
        <f>IF(N41=$D$4,N41,IF(OR(IFERROR(VLOOKUP(VLOOKUP($B41, Dependencies!$B$2:$G$230, 2,FALSE),$B$14:O$73, O$74,FALSE),"o")=$D$4,IFERROR(VLOOKUP(VLOOKUP($B41, Dependencies!$B$2:$G$230, 3,FALSE),$B$14:O$73, O$74,FALSE),"o")=$D$4,IFERROR(VLOOKUP(VLOOKUP($B41, Dependencies!$B$2:$G$230, 4,FALSE),$B$14:O$73, O$74,FALSE),"o")=$D$4,IFERROR(VLOOKUP(VLOOKUP($B41, Dependencies!$B$2:$G$230, 5,FALSE),$B$14:O$73, O$74,FALSE),"o")=$D$4,IFERROR(VLOOKUP(VLOOKUP($B41, Dependencies!$B$2:$G$230, 6,FALSE),$B$14:O$73, O$74,FALSE),"o")=$D$4),$D$4,IF(OR(IFERROR(VLOOKUP(VLOOKUP($B41, Dependencies!$B$2:$G$230, 2,FALSE), $B$14:O$73, O$74,FALSE),"o")=$D$5,IFERROR(VLOOKUP(VLOOKUP($B41, Dependencies!$B$2:$G$230, 3,FALSE), $B$14:O$73, O$74,FALSE),"o")=$D$5,IFERROR(VLOOKUP(VLOOKUP($B41, Dependencies!$B$2:$G$230, 4,FALSE), $B$14:O$73, O$74,FALSE),"o")=$D$5,IFERROR(VLOOKUP(VLOOKUP($B41, Dependencies!$B$2:$G$230, 5,FALSE), $B$14:O$73, O$74,FALSE),"o")=$D$5,IFERROR(VLOOKUP(VLOOKUP($B41, Dependencies!$B$2:$G$230, 6,FALSE), $B$14:O$73, O$74,FALSE),"o")=$D$5),$D$5,N41)))</f>
        <v>o</v>
      </c>
      <c r="P41" s="94" t="s">
        <v>323</v>
      </c>
      <c r="Q41" s="72" t="str">
        <f>IF(P41=$D$4,P41,IF(OR(IFERROR(VLOOKUP(VLOOKUP($B41, Dependencies!$B$2:$G$230, 2,FALSE),$B$14:Q$73, Q$74,FALSE),"o")=$D$4,IFERROR(VLOOKUP(VLOOKUP($B41, Dependencies!$B$2:$G$230, 3,FALSE),$B$14:Q$73, Q$74,FALSE),"o")=$D$4,IFERROR(VLOOKUP(VLOOKUP($B41, Dependencies!$B$2:$G$230, 4,FALSE),$B$14:Q$73, Q$74,FALSE),"o")=$D$4,IFERROR(VLOOKUP(VLOOKUP($B41, Dependencies!$B$2:$G$230, 5,FALSE),$B$14:Q$73, Q$74,FALSE),"o")=$D$4,IFERROR(VLOOKUP(VLOOKUP($B41, Dependencies!$B$2:$G$230, 6,FALSE),$B$14:Q$73, Q$74,FALSE),"o")=$D$4),$D$4,IF(OR(IFERROR(VLOOKUP(VLOOKUP($B41, Dependencies!$B$2:$G$230, 2,FALSE), $B$14:Q$73, Q$74,FALSE),"o")=$D$5,IFERROR(VLOOKUP(VLOOKUP($B41, Dependencies!$B$2:$G$230, 3,FALSE), $B$14:Q$73, Q$74,FALSE),"o")=$D$5,IFERROR(VLOOKUP(VLOOKUP($B41, Dependencies!$B$2:$G$230, 4,FALSE), $B$14:Q$73, Q$74,FALSE),"o")=$D$5,IFERROR(VLOOKUP(VLOOKUP($B41, Dependencies!$B$2:$G$230, 5,FALSE), $B$14:Q$73, Q$74,FALSE),"o")=$D$5,IFERROR(VLOOKUP(VLOOKUP($B41, Dependencies!$B$2:$G$230, 6,FALSE), $B$14:Q$73, Q$74,FALSE),"o")=$D$5),$D$5,P41)))</f>
        <v>o</v>
      </c>
      <c r="R41" s="94" t="s">
        <v>323</v>
      </c>
      <c r="S41" s="72" t="str">
        <f>IF(R41=$D$4,R41,IF(OR(IFERROR(VLOOKUP(VLOOKUP($B41, Dependencies!$B$2:$G$230, 2,FALSE),$B$14:S$73, S$74,FALSE),"o")=$D$4,IFERROR(VLOOKUP(VLOOKUP($B41, Dependencies!$B$2:$G$230, 3,FALSE),$B$14:S$73, S$74,FALSE),"o")=$D$4,IFERROR(VLOOKUP(VLOOKUP($B41, Dependencies!$B$2:$G$230, 4,FALSE),$B$14:S$73, S$74,FALSE),"o")=$D$4,IFERROR(VLOOKUP(VLOOKUP($B41, Dependencies!$B$2:$G$230, 5,FALSE),$B$14:S$73, S$74,FALSE),"o")=$D$4,IFERROR(VLOOKUP(VLOOKUP($B41, Dependencies!$B$2:$G$230, 6,FALSE),$B$14:S$73, S$74,FALSE),"o")=$D$4),$D$4,IF(OR(IFERROR(VLOOKUP(VLOOKUP($B41, Dependencies!$B$2:$G$230, 2,FALSE), $B$14:S$73, S$74,FALSE),"o")=$D$5,IFERROR(VLOOKUP(VLOOKUP($B41, Dependencies!$B$2:$G$230, 3,FALSE), $B$14:S$73, S$74,FALSE),"o")=$D$5,IFERROR(VLOOKUP(VLOOKUP($B41, Dependencies!$B$2:$G$230, 4,FALSE), $B$14:S$73, S$74,FALSE),"o")=$D$5,IFERROR(VLOOKUP(VLOOKUP($B41, Dependencies!$B$2:$G$230, 5,FALSE), $B$14:S$73, S$74,FALSE),"o")=$D$5,IFERROR(VLOOKUP(VLOOKUP($B41, Dependencies!$B$2:$G$230, 6,FALSE), $B$14:S$73, S$74,FALSE),"o")=$D$5),$D$5,R41)))</f>
        <v>o</v>
      </c>
      <c r="T41" s="94" t="s">
        <v>323</v>
      </c>
      <c r="U41" s="72" t="str">
        <f>IF(T41=$D$4,T41,IF(OR(IFERROR(VLOOKUP(VLOOKUP($B41, Dependencies!$B$2:$G$230, 2,FALSE),$B$14:U$73, U$74,FALSE),"o")=$D$4,IFERROR(VLOOKUP(VLOOKUP($B41, Dependencies!$B$2:$G$230, 3,FALSE),$B$14:U$73, U$74,FALSE),"o")=$D$4,IFERROR(VLOOKUP(VLOOKUP($B41, Dependencies!$B$2:$G$230, 4,FALSE),$B$14:U$73, U$74,FALSE),"o")=$D$4,IFERROR(VLOOKUP(VLOOKUP($B41, Dependencies!$B$2:$G$230, 5,FALSE),$B$14:U$73, U$74,FALSE),"o")=$D$4,IFERROR(VLOOKUP(VLOOKUP($B41, Dependencies!$B$2:$G$230, 6,FALSE),$B$14:U$73, U$74,FALSE),"o")=$D$4),$D$4,IF(OR(IFERROR(VLOOKUP(VLOOKUP($B41, Dependencies!$B$2:$G$230, 2,FALSE), $B$14:U$73, U$74,FALSE),"o")=$D$5,IFERROR(VLOOKUP(VLOOKUP($B41, Dependencies!$B$2:$G$230, 3,FALSE), $B$14:U$73, U$74,FALSE),"o")=$D$5,IFERROR(VLOOKUP(VLOOKUP($B41, Dependencies!$B$2:$G$230, 4,FALSE), $B$14:U$73, U$74,FALSE),"o")=$D$5,IFERROR(VLOOKUP(VLOOKUP($B41, Dependencies!$B$2:$G$230, 5,FALSE), $B$14:U$73, U$74,FALSE),"o")=$D$5,IFERROR(VLOOKUP(VLOOKUP($B41, Dependencies!$B$2:$G$230, 6,FALSE), $B$14:U$73, U$74,FALSE),"o")=$D$5),$D$5,T41)))</f>
        <v>o</v>
      </c>
      <c r="V41" s="94" t="s">
        <v>323</v>
      </c>
      <c r="W41" s="72" t="str">
        <f>IF(V41=$D$4,V41,IF(OR(IFERROR(VLOOKUP(VLOOKUP($B41, Dependencies!$B$2:$G$230, 2,FALSE),$B$14:W$73, W$74,FALSE),"o")=$D$4,IFERROR(VLOOKUP(VLOOKUP($B41, Dependencies!$B$2:$G$230, 3,FALSE),$B$14:W$73, W$74,FALSE),"o")=$D$4,IFERROR(VLOOKUP(VLOOKUP($B41, Dependencies!$B$2:$G$230, 4,FALSE),$B$14:W$73, W$74,FALSE),"o")=$D$4,IFERROR(VLOOKUP(VLOOKUP($B41, Dependencies!$B$2:$G$230, 5,FALSE),$B$14:W$73, W$74,FALSE),"o")=$D$4,IFERROR(VLOOKUP(VLOOKUP($B41, Dependencies!$B$2:$G$230, 6,FALSE),$B$14:W$73, W$74,FALSE),"o")=$D$4),$D$4,IF(OR(IFERROR(VLOOKUP(VLOOKUP($B41, Dependencies!$B$2:$G$230, 2,FALSE), $B$14:W$73, W$74,FALSE),"o")=$D$5,IFERROR(VLOOKUP(VLOOKUP($B41, Dependencies!$B$2:$G$230, 3,FALSE), $B$14:W$73, W$74,FALSE),"o")=$D$5,IFERROR(VLOOKUP(VLOOKUP($B41, Dependencies!$B$2:$G$230, 4,FALSE), $B$14:W$73, W$74,FALSE),"o")=$D$5,IFERROR(VLOOKUP(VLOOKUP($B41, Dependencies!$B$2:$G$230, 5,FALSE), $B$14:W$73, W$74,FALSE),"o")=$D$5,IFERROR(VLOOKUP(VLOOKUP($B41, Dependencies!$B$2:$G$230, 6,FALSE), $B$14:W$73, W$74,FALSE),"o")=$D$5),$D$5,V41)))</f>
        <v>o</v>
      </c>
      <c r="X41" s="94" t="s">
        <v>323</v>
      </c>
      <c r="Y41" s="72" t="str">
        <f>IF(X41=$D$4,X41,IF(OR(IFERROR(VLOOKUP(VLOOKUP($B41, Dependencies!$B$2:$G$230, 2,FALSE),$B$14:Y$73, Y$74,FALSE),"o")=$D$4,IFERROR(VLOOKUP(VLOOKUP($B41, Dependencies!$B$2:$G$230, 3,FALSE),$B$14:Y$73, Y$74,FALSE),"o")=$D$4,IFERROR(VLOOKUP(VLOOKUP($B41, Dependencies!$B$2:$G$230, 4,FALSE),$B$14:Y$73, Y$74,FALSE),"o")=$D$4,IFERROR(VLOOKUP(VLOOKUP($B41, Dependencies!$B$2:$G$230, 5,FALSE),$B$14:Y$73, Y$74,FALSE),"o")=$D$4,IFERROR(VLOOKUP(VLOOKUP($B41, Dependencies!$B$2:$G$230, 6,FALSE),$B$14:Y$73, Y$74,FALSE),"o")=$D$4),$D$4,IF(OR(IFERROR(VLOOKUP(VLOOKUP($B41, Dependencies!$B$2:$G$230, 2,FALSE), $B$14:Y$73, Y$74,FALSE),"o")=$D$5,IFERROR(VLOOKUP(VLOOKUP($B41, Dependencies!$B$2:$G$230, 3,FALSE), $B$14:Y$73, Y$74,FALSE),"o")=$D$5,IFERROR(VLOOKUP(VLOOKUP($B41, Dependencies!$B$2:$G$230, 4,FALSE), $B$14:Y$73, Y$74,FALSE),"o")=$D$5,IFERROR(VLOOKUP(VLOOKUP($B41, Dependencies!$B$2:$G$230, 5,FALSE), $B$14:Y$73, Y$74,FALSE),"o")=$D$5,IFERROR(VLOOKUP(VLOOKUP($B41, Dependencies!$B$2:$G$230, 6,FALSE), $B$14:Y$73, Y$74,FALSE),"o")=$D$5),$D$5,X41)))</f>
        <v>o</v>
      </c>
      <c r="Z41" s="94" t="s">
        <v>323</v>
      </c>
      <c r="AA41" s="72" t="str">
        <f>IF(Z41=$D$4,Z41,IF(OR(IFERROR(VLOOKUP(VLOOKUP($B41, Dependencies!$B$2:$G$230, 2,FALSE),$B$14:AA$73, AA$74,FALSE),"o")=$D$4,IFERROR(VLOOKUP(VLOOKUP($B41, Dependencies!$B$2:$G$230, 3,FALSE),$B$14:AA$73, AA$74,FALSE),"o")=$D$4,IFERROR(VLOOKUP(VLOOKUP($B41, Dependencies!$B$2:$G$230, 4,FALSE),$B$14:AA$73, AA$74,FALSE),"o")=$D$4,IFERROR(VLOOKUP(VLOOKUP($B41, Dependencies!$B$2:$G$230, 5,FALSE),$B$14:AA$73, AA$74,FALSE),"o")=$D$4,IFERROR(VLOOKUP(VLOOKUP($B41, Dependencies!$B$2:$G$230, 6,FALSE),$B$14:AA$73, AA$74,FALSE),"o")=$D$4),$D$4,IF(OR(IFERROR(VLOOKUP(VLOOKUP($B41, Dependencies!$B$2:$G$230, 2,FALSE), $B$14:AA$73, AA$74,FALSE),"o")=$D$5,IFERROR(VLOOKUP(VLOOKUP($B41, Dependencies!$B$2:$G$230, 3,FALSE), $B$14:AA$73, AA$74,FALSE),"o")=$D$5,IFERROR(VLOOKUP(VLOOKUP($B41, Dependencies!$B$2:$G$230, 4,FALSE), $B$14:AA$73, AA$74,FALSE),"o")=$D$5,IFERROR(VLOOKUP(VLOOKUP($B41, Dependencies!$B$2:$G$230, 5,FALSE), $B$14:AA$73, AA$74,FALSE),"o")=$D$5,IFERROR(VLOOKUP(VLOOKUP($B41, Dependencies!$B$2:$G$230, 6,FALSE), $B$14:AA$73, AA$74,FALSE),"o")=$D$5),$D$5,Z41)))</f>
        <v>o</v>
      </c>
      <c r="AB41" s="94" t="s">
        <v>323</v>
      </c>
      <c r="AC41" s="72" t="str">
        <f>IF(AB41=$D$4,AB41,IF(OR(IFERROR(VLOOKUP(VLOOKUP($B41, Dependencies!$B$2:$G$230, 2,FALSE),$B$14:AC$73, AC$74,FALSE),"o")=$D$4,IFERROR(VLOOKUP(VLOOKUP($B41, Dependencies!$B$2:$G$230, 3,FALSE),$B$14:AC$73, AC$74,FALSE),"o")=$D$4,IFERROR(VLOOKUP(VLOOKUP($B41, Dependencies!$B$2:$G$230, 4,FALSE),$B$14:AC$73, AC$74,FALSE),"o")=$D$4,IFERROR(VLOOKUP(VLOOKUP($B41, Dependencies!$B$2:$G$230, 5,FALSE),$B$14:AC$73, AC$74,FALSE),"o")=$D$4,IFERROR(VLOOKUP(VLOOKUP($B41, Dependencies!$B$2:$G$230, 6,FALSE),$B$14:AC$73, AC$74,FALSE),"o")=$D$4),$D$4,IF(OR(IFERROR(VLOOKUP(VLOOKUP($B41, Dependencies!$B$2:$G$230, 2,FALSE), $B$14:AC$73, AC$74,FALSE),"o")=$D$5,IFERROR(VLOOKUP(VLOOKUP($B41, Dependencies!$B$2:$G$230, 3,FALSE), $B$14:AC$73, AC$74,FALSE),"o")=$D$5,IFERROR(VLOOKUP(VLOOKUP($B41, Dependencies!$B$2:$G$230, 4,FALSE), $B$14:AC$73, AC$74,FALSE),"o")=$D$5,IFERROR(VLOOKUP(VLOOKUP($B41, Dependencies!$B$2:$G$230, 5,FALSE), $B$14:AC$73, AC$74,FALSE),"o")=$D$5,IFERROR(VLOOKUP(VLOOKUP($B41, Dependencies!$B$2:$G$230, 6,FALSE), $B$14:AC$73, AC$74,FALSE),"o")=$D$5),$D$5,AB41)))</f>
        <v>o</v>
      </c>
      <c r="AD41" s="94" t="s">
        <v>323</v>
      </c>
      <c r="AE41" s="72" t="str">
        <f>IF(AD41=$D$4,AD41,IF(OR(IFERROR(VLOOKUP(VLOOKUP($B41, Dependencies!$B$2:$G$230, 2,FALSE),$B$14:AE$73, AE$74,FALSE),"o")=$D$4,IFERROR(VLOOKUP(VLOOKUP($B41, Dependencies!$B$2:$G$230, 3,FALSE),$B$14:AE$73, AE$74,FALSE),"o")=$D$4,IFERROR(VLOOKUP(VLOOKUP($B41, Dependencies!$B$2:$G$230, 4,FALSE),$B$14:AE$73, AE$74,FALSE),"o")=$D$4,IFERROR(VLOOKUP(VLOOKUP($B41, Dependencies!$B$2:$G$230, 5,FALSE),$B$14:AE$73, AE$74,FALSE),"o")=$D$4,IFERROR(VLOOKUP(VLOOKUP($B41, Dependencies!$B$2:$G$230, 6,FALSE),$B$14:AE$73, AE$74,FALSE),"o")=$D$4),$D$4,IF(OR(IFERROR(VLOOKUP(VLOOKUP($B41, Dependencies!$B$2:$G$230, 2,FALSE), $B$14:AE$73, AE$74,FALSE),"o")=$D$5,IFERROR(VLOOKUP(VLOOKUP($B41, Dependencies!$B$2:$G$230, 3,FALSE), $B$14:AE$73, AE$74,FALSE),"o")=$D$5,IFERROR(VLOOKUP(VLOOKUP($B41, Dependencies!$B$2:$G$230, 4,FALSE), $B$14:AE$73, AE$74,FALSE),"o")=$D$5,IFERROR(VLOOKUP(VLOOKUP($B41, Dependencies!$B$2:$G$230, 5,FALSE), $B$14:AE$73, AE$74,FALSE),"o")=$D$5,IFERROR(VLOOKUP(VLOOKUP($B41, Dependencies!$B$2:$G$230, 6,FALSE), $B$14:AE$73, AE$74,FALSE),"o")=$D$5),$D$5,AD41)))</f>
        <v>o</v>
      </c>
      <c r="AF41" s="94" t="s">
        <v>323</v>
      </c>
      <c r="AG41" s="72" t="str">
        <f>IF(AF41=$D$4,AF41,IF(OR(IFERROR(VLOOKUP(VLOOKUP($B41, Dependencies!$B$2:$G$230, 2,FALSE),$B$14:AG$73, AG$74,FALSE),"o")=$D$4,IFERROR(VLOOKUP(VLOOKUP($B41, Dependencies!$B$2:$G$230, 3,FALSE),$B$14:AG$73, AG$74,FALSE),"o")=$D$4,IFERROR(VLOOKUP(VLOOKUP($B41, Dependencies!$B$2:$G$230, 4,FALSE),$B$14:AG$73, AG$74,FALSE),"o")=$D$4,IFERROR(VLOOKUP(VLOOKUP($B41, Dependencies!$B$2:$G$230, 5,FALSE),$B$14:AG$73, AG$74,FALSE),"o")=$D$4,IFERROR(VLOOKUP(VLOOKUP($B41, Dependencies!$B$2:$G$230, 6,FALSE),$B$14:AG$73, AG$74,FALSE),"o")=$D$4),$D$4,IF(OR(IFERROR(VLOOKUP(VLOOKUP($B41, Dependencies!$B$2:$G$230, 2,FALSE), $B$14:AG$73, AG$74,FALSE),"o")=$D$5,IFERROR(VLOOKUP(VLOOKUP($B41, Dependencies!$B$2:$G$230, 3,FALSE), $B$14:AG$73, AG$74,FALSE),"o")=$D$5,IFERROR(VLOOKUP(VLOOKUP($B41, Dependencies!$B$2:$G$230, 4,FALSE), $B$14:AG$73, AG$74,FALSE),"o")=$D$5,IFERROR(VLOOKUP(VLOOKUP($B41, Dependencies!$B$2:$G$230, 5,FALSE), $B$14:AG$73, AG$74,FALSE),"o")=$D$5,IFERROR(VLOOKUP(VLOOKUP($B41, Dependencies!$B$2:$G$230, 6,FALSE), $B$14:AG$73, AG$74,FALSE),"o")=$D$5),$D$5,AF41)))</f>
        <v>o</v>
      </c>
      <c r="AH41" s="94" t="s">
        <v>323</v>
      </c>
      <c r="AI41" s="72" t="str">
        <f>IF(AH41=$D$4,AH41,IF(OR(IFERROR(VLOOKUP(VLOOKUP($B41, Dependencies!$B$2:$G$230, 2,FALSE),$B$14:AI$73, AI$74,FALSE),"o")=$D$4,IFERROR(VLOOKUP(VLOOKUP($B41, Dependencies!$B$2:$G$230, 3,FALSE),$B$14:AI$73, AI$74,FALSE),"o")=$D$4,IFERROR(VLOOKUP(VLOOKUP($B41, Dependencies!$B$2:$G$230, 4,FALSE),$B$14:AI$73, AI$74,FALSE),"o")=$D$4,IFERROR(VLOOKUP(VLOOKUP($B41, Dependencies!$B$2:$G$230, 5,FALSE),$B$14:AI$73, AI$74,FALSE),"o")=$D$4,IFERROR(VLOOKUP(VLOOKUP($B41, Dependencies!$B$2:$G$230, 6,FALSE),$B$14:AI$73, AI$74,FALSE),"o")=$D$4),$D$4,IF(OR(IFERROR(VLOOKUP(VLOOKUP($B41, Dependencies!$B$2:$G$230, 2,FALSE), $B$14:AI$73, AI$74,FALSE),"o")=$D$5,IFERROR(VLOOKUP(VLOOKUP($B41, Dependencies!$B$2:$G$230, 3,FALSE), $B$14:AI$73, AI$74,FALSE),"o")=$D$5,IFERROR(VLOOKUP(VLOOKUP($B41, Dependencies!$B$2:$G$230, 4,FALSE), $B$14:AI$73, AI$74,FALSE),"o")=$D$5,IFERROR(VLOOKUP(VLOOKUP($B41, Dependencies!$B$2:$G$230, 5,FALSE), $B$14:AI$73, AI$74,FALSE),"o")=$D$5,IFERROR(VLOOKUP(VLOOKUP($B41, Dependencies!$B$2:$G$230, 6,FALSE), $B$14:AI$73, AI$74,FALSE),"o")=$D$5),$D$5,AH41)))</f>
        <v>o</v>
      </c>
      <c r="AJ41" s="94" t="s">
        <v>323</v>
      </c>
      <c r="AK41" s="72" t="str">
        <f>IF(AJ41=$D$4,AJ41,IF(OR(IFERROR(VLOOKUP(VLOOKUP($B41, Dependencies!$B$2:$G$230, 2,FALSE),$B$14:AK$73, AK$74,FALSE),"o")=$D$4,IFERROR(VLOOKUP(VLOOKUP($B41, Dependencies!$B$2:$G$230, 3,FALSE),$B$14:AK$73, AK$74,FALSE),"o")=$D$4,IFERROR(VLOOKUP(VLOOKUP($B41, Dependencies!$B$2:$G$230, 4,FALSE),$B$14:AK$73, AK$74,FALSE),"o")=$D$4,IFERROR(VLOOKUP(VLOOKUP($B41, Dependencies!$B$2:$G$230, 5,FALSE),$B$14:AK$73, AK$74,FALSE),"o")=$D$4,IFERROR(VLOOKUP(VLOOKUP($B41, Dependencies!$B$2:$G$230, 6,FALSE),$B$14:AK$73, AK$74,FALSE),"o")=$D$4),$D$4,IF(OR(IFERROR(VLOOKUP(VLOOKUP($B41, Dependencies!$B$2:$G$230, 2,FALSE), $B$14:AK$73, AK$74,FALSE),"o")=$D$5,IFERROR(VLOOKUP(VLOOKUP($B41, Dependencies!$B$2:$G$230, 3,FALSE), $B$14:AK$73, AK$74,FALSE),"o")=$D$5,IFERROR(VLOOKUP(VLOOKUP($B41, Dependencies!$B$2:$G$230, 4,FALSE), $B$14:AK$73, AK$74,FALSE),"o")=$D$5,IFERROR(VLOOKUP(VLOOKUP($B41, Dependencies!$B$2:$G$230, 5,FALSE), $B$14:AK$73, AK$74,FALSE),"o")=$D$5,IFERROR(VLOOKUP(VLOOKUP($B41, Dependencies!$B$2:$G$230, 6,FALSE), $B$14:AK$73, AK$74,FALSE),"o")=$D$5),$D$5,AJ41)))</f>
        <v>o</v>
      </c>
      <c r="AL41" s="94" t="s">
        <v>323</v>
      </c>
      <c r="AM41" s="72" t="str">
        <f>IF(AL41=$D$4,AL41,IF(OR(IFERROR(VLOOKUP(VLOOKUP($B41, Dependencies!$B$2:$G$230, 2,FALSE),$B$14:AM$73, AM$74,FALSE),"o")=$D$4,IFERROR(VLOOKUP(VLOOKUP($B41, Dependencies!$B$2:$G$230, 3,FALSE),$B$14:AM$73, AM$74,FALSE),"o")=$D$4,IFERROR(VLOOKUP(VLOOKUP($B41, Dependencies!$B$2:$G$230, 4,FALSE),$B$14:AM$73, AM$74,FALSE),"o")=$D$4,IFERROR(VLOOKUP(VLOOKUP($B41, Dependencies!$B$2:$G$230, 5,FALSE),$B$14:AM$73, AM$74,FALSE),"o")=$D$4,IFERROR(VLOOKUP(VLOOKUP($B41, Dependencies!$B$2:$G$230, 6,FALSE),$B$14:AM$73, AM$74,FALSE),"o")=$D$4),$D$4,IF(OR(IFERROR(VLOOKUP(VLOOKUP($B41, Dependencies!$B$2:$G$230, 2,FALSE), $B$14:AM$73, AM$74,FALSE),"o")=$D$5,IFERROR(VLOOKUP(VLOOKUP($B41, Dependencies!$B$2:$G$230, 3,FALSE), $B$14:AM$73, AM$74,FALSE),"o")=$D$5,IFERROR(VLOOKUP(VLOOKUP($B41, Dependencies!$B$2:$G$230, 4,FALSE), $B$14:AM$73, AM$74,FALSE),"o")=$D$5,IFERROR(VLOOKUP(VLOOKUP($B41, Dependencies!$B$2:$G$230, 5,FALSE), $B$14:AM$73, AM$74,FALSE),"o")=$D$5,IFERROR(VLOOKUP(VLOOKUP($B41, Dependencies!$B$2:$G$230, 6,FALSE), $B$14:AM$73, AM$74,FALSE),"o")=$D$5),$D$5,AL41)))</f>
        <v>o</v>
      </c>
      <c r="AN41" s="94" t="s">
        <v>323</v>
      </c>
      <c r="AO41" s="72" t="str">
        <f>IF(AN41=$D$4,AN41,IF(OR(IFERROR(VLOOKUP(VLOOKUP($B41, Dependencies!$B$2:$G$230, 2,FALSE),$B$14:AO$73, AO$74,FALSE),"o")=$D$4,IFERROR(VLOOKUP(VLOOKUP($B41, Dependencies!$B$2:$G$230, 3,FALSE),$B$14:AO$73, AO$74,FALSE),"o")=$D$4,IFERROR(VLOOKUP(VLOOKUP($B41, Dependencies!$B$2:$G$230, 4,FALSE),$B$14:AO$73, AO$74,FALSE),"o")=$D$4,IFERROR(VLOOKUP(VLOOKUP($B41, Dependencies!$B$2:$G$230, 5,FALSE),$B$14:AO$73, AO$74,FALSE),"o")=$D$4,IFERROR(VLOOKUP(VLOOKUP($B41, Dependencies!$B$2:$G$230, 6,FALSE),$B$14:AO$73, AO$74,FALSE),"o")=$D$4),$D$4,IF(OR(IFERROR(VLOOKUP(VLOOKUP($B41, Dependencies!$B$2:$G$230, 2,FALSE), $B$14:AO$73, AO$74,FALSE),"o")=$D$5,IFERROR(VLOOKUP(VLOOKUP($B41, Dependencies!$B$2:$G$230, 3,FALSE), $B$14:AO$73, AO$74,FALSE),"o")=$D$5,IFERROR(VLOOKUP(VLOOKUP($B41, Dependencies!$B$2:$G$230, 4,FALSE), $B$14:AO$73, AO$74,FALSE),"o")=$D$5,IFERROR(VLOOKUP(VLOOKUP($B41, Dependencies!$B$2:$G$230, 5,FALSE), $B$14:AO$73, AO$74,FALSE),"o")=$D$5,IFERROR(VLOOKUP(VLOOKUP($B41, Dependencies!$B$2:$G$230, 6,FALSE), $B$14:AO$73, AO$74,FALSE),"o")=$D$5),$D$5,AN41)))</f>
        <v>o</v>
      </c>
      <c r="AP41" s="94" t="s">
        <v>323</v>
      </c>
      <c r="AQ41" s="72" t="str">
        <f>IF(AP41=$D$4,AP41,IF(OR(IFERROR(VLOOKUP(VLOOKUP($B41, Dependencies!$B$2:$G$230, 2,FALSE),$B$14:AQ$73, AQ$74,FALSE),"o")=$D$4,IFERROR(VLOOKUP(VLOOKUP($B41, Dependencies!$B$2:$G$230, 3,FALSE),$B$14:AQ$73, AQ$74,FALSE),"o")=$D$4,IFERROR(VLOOKUP(VLOOKUP($B41, Dependencies!$B$2:$G$230, 4,FALSE),$B$14:AQ$73, AQ$74,FALSE),"o")=$D$4,IFERROR(VLOOKUP(VLOOKUP($B41, Dependencies!$B$2:$G$230, 5,FALSE),$B$14:AQ$73, AQ$74,FALSE),"o")=$D$4,IFERROR(VLOOKUP(VLOOKUP($B41, Dependencies!$B$2:$G$230, 6,FALSE),$B$14:AQ$73, AQ$74,FALSE),"o")=$D$4),$D$4,IF(OR(IFERROR(VLOOKUP(VLOOKUP($B41, Dependencies!$B$2:$G$230, 2,FALSE), $B$14:AQ$73, AQ$74,FALSE),"o")=$D$5,IFERROR(VLOOKUP(VLOOKUP($B41, Dependencies!$B$2:$G$230, 3,FALSE), $B$14:AQ$73, AQ$74,FALSE),"o")=$D$5,IFERROR(VLOOKUP(VLOOKUP($B41, Dependencies!$B$2:$G$230, 4,FALSE), $B$14:AQ$73, AQ$74,FALSE),"o")=$D$5,IFERROR(VLOOKUP(VLOOKUP($B41, Dependencies!$B$2:$G$230, 5,FALSE), $B$14:AQ$73, AQ$74,FALSE),"o")=$D$5,IFERROR(VLOOKUP(VLOOKUP($B41, Dependencies!$B$2:$G$230, 6,FALSE), $B$14:AQ$73, AQ$74,FALSE),"o")=$D$5),$D$5,AP41)))</f>
        <v>o</v>
      </c>
      <c r="AR41" s="94" t="s">
        <v>323</v>
      </c>
      <c r="AS41" s="71" t="str">
        <f>IF(AR41=$D$4,AR41,IF(OR(IFERROR(VLOOKUP(VLOOKUP($B41, Dependencies!$B$2:$G$230, 2,FALSE),$B$14:AS$73, AS$74,FALSE),"o")=$D$4,IFERROR(VLOOKUP(VLOOKUP($B41, Dependencies!$B$2:$G$230, 3,FALSE),$B$14:AS$73, AS$74,FALSE),"o")=$D$4,IFERROR(VLOOKUP(VLOOKUP($B41, Dependencies!$B$2:$G$230, 4,FALSE),$B$14:AS$73, AS$74,FALSE),"o")=$D$4,IFERROR(VLOOKUP(VLOOKUP($B41, Dependencies!$B$2:$G$230, 5,FALSE),$B$14:AS$73, AS$74,FALSE),"o")=$D$4,IFERROR(VLOOKUP(VLOOKUP($B41, Dependencies!$B$2:$G$230, 6,FALSE),$B$14:AS$73, AS$74,FALSE),"o")=$D$4),$D$4,IF(OR(IFERROR(VLOOKUP(VLOOKUP($B41, Dependencies!$B$2:$G$230, 2,FALSE), $B$14:AS$73, AS$74,FALSE),"o")=$D$5,IFERROR(VLOOKUP(VLOOKUP($B41, Dependencies!$B$2:$G$230, 3,FALSE), $B$14:AS$73, AS$74,FALSE),"o")=$D$5,IFERROR(VLOOKUP(VLOOKUP($B41, Dependencies!$B$2:$G$230, 4,FALSE), $B$14:AS$73, AS$74,FALSE),"o")=$D$5,IFERROR(VLOOKUP(VLOOKUP($B41, Dependencies!$B$2:$G$230, 5,FALSE), $B$14:AS$73, AS$74,FALSE),"o")=$D$5,IFERROR(VLOOKUP(VLOOKUP($B41, Dependencies!$B$2:$G$230, 6,FALSE), $B$14:AS$73, AS$74,FALSE),"o")=$D$5),$D$5,AR41)))</f>
        <v>o</v>
      </c>
    </row>
    <row r="42" spans="1:45" x14ac:dyDescent="0.2">
      <c r="A42" s="40"/>
      <c r="B42" s="73" t="str">
        <f>MLEOsv2!A30</f>
        <v>MLEO_02_01</v>
      </c>
      <c r="C42" s="73">
        <f>MLEOsv2!C30</f>
        <v>4</v>
      </c>
      <c r="D42" s="42" t="str">
        <f>MLEOsv2!G30</f>
        <v>extend base classes.</v>
      </c>
      <c r="E42" s="51" t="b">
        <f>MLEOsv2!H30</f>
        <v>1</v>
      </c>
      <c r="F42" s="93" t="s">
        <v>320</v>
      </c>
      <c r="G42" s="70" t="str">
        <f>IF(F42=$D$4,F42,IF(OR(IFERROR(VLOOKUP(VLOOKUP($B42, Dependencies!$B$2:$G$230, 2,FALSE),$B$14:G$73, G$74,FALSE),"o")=$D$4,IFERROR(VLOOKUP(VLOOKUP($B42, Dependencies!$B$2:$G$230, 3,FALSE),$B$14:G$73, G$74,FALSE),"o")=$D$4,IFERROR(VLOOKUP(VLOOKUP($B42, Dependencies!$B$2:$G$230, 4,FALSE),$B$14:G$73, G$74,FALSE),"o")=$D$4,IFERROR(VLOOKUP(VLOOKUP($B42, Dependencies!$B$2:$G$230, 5,FALSE),$B$14:G$73, G$74,FALSE),"o")=$D$4,IFERROR(VLOOKUP(VLOOKUP($B42, Dependencies!$B$2:$G$230, 6,FALSE),$B$14:G$73, G$74,FALSE),"o")=$D$4),$D$4,IF(OR(IFERROR(VLOOKUP(VLOOKUP($B42, Dependencies!$B$2:$G$230, 2,FALSE), $B$14:G$73, G$74,FALSE),"o")=$D$5,IFERROR(VLOOKUP(VLOOKUP($B42, Dependencies!$B$2:$G$230, 3,FALSE), $B$14:G$73, G$74,FALSE),"o")=$D$5,IFERROR(VLOOKUP(VLOOKUP($B42, Dependencies!$B$2:$G$230, 4,FALSE), $B$14:G$73, G$74,FALSE),"o")=$D$5,IFERROR(VLOOKUP(VLOOKUP($B42, Dependencies!$B$2:$G$230, 5,FALSE), $B$14:G$73, G$74,FALSE),"o")=$D$5,IFERROR(VLOOKUP(VLOOKUP($B42, Dependencies!$B$2:$G$230, 6,FALSE), $B$14:G$73, G$74,FALSE),"o")=$D$5),$D$5,F42)))</f>
        <v>r</v>
      </c>
      <c r="H42" s="93" t="s">
        <v>321</v>
      </c>
      <c r="I42" s="70" t="str">
        <f>IF(H42=$D$4,H42,IF(OR(IFERROR(VLOOKUP(VLOOKUP($B42, Dependencies!$B$2:$G$230, 2,FALSE),$B$14:I$73, I$74,FALSE),"o")=$D$4,IFERROR(VLOOKUP(VLOOKUP($B42, Dependencies!$B$2:$G$230, 3,FALSE),$B$14:I$73, I$74,FALSE),"o")=$D$4,IFERROR(VLOOKUP(VLOOKUP($B42, Dependencies!$B$2:$G$230, 4,FALSE),$B$14:I$73, I$74,FALSE),"o")=$D$4,IFERROR(VLOOKUP(VLOOKUP($B42, Dependencies!$B$2:$G$230, 5,FALSE),$B$14:I$73, I$74,FALSE),"o")=$D$4,IFERROR(VLOOKUP(VLOOKUP($B42, Dependencies!$B$2:$G$230, 6,FALSE),$B$14:I$73, I$74,FALSE),"o")=$D$4),$D$4,IF(OR(IFERROR(VLOOKUP(VLOOKUP($B42, Dependencies!$B$2:$G$230, 2,FALSE), $B$14:I$73, I$74,FALSE),"o")=$D$5,IFERROR(VLOOKUP(VLOOKUP($B42, Dependencies!$B$2:$G$230, 3,FALSE), $B$14:I$73, I$74,FALSE),"o")=$D$5,IFERROR(VLOOKUP(VLOOKUP($B42, Dependencies!$B$2:$G$230, 4,FALSE), $B$14:I$73, I$74,FALSE),"o")=$D$5,IFERROR(VLOOKUP(VLOOKUP($B42, Dependencies!$B$2:$G$230, 5,FALSE), $B$14:I$73, I$74,FALSE),"o")=$D$5,IFERROR(VLOOKUP(VLOOKUP($B42, Dependencies!$B$2:$G$230, 6,FALSE), $B$14:I$73, I$74,FALSE),"o")=$D$5),$D$5,H42)))</f>
        <v>pr</v>
      </c>
      <c r="J42" s="93" t="s">
        <v>320</v>
      </c>
      <c r="K42" s="70" t="str">
        <f>IF(J42=$D$4,J42,IF(OR(IFERROR(VLOOKUP(VLOOKUP($B42, Dependencies!$B$2:$G$230, 2,FALSE),$B$14:K$73, K$74,FALSE),"o")=$D$4,IFERROR(VLOOKUP(VLOOKUP($B42, Dependencies!$B$2:$G$230, 3,FALSE),$B$14:K$73, K$74,FALSE),"o")=$D$4,IFERROR(VLOOKUP(VLOOKUP($B42, Dependencies!$B$2:$G$230, 4,FALSE),$B$14:K$73, K$74,FALSE),"o")=$D$4,IFERROR(VLOOKUP(VLOOKUP($B42, Dependencies!$B$2:$G$230, 5,FALSE),$B$14:K$73, K$74,FALSE),"o")=$D$4,IFERROR(VLOOKUP(VLOOKUP($B42, Dependencies!$B$2:$G$230, 6,FALSE),$B$14:K$73, K$74,FALSE),"o")=$D$4),$D$4,IF(OR(IFERROR(VLOOKUP(VLOOKUP($B42, Dependencies!$B$2:$G$230, 2,FALSE), $B$14:K$73, K$74,FALSE),"o")=$D$5,IFERROR(VLOOKUP(VLOOKUP($B42, Dependencies!$B$2:$G$230, 3,FALSE), $B$14:K$73, K$74,FALSE),"o")=$D$5,IFERROR(VLOOKUP(VLOOKUP($B42, Dependencies!$B$2:$G$230, 4,FALSE), $B$14:K$73, K$74,FALSE),"o")=$D$5,IFERROR(VLOOKUP(VLOOKUP($B42, Dependencies!$B$2:$G$230, 5,FALSE), $B$14:K$73, K$74,FALSE),"o")=$D$5,IFERROR(VLOOKUP(VLOOKUP($B42, Dependencies!$B$2:$G$230, 6,FALSE), $B$14:K$73, K$74,FALSE),"o")=$D$5),$D$5,J42)))</f>
        <v>r</v>
      </c>
      <c r="L42" s="93" t="s">
        <v>323</v>
      </c>
      <c r="M42" s="70" t="str">
        <f>IF(L42=$D$4,L42,IF(OR(IFERROR(VLOOKUP(VLOOKUP($B42, Dependencies!$B$2:$G$230, 2,FALSE),$B$14:M$73, M$74,FALSE),"o")=$D$4,IFERROR(VLOOKUP(VLOOKUP($B42, Dependencies!$B$2:$G$230, 3,FALSE),$B$14:M$73, M$74,FALSE),"o")=$D$4,IFERROR(VLOOKUP(VLOOKUP($B42, Dependencies!$B$2:$G$230, 4,FALSE),$B$14:M$73, M$74,FALSE),"o")=$D$4,IFERROR(VLOOKUP(VLOOKUP($B42, Dependencies!$B$2:$G$230, 5,FALSE),$B$14:M$73, M$74,FALSE),"o")=$D$4,IFERROR(VLOOKUP(VLOOKUP($B42, Dependencies!$B$2:$G$230, 6,FALSE),$B$14:M$73, M$74,FALSE),"o")=$D$4),$D$4,IF(OR(IFERROR(VLOOKUP(VLOOKUP($B42, Dependencies!$B$2:$G$230, 2,FALSE), $B$14:M$73, M$74,FALSE),"o")=$D$5,IFERROR(VLOOKUP(VLOOKUP($B42, Dependencies!$B$2:$G$230, 3,FALSE), $B$14:M$73, M$74,FALSE),"o")=$D$5,IFERROR(VLOOKUP(VLOOKUP($B42, Dependencies!$B$2:$G$230, 4,FALSE), $B$14:M$73, M$74,FALSE),"o")=$D$5,IFERROR(VLOOKUP(VLOOKUP($B42, Dependencies!$B$2:$G$230, 5,FALSE), $B$14:M$73, M$74,FALSE),"o")=$D$5,IFERROR(VLOOKUP(VLOOKUP($B42, Dependencies!$B$2:$G$230, 6,FALSE), $B$14:M$73, M$74,FALSE),"o")=$D$5),$D$5,L42)))</f>
        <v>r</v>
      </c>
      <c r="N42" s="93" t="s">
        <v>323</v>
      </c>
      <c r="O42" s="70" t="str">
        <f>IF(N42=$D$4,N42,IF(OR(IFERROR(VLOOKUP(VLOOKUP($B42, Dependencies!$B$2:$G$230, 2,FALSE),$B$14:O$73, O$74,FALSE),"o")=$D$4,IFERROR(VLOOKUP(VLOOKUP($B42, Dependencies!$B$2:$G$230, 3,FALSE),$B$14:O$73, O$74,FALSE),"o")=$D$4,IFERROR(VLOOKUP(VLOOKUP($B42, Dependencies!$B$2:$G$230, 4,FALSE),$B$14:O$73, O$74,FALSE),"o")=$D$4,IFERROR(VLOOKUP(VLOOKUP($B42, Dependencies!$B$2:$G$230, 5,FALSE),$B$14:O$73, O$74,FALSE),"o")=$D$4,IFERROR(VLOOKUP(VLOOKUP($B42, Dependencies!$B$2:$G$230, 6,FALSE),$B$14:O$73, O$74,FALSE),"o")=$D$4),$D$4,IF(OR(IFERROR(VLOOKUP(VLOOKUP($B42, Dependencies!$B$2:$G$230, 2,FALSE), $B$14:O$73, O$74,FALSE),"o")=$D$5,IFERROR(VLOOKUP(VLOOKUP($B42, Dependencies!$B$2:$G$230, 3,FALSE), $B$14:O$73, O$74,FALSE),"o")=$D$5,IFERROR(VLOOKUP(VLOOKUP($B42, Dependencies!$B$2:$G$230, 4,FALSE), $B$14:O$73, O$74,FALSE),"o")=$D$5,IFERROR(VLOOKUP(VLOOKUP($B42, Dependencies!$B$2:$G$230, 5,FALSE), $B$14:O$73, O$74,FALSE),"o")=$D$5,IFERROR(VLOOKUP(VLOOKUP($B42, Dependencies!$B$2:$G$230, 6,FALSE), $B$14:O$73, O$74,FALSE),"o")=$D$5),$D$5,N42)))</f>
        <v>o</v>
      </c>
      <c r="P42" s="93" t="s">
        <v>323</v>
      </c>
      <c r="Q42" s="70" t="str">
        <f>IF(P42=$D$4,P42,IF(OR(IFERROR(VLOOKUP(VLOOKUP($B42, Dependencies!$B$2:$G$230, 2,FALSE),$B$14:Q$73, Q$74,FALSE),"o")=$D$4,IFERROR(VLOOKUP(VLOOKUP($B42, Dependencies!$B$2:$G$230, 3,FALSE),$B$14:Q$73, Q$74,FALSE),"o")=$D$4,IFERROR(VLOOKUP(VLOOKUP($B42, Dependencies!$B$2:$G$230, 4,FALSE),$B$14:Q$73, Q$74,FALSE),"o")=$D$4,IFERROR(VLOOKUP(VLOOKUP($B42, Dependencies!$B$2:$G$230, 5,FALSE),$B$14:Q$73, Q$74,FALSE),"o")=$D$4,IFERROR(VLOOKUP(VLOOKUP($B42, Dependencies!$B$2:$G$230, 6,FALSE),$B$14:Q$73, Q$74,FALSE),"o")=$D$4),$D$4,IF(OR(IFERROR(VLOOKUP(VLOOKUP($B42, Dependencies!$B$2:$G$230, 2,FALSE), $B$14:Q$73, Q$74,FALSE),"o")=$D$5,IFERROR(VLOOKUP(VLOOKUP($B42, Dependencies!$B$2:$G$230, 3,FALSE), $B$14:Q$73, Q$74,FALSE),"o")=$D$5,IFERROR(VLOOKUP(VLOOKUP($B42, Dependencies!$B$2:$G$230, 4,FALSE), $B$14:Q$73, Q$74,FALSE),"o")=$D$5,IFERROR(VLOOKUP(VLOOKUP($B42, Dependencies!$B$2:$G$230, 5,FALSE), $B$14:Q$73, Q$74,FALSE),"o")=$D$5,IFERROR(VLOOKUP(VLOOKUP($B42, Dependencies!$B$2:$G$230, 6,FALSE), $B$14:Q$73, Q$74,FALSE),"o")=$D$5),$D$5,P42)))</f>
        <v>o</v>
      </c>
      <c r="R42" s="93" t="s">
        <v>323</v>
      </c>
      <c r="S42" s="70" t="str">
        <f>IF(R42=$D$4,R42,IF(OR(IFERROR(VLOOKUP(VLOOKUP($B42, Dependencies!$B$2:$G$230, 2,FALSE),$B$14:S$73, S$74,FALSE),"o")=$D$4,IFERROR(VLOOKUP(VLOOKUP($B42, Dependencies!$B$2:$G$230, 3,FALSE),$B$14:S$73, S$74,FALSE),"o")=$D$4,IFERROR(VLOOKUP(VLOOKUP($B42, Dependencies!$B$2:$G$230, 4,FALSE),$B$14:S$73, S$74,FALSE),"o")=$D$4,IFERROR(VLOOKUP(VLOOKUP($B42, Dependencies!$B$2:$G$230, 5,FALSE),$B$14:S$73, S$74,FALSE),"o")=$D$4,IFERROR(VLOOKUP(VLOOKUP($B42, Dependencies!$B$2:$G$230, 6,FALSE),$B$14:S$73, S$74,FALSE),"o")=$D$4),$D$4,IF(OR(IFERROR(VLOOKUP(VLOOKUP($B42, Dependencies!$B$2:$G$230, 2,FALSE), $B$14:S$73, S$74,FALSE),"o")=$D$5,IFERROR(VLOOKUP(VLOOKUP($B42, Dependencies!$B$2:$G$230, 3,FALSE), $B$14:S$73, S$74,FALSE),"o")=$D$5,IFERROR(VLOOKUP(VLOOKUP($B42, Dependencies!$B$2:$G$230, 4,FALSE), $B$14:S$73, S$74,FALSE),"o")=$D$5,IFERROR(VLOOKUP(VLOOKUP($B42, Dependencies!$B$2:$G$230, 5,FALSE), $B$14:S$73, S$74,FALSE),"o")=$D$5,IFERROR(VLOOKUP(VLOOKUP($B42, Dependencies!$B$2:$G$230, 6,FALSE), $B$14:S$73, S$74,FALSE),"o")=$D$5),$D$5,R42)))</f>
        <v>o</v>
      </c>
      <c r="T42" s="93" t="s">
        <v>323</v>
      </c>
      <c r="U42" s="70" t="str">
        <f>IF(T42=$D$4,T42,IF(OR(IFERROR(VLOOKUP(VLOOKUP($B42, Dependencies!$B$2:$G$230, 2,FALSE),$B$14:U$73, U$74,FALSE),"o")=$D$4,IFERROR(VLOOKUP(VLOOKUP($B42, Dependencies!$B$2:$G$230, 3,FALSE),$B$14:U$73, U$74,FALSE),"o")=$D$4,IFERROR(VLOOKUP(VLOOKUP($B42, Dependencies!$B$2:$G$230, 4,FALSE),$B$14:U$73, U$74,FALSE),"o")=$D$4,IFERROR(VLOOKUP(VLOOKUP($B42, Dependencies!$B$2:$G$230, 5,FALSE),$B$14:U$73, U$74,FALSE),"o")=$D$4,IFERROR(VLOOKUP(VLOOKUP($B42, Dependencies!$B$2:$G$230, 6,FALSE),$B$14:U$73, U$74,FALSE),"o")=$D$4),$D$4,IF(OR(IFERROR(VLOOKUP(VLOOKUP($B42, Dependencies!$B$2:$G$230, 2,FALSE), $B$14:U$73, U$74,FALSE),"o")=$D$5,IFERROR(VLOOKUP(VLOOKUP($B42, Dependencies!$B$2:$G$230, 3,FALSE), $B$14:U$73, U$74,FALSE),"o")=$D$5,IFERROR(VLOOKUP(VLOOKUP($B42, Dependencies!$B$2:$G$230, 4,FALSE), $B$14:U$73, U$74,FALSE),"o")=$D$5,IFERROR(VLOOKUP(VLOOKUP($B42, Dependencies!$B$2:$G$230, 5,FALSE), $B$14:U$73, U$74,FALSE),"o")=$D$5,IFERROR(VLOOKUP(VLOOKUP($B42, Dependencies!$B$2:$G$230, 6,FALSE), $B$14:U$73, U$74,FALSE),"o")=$D$5),$D$5,T42)))</f>
        <v>o</v>
      </c>
      <c r="V42" s="93" t="s">
        <v>323</v>
      </c>
      <c r="W42" s="70" t="str">
        <f>IF(V42=$D$4,V42,IF(OR(IFERROR(VLOOKUP(VLOOKUP($B42, Dependencies!$B$2:$G$230, 2,FALSE),$B$14:W$73, W$74,FALSE),"o")=$D$4,IFERROR(VLOOKUP(VLOOKUP($B42, Dependencies!$B$2:$G$230, 3,FALSE),$B$14:W$73, W$74,FALSE),"o")=$D$4,IFERROR(VLOOKUP(VLOOKUP($B42, Dependencies!$B$2:$G$230, 4,FALSE),$B$14:W$73, W$74,FALSE),"o")=$D$4,IFERROR(VLOOKUP(VLOOKUP($B42, Dependencies!$B$2:$G$230, 5,FALSE),$B$14:W$73, W$74,FALSE),"o")=$D$4,IFERROR(VLOOKUP(VLOOKUP($B42, Dependencies!$B$2:$G$230, 6,FALSE),$B$14:W$73, W$74,FALSE),"o")=$D$4),$D$4,IF(OR(IFERROR(VLOOKUP(VLOOKUP($B42, Dependencies!$B$2:$G$230, 2,FALSE), $B$14:W$73, W$74,FALSE),"o")=$D$5,IFERROR(VLOOKUP(VLOOKUP($B42, Dependencies!$B$2:$G$230, 3,FALSE), $B$14:W$73, W$74,FALSE),"o")=$D$5,IFERROR(VLOOKUP(VLOOKUP($B42, Dependencies!$B$2:$G$230, 4,FALSE), $B$14:W$73, W$74,FALSE),"o")=$D$5,IFERROR(VLOOKUP(VLOOKUP($B42, Dependencies!$B$2:$G$230, 5,FALSE), $B$14:W$73, W$74,FALSE),"o")=$D$5,IFERROR(VLOOKUP(VLOOKUP($B42, Dependencies!$B$2:$G$230, 6,FALSE), $B$14:W$73, W$74,FALSE),"o")=$D$5),$D$5,V42)))</f>
        <v>o</v>
      </c>
      <c r="X42" s="93" t="s">
        <v>323</v>
      </c>
      <c r="Y42" s="70" t="str">
        <f>IF(X42=$D$4,X42,IF(OR(IFERROR(VLOOKUP(VLOOKUP($B42, Dependencies!$B$2:$G$230, 2,FALSE),$B$14:Y$73, Y$74,FALSE),"o")=$D$4,IFERROR(VLOOKUP(VLOOKUP($B42, Dependencies!$B$2:$G$230, 3,FALSE),$B$14:Y$73, Y$74,FALSE),"o")=$D$4,IFERROR(VLOOKUP(VLOOKUP($B42, Dependencies!$B$2:$G$230, 4,FALSE),$B$14:Y$73, Y$74,FALSE),"o")=$D$4,IFERROR(VLOOKUP(VLOOKUP($B42, Dependencies!$B$2:$G$230, 5,FALSE),$B$14:Y$73, Y$74,FALSE),"o")=$D$4,IFERROR(VLOOKUP(VLOOKUP($B42, Dependencies!$B$2:$G$230, 6,FALSE),$B$14:Y$73, Y$74,FALSE),"o")=$D$4),$D$4,IF(OR(IFERROR(VLOOKUP(VLOOKUP($B42, Dependencies!$B$2:$G$230, 2,FALSE), $B$14:Y$73, Y$74,FALSE),"o")=$D$5,IFERROR(VLOOKUP(VLOOKUP($B42, Dependencies!$B$2:$G$230, 3,FALSE), $B$14:Y$73, Y$74,FALSE),"o")=$D$5,IFERROR(VLOOKUP(VLOOKUP($B42, Dependencies!$B$2:$G$230, 4,FALSE), $B$14:Y$73, Y$74,FALSE),"o")=$D$5,IFERROR(VLOOKUP(VLOOKUP($B42, Dependencies!$B$2:$G$230, 5,FALSE), $B$14:Y$73, Y$74,FALSE),"o")=$D$5,IFERROR(VLOOKUP(VLOOKUP($B42, Dependencies!$B$2:$G$230, 6,FALSE), $B$14:Y$73, Y$74,FALSE),"o")=$D$5),$D$5,X42)))</f>
        <v>o</v>
      </c>
      <c r="Z42" s="93" t="s">
        <v>323</v>
      </c>
      <c r="AA42" s="70" t="str">
        <f>IF(Z42=$D$4,Z42,IF(OR(IFERROR(VLOOKUP(VLOOKUP($B42, Dependencies!$B$2:$G$230, 2,FALSE),$B$14:AA$73, AA$74,FALSE),"o")=$D$4,IFERROR(VLOOKUP(VLOOKUP($B42, Dependencies!$B$2:$G$230, 3,FALSE),$B$14:AA$73, AA$74,FALSE),"o")=$D$4,IFERROR(VLOOKUP(VLOOKUP($B42, Dependencies!$B$2:$G$230, 4,FALSE),$B$14:AA$73, AA$74,FALSE),"o")=$D$4,IFERROR(VLOOKUP(VLOOKUP($B42, Dependencies!$B$2:$G$230, 5,FALSE),$B$14:AA$73, AA$74,FALSE),"o")=$D$4,IFERROR(VLOOKUP(VLOOKUP($B42, Dependencies!$B$2:$G$230, 6,FALSE),$B$14:AA$73, AA$74,FALSE),"o")=$D$4),$D$4,IF(OR(IFERROR(VLOOKUP(VLOOKUP($B42, Dependencies!$B$2:$G$230, 2,FALSE), $B$14:AA$73, AA$74,FALSE),"o")=$D$5,IFERROR(VLOOKUP(VLOOKUP($B42, Dependencies!$B$2:$G$230, 3,FALSE), $B$14:AA$73, AA$74,FALSE),"o")=$D$5,IFERROR(VLOOKUP(VLOOKUP($B42, Dependencies!$B$2:$G$230, 4,FALSE), $B$14:AA$73, AA$74,FALSE),"o")=$D$5,IFERROR(VLOOKUP(VLOOKUP($B42, Dependencies!$B$2:$G$230, 5,FALSE), $B$14:AA$73, AA$74,FALSE),"o")=$D$5,IFERROR(VLOOKUP(VLOOKUP($B42, Dependencies!$B$2:$G$230, 6,FALSE), $B$14:AA$73, AA$74,FALSE),"o")=$D$5),$D$5,Z42)))</f>
        <v>o</v>
      </c>
      <c r="AB42" s="93" t="s">
        <v>323</v>
      </c>
      <c r="AC42" s="70" t="str">
        <f>IF(AB42=$D$4,AB42,IF(OR(IFERROR(VLOOKUP(VLOOKUP($B42, Dependencies!$B$2:$G$230, 2,FALSE),$B$14:AC$73, AC$74,FALSE),"o")=$D$4,IFERROR(VLOOKUP(VLOOKUP($B42, Dependencies!$B$2:$G$230, 3,FALSE),$B$14:AC$73, AC$74,FALSE),"o")=$D$4,IFERROR(VLOOKUP(VLOOKUP($B42, Dependencies!$B$2:$G$230, 4,FALSE),$B$14:AC$73, AC$74,FALSE),"o")=$D$4,IFERROR(VLOOKUP(VLOOKUP($B42, Dependencies!$B$2:$G$230, 5,FALSE),$B$14:AC$73, AC$74,FALSE),"o")=$D$4,IFERROR(VLOOKUP(VLOOKUP($B42, Dependencies!$B$2:$G$230, 6,FALSE),$B$14:AC$73, AC$74,FALSE),"o")=$D$4),$D$4,IF(OR(IFERROR(VLOOKUP(VLOOKUP($B42, Dependencies!$B$2:$G$230, 2,FALSE), $B$14:AC$73, AC$74,FALSE),"o")=$D$5,IFERROR(VLOOKUP(VLOOKUP($B42, Dependencies!$B$2:$G$230, 3,FALSE), $B$14:AC$73, AC$74,FALSE),"o")=$D$5,IFERROR(VLOOKUP(VLOOKUP($B42, Dependencies!$B$2:$G$230, 4,FALSE), $B$14:AC$73, AC$74,FALSE),"o")=$D$5,IFERROR(VLOOKUP(VLOOKUP($B42, Dependencies!$B$2:$G$230, 5,FALSE), $B$14:AC$73, AC$74,FALSE),"o")=$D$5,IFERROR(VLOOKUP(VLOOKUP($B42, Dependencies!$B$2:$G$230, 6,FALSE), $B$14:AC$73, AC$74,FALSE),"o")=$D$5),$D$5,AB42)))</f>
        <v>o</v>
      </c>
      <c r="AD42" s="93" t="s">
        <v>323</v>
      </c>
      <c r="AE42" s="70" t="str">
        <f>IF(AD42=$D$4,AD42,IF(OR(IFERROR(VLOOKUP(VLOOKUP($B42, Dependencies!$B$2:$G$230, 2,FALSE),$B$14:AE$73, AE$74,FALSE),"o")=$D$4,IFERROR(VLOOKUP(VLOOKUP($B42, Dependencies!$B$2:$G$230, 3,FALSE),$B$14:AE$73, AE$74,FALSE),"o")=$D$4,IFERROR(VLOOKUP(VLOOKUP($B42, Dependencies!$B$2:$G$230, 4,FALSE),$B$14:AE$73, AE$74,FALSE),"o")=$D$4,IFERROR(VLOOKUP(VLOOKUP($B42, Dependencies!$B$2:$G$230, 5,FALSE),$B$14:AE$73, AE$74,FALSE),"o")=$D$4,IFERROR(VLOOKUP(VLOOKUP($B42, Dependencies!$B$2:$G$230, 6,FALSE),$B$14:AE$73, AE$74,FALSE),"o")=$D$4),$D$4,IF(OR(IFERROR(VLOOKUP(VLOOKUP($B42, Dependencies!$B$2:$G$230, 2,FALSE), $B$14:AE$73, AE$74,FALSE),"o")=$D$5,IFERROR(VLOOKUP(VLOOKUP($B42, Dependencies!$B$2:$G$230, 3,FALSE), $B$14:AE$73, AE$74,FALSE),"o")=$D$5,IFERROR(VLOOKUP(VLOOKUP($B42, Dependencies!$B$2:$G$230, 4,FALSE), $B$14:AE$73, AE$74,FALSE),"o")=$D$5,IFERROR(VLOOKUP(VLOOKUP($B42, Dependencies!$B$2:$G$230, 5,FALSE), $B$14:AE$73, AE$74,FALSE),"o")=$D$5,IFERROR(VLOOKUP(VLOOKUP($B42, Dependencies!$B$2:$G$230, 6,FALSE), $B$14:AE$73, AE$74,FALSE),"o")=$D$5),$D$5,AD42)))</f>
        <v>o</v>
      </c>
      <c r="AF42" s="93" t="s">
        <v>323</v>
      </c>
      <c r="AG42" s="70" t="str">
        <f>IF(AF42=$D$4,AF42,IF(OR(IFERROR(VLOOKUP(VLOOKUP($B42, Dependencies!$B$2:$G$230, 2,FALSE),$B$14:AG$73, AG$74,FALSE),"o")=$D$4,IFERROR(VLOOKUP(VLOOKUP($B42, Dependencies!$B$2:$G$230, 3,FALSE),$B$14:AG$73, AG$74,FALSE),"o")=$D$4,IFERROR(VLOOKUP(VLOOKUP($B42, Dependencies!$B$2:$G$230, 4,FALSE),$B$14:AG$73, AG$74,FALSE),"o")=$D$4,IFERROR(VLOOKUP(VLOOKUP($B42, Dependencies!$B$2:$G$230, 5,FALSE),$B$14:AG$73, AG$74,FALSE),"o")=$D$4,IFERROR(VLOOKUP(VLOOKUP($B42, Dependencies!$B$2:$G$230, 6,FALSE),$B$14:AG$73, AG$74,FALSE),"o")=$D$4),$D$4,IF(OR(IFERROR(VLOOKUP(VLOOKUP($B42, Dependencies!$B$2:$G$230, 2,FALSE), $B$14:AG$73, AG$74,FALSE),"o")=$D$5,IFERROR(VLOOKUP(VLOOKUP($B42, Dependencies!$B$2:$G$230, 3,FALSE), $B$14:AG$73, AG$74,FALSE),"o")=$D$5,IFERROR(VLOOKUP(VLOOKUP($B42, Dependencies!$B$2:$G$230, 4,FALSE), $B$14:AG$73, AG$74,FALSE),"o")=$D$5,IFERROR(VLOOKUP(VLOOKUP($B42, Dependencies!$B$2:$G$230, 5,FALSE), $B$14:AG$73, AG$74,FALSE),"o")=$D$5,IFERROR(VLOOKUP(VLOOKUP($B42, Dependencies!$B$2:$G$230, 6,FALSE), $B$14:AG$73, AG$74,FALSE),"o")=$D$5),$D$5,AF42)))</f>
        <v>o</v>
      </c>
      <c r="AH42" s="93" t="s">
        <v>323</v>
      </c>
      <c r="AI42" s="70" t="str">
        <f>IF(AH42=$D$4,AH42,IF(OR(IFERROR(VLOOKUP(VLOOKUP($B42, Dependencies!$B$2:$G$230, 2,FALSE),$B$14:AI$73, AI$74,FALSE),"o")=$D$4,IFERROR(VLOOKUP(VLOOKUP($B42, Dependencies!$B$2:$G$230, 3,FALSE),$B$14:AI$73, AI$74,FALSE),"o")=$D$4,IFERROR(VLOOKUP(VLOOKUP($B42, Dependencies!$B$2:$G$230, 4,FALSE),$B$14:AI$73, AI$74,FALSE),"o")=$D$4,IFERROR(VLOOKUP(VLOOKUP($B42, Dependencies!$B$2:$G$230, 5,FALSE),$B$14:AI$73, AI$74,FALSE),"o")=$D$4,IFERROR(VLOOKUP(VLOOKUP($B42, Dependencies!$B$2:$G$230, 6,FALSE),$B$14:AI$73, AI$74,FALSE),"o")=$D$4),$D$4,IF(OR(IFERROR(VLOOKUP(VLOOKUP($B42, Dependencies!$B$2:$G$230, 2,FALSE), $B$14:AI$73, AI$74,FALSE),"o")=$D$5,IFERROR(VLOOKUP(VLOOKUP($B42, Dependencies!$B$2:$G$230, 3,FALSE), $B$14:AI$73, AI$74,FALSE),"o")=$D$5,IFERROR(VLOOKUP(VLOOKUP($B42, Dependencies!$B$2:$G$230, 4,FALSE), $B$14:AI$73, AI$74,FALSE),"o")=$D$5,IFERROR(VLOOKUP(VLOOKUP($B42, Dependencies!$B$2:$G$230, 5,FALSE), $B$14:AI$73, AI$74,FALSE),"o")=$D$5,IFERROR(VLOOKUP(VLOOKUP($B42, Dependencies!$B$2:$G$230, 6,FALSE), $B$14:AI$73, AI$74,FALSE),"o")=$D$5),$D$5,AH42)))</f>
        <v>o</v>
      </c>
      <c r="AJ42" s="93" t="s">
        <v>323</v>
      </c>
      <c r="AK42" s="70" t="str">
        <f>IF(AJ42=$D$4,AJ42,IF(OR(IFERROR(VLOOKUP(VLOOKUP($B42, Dependencies!$B$2:$G$230, 2,FALSE),$B$14:AK$73, AK$74,FALSE),"o")=$D$4,IFERROR(VLOOKUP(VLOOKUP($B42, Dependencies!$B$2:$G$230, 3,FALSE),$B$14:AK$73, AK$74,FALSE),"o")=$D$4,IFERROR(VLOOKUP(VLOOKUP($B42, Dependencies!$B$2:$G$230, 4,FALSE),$B$14:AK$73, AK$74,FALSE),"o")=$D$4,IFERROR(VLOOKUP(VLOOKUP($B42, Dependencies!$B$2:$G$230, 5,FALSE),$B$14:AK$73, AK$74,FALSE),"o")=$D$4,IFERROR(VLOOKUP(VLOOKUP($B42, Dependencies!$B$2:$G$230, 6,FALSE),$B$14:AK$73, AK$74,FALSE),"o")=$D$4),$D$4,IF(OR(IFERROR(VLOOKUP(VLOOKUP($B42, Dependencies!$B$2:$G$230, 2,FALSE), $B$14:AK$73, AK$74,FALSE),"o")=$D$5,IFERROR(VLOOKUP(VLOOKUP($B42, Dependencies!$B$2:$G$230, 3,FALSE), $B$14:AK$73, AK$74,FALSE),"o")=$D$5,IFERROR(VLOOKUP(VLOOKUP($B42, Dependencies!$B$2:$G$230, 4,FALSE), $B$14:AK$73, AK$74,FALSE),"o")=$D$5,IFERROR(VLOOKUP(VLOOKUP($B42, Dependencies!$B$2:$G$230, 5,FALSE), $B$14:AK$73, AK$74,FALSE),"o")=$D$5,IFERROR(VLOOKUP(VLOOKUP($B42, Dependencies!$B$2:$G$230, 6,FALSE), $B$14:AK$73, AK$74,FALSE),"o")=$D$5),$D$5,AJ42)))</f>
        <v>o</v>
      </c>
      <c r="AL42" s="93" t="s">
        <v>323</v>
      </c>
      <c r="AM42" s="70" t="str">
        <f>IF(AL42=$D$4,AL42,IF(OR(IFERROR(VLOOKUP(VLOOKUP($B42, Dependencies!$B$2:$G$230, 2,FALSE),$B$14:AM$73, AM$74,FALSE),"o")=$D$4,IFERROR(VLOOKUP(VLOOKUP($B42, Dependencies!$B$2:$G$230, 3,FALSE),$B$14:AM$73, AM$74,FALSE),"o")=$D$4,IFERROR(VLOOKUP(VLOOKUP($B42, Dependencies!$B$2:$G$230, 4,FALSE),$B$14:AM$73, AM$74,FALSE),"o")=$D$4,IFERROR(VLOOKUP(VLOOKUP($B42, Dependencies!$B$2:$G$230, 5,FALSE),$B$14:AM$73, AM$74,FALSE),"o")=$D$4,IFERROR(VLOOKUP(VLOOKUP($B42, Dependencies!$B$2:$G$230, 6,FALSE),$B$14:AM$73, AM$74,FALSE),"o")=$D$4),$D$4,IF(OR(IFERROR(VLOOKUP(VLOOKUP($B42, Dependencies!$B$2:$G$230, 2,FALSE), $B$14:AM$73, AM$74,FALSE),"o")=$D$5,IFERROR(VLOOKUP(VLOOKUP($B42, Dependencies!$B$2:$G$230, 3,FALSE), $B$14:AM$73, AM$74,FALSE),"o")=$D$5,IFERROR(VLOOKUP(VLOOKUP($B42, Dependencies!$B$2:$G$230, 4,FALSE), $B$14:AM$73, AM$74,FALSE),"o")=$D$5,IFERROR(VLOOKUP(VLOOKUP($B42, Dependencies!$B$2:$G$230, 5,FALSE), $B$14:AM$73, AM$74,FALSE),"o")=$D$5,IFERROR(VLOOKUP(VLOOKUP($B42, Dependencies!$B$2:$G$230, 6,FALSE), $B$14:AM$73, AM$74,FALSE),"o")=$D$5),$D$5,AL42)))</f>
        <v>o</v>
      </c>
      <c r="AN42" s="93" t="s">
        <v>323</v>
      </c>
      <c r="AO42" s="70" t="str">
        <f>IF(AN42=$D$4,AN42,IF(OR(IFERROR(VLOOKUP(VLOOKUP($B42, Dependencies!$B$2:$G$230, 2,FALSE),$B$14:AO$73, AO$74,FALSE),"o")=$D$4,IFERROR(VLOOKUP(VLOOKUP($B42, Dependencies!$B$2:$G$230, 3,FALSE),$B$14:AO$73, AO$74,FALSE),"o")=$D$4,IFERROR(VLOOKUP(VLOOKUP($B42, Dependencies!$B$2:$G$230, 4,FALSE),$B$14:AO$73, AO$74,FALSE),"o")=$D$4,IFERROR(VLOOKUP(VLOOKUP($B42, Dependencies!$B$2:$G$230, 5,FALSE),$B$14:AO$73, AO$74,FALSE),"o")=$D$4,IFERROR(VLOOKUP(VLOOKUP($B42, Dependencies!$B$2:$G$230, 6,FALSE),$B$14:AO$73, AO$74,FALSE),"o")=$D$4),$D$4,IF(OR(IFERROR(VLOOKUP(VLOOKUP($B42, Dependencies!$B$2:$G$230, 2,FALSE), $B$14:AO$73, AO$74,FALSE),"o")=$D$5,IFERROR(VLOOKUP(VLOOKUP($B42, Dependencies!$B$2:$G$230, 3,FALSE), $B$14:AO$73, AO$74,FALSE),"o")=$D$5,IFERROR(VLOOKUP(VLOOKUP($B42, Dependencies!$B$2:$G$230, 4,FALSE), $B$14:AO$73, AO$74,FALSE),"o")=$D$5,IFERROR(VLOOKUP(VLOOKUP($B42, Dependencies!$B$2:$G$230, 5,FALSE), $B$14:AO$73, AO$74,FALSE),"o")=$D$5,IFERROR(VLOOKUP(VLOOKUP($B42, Dependencies!$B$2:$G$230, 6,FALSE), $B$14:AO$73, AO$74,FALSE),"o")=$D$5),$D$5,AN42)))</f>
        <v>o</v>
      </c>
      <c r="AP42" s="93" t="s">
        <v>323</v>
      </c>
      <c r="AQ42" s="70" t="str">
        <f>IF(AP42=$D$4,AP42,IF(OR(IFERROR(VLOOKUP(VLOOKUP($B42, Dependencies!$B$2:$G$230, 2,FALSE),$B$14:AQ$73, AQ$74,FALSE),"o")=$D$4,IFERROR(VLOOKUP(VLOOKUP($B42, Dependencies!$B$2:$G$230, 3,FALSE),$B$14:AQ$73, AQ$74,FALSE),"o")=$D$4,IFERROR(VLOOKUP(VLOOKUP($B42, Dependencies!$B$2:$G$230, 4,FALSE),$B$14:AQ$73, AQ$74,FALSE),"o")=$D$4,IFERROR(VLOOKUP(VLOOKUP($B42, Dependencies!$B$2:$G$230, 5,FALSE),$B$14:AQ$73, AQ$74,FALSE),"o")=$D$4,IFERROR(VLOOKUP(VLOOKUP($B42, Dependencies!$B$2:$G$230, 6,FALSE),$B$14:AQ$73, AQ$74,FALSE),"o")=$D$4),$D$4,IF(OR(IFERROR(VLOOKUP(VLOOKUP($B42, Dependencies!$B$2:$G$230, 2,FALSE), $B$14:AQ$73, AQ$74,FALSE),"o")=$D$5,IFERROR(VLOOKUP(VLOOKUP($B42, Dependencies!$B$2:$G$230, 3,FALSE), $B$14:AQ$73, AQ$74,FALSE),"o")=$D$5,IFERROR(VLOOKUP(VLOOKUP($B42, Dependencies!$B$2:$G$230, 4,FALSE), $B$14:AQ$73, AQ$74,FALSE),"o")=$D$5,IFERROR(VLOOKUP(VLOOKUP($B42, Dependencies!$B$2:$G$230, 5,FALSE), $B$14:AQ$73, AQ$74,FALSE),"o")=$D$5,IFERROR(VLOOKUP(VLOOKUP($B42, Dependencies!$B$2:$G$230, 6,FALSE), $B$14:AQ$73, AQ$74,FALSE),"o")=$D$5),$D$5,AP42)))</f>
        <v>o</v>
      </c>
      <c r="AR42" s="93" t="s">
        <v>323</v>
      </c>
      <c r="AS42" s="69" t="str">
        <f>IF(AR42=$D$4,AR42,IF(OR(IFERROR(VLOOKUP(VLOOKUP($B42, Dependencies!$B$2:$G$230, 2,FALSE),$B$14:AS$73, AS$74,FALSE),"o")=$D$4,IFERROR(VLOOKUP(VLOOKUP($B42, Dependencies!$B$2:$G$230, 3,FALSE),$B$14:AS$73, AS$74,FALSE),"o")=$D$4,IFERROR(VLOOKUP(VLOOKUP($B42, Dependencies!$B$2:$G$230, 4,FALSE),$B$14:AS$73, AS$74,FALSE),"o")=$D$4,IFERROR(VLOOKUP(VLOOKUP($B42, Dependencies!$B$2:$G$230, 5,FALSE),$B$14:AS$73, AS$74,FALSE),"o")=$D$4,IFERROR(VLOOKUP(VLOOKUP($B42, Dependencies!$B$2:$G$230, 6,FALSE),$B$14:AS$73, AS$74,FALSE),"o")=$D$4),$D$4,IF(OR(IFERROR(VLOOKUP(VLOOKUP($B42, Dependencies!$B$2:$G$230, 2,FALSE), $B$14:AS$73, AS$74,FALSE),"o")=$D$5,IFERROR(VLOOKUP(VLOOKUP($B42, Dependencies!$B$2:$G$230, 3,FALSE), $B$14:AS$73, AS$74,FALSE),"o")=$D$5,IFERROR(VLOOKUP(VLOOKUP($B42, Dependencies!$B$2:$G$230, 4,FALSE), $B$14:AS$73, AS$74,FALSE),"o")=$D$5,IFERROR(VLOOKUP(VLOOKUP($B42, Dependencies!$B$2:$G$230, 5,FALSE), $B$14:AS$73, AS$74,FALSE),"o")=$D$5,IFERROR(VLOOKUP(VLOOKUP($B42, Dependencies!$B$2:$G$230, 6,FALSE), $B$14:AS$73, AS$74,FALSE),"o")=$D$5),$D$5,AR42)))</f>
        <v>o</v>
      </c>
    </row>
    <row r="43" spans="1:45" x14ac:dyDescent="0.2">
      <c r="A43" s="40" t="s">
        <v>332</v>
      </c>
      <c r="B43" s="74" t="str">
        <f>MLEOsv2!A31</f>
        <v>MLEO_02_02</v>
      </c>
      <c r="C43" s="74">
        <f>MLEOsv2!C31</f>
        <v>4</v>
      </c>
      <c r="D43" s="44" t="str">
        <f>MLEOsv2!G31</f>
        <v>override methods in sub classes.</v>
      </c>
      <c r="E43" s="68" t="b">
        <f>MLEOsv2!H31</f>
        <v>1</v>
      </c>
      <c r="F43" s="94" t="s">
        <v>320</v>
      </c>
      <c r="G43" s="72" t="str">
        <f>IF(F43=$D$4,F43,IF(OR(IFERROR(VLOOKUP(VLOOKUP($B43, Dependencies!$B$2:$G$230, 2,FALSE),$B$14:G$73, G$74,FALSE),"o")=$D$4,IFERROR(VLOOKUP(VLOOKUP($B43, Dependencies!$B$2:$G$230, 3,FALSE),$B$14:G$73, G$74,FALSE),"o")=$D$4,IFERROR(VLOOKUP(VLOOKUP($B43, Dependencies!$B$2:$G$230, 4,FALSE),$B$14:G$73, G$74,FALSE),"o")=$D$4,IFERROR(VLOOKUP(VLOOKUP($B43, Dependencies!$B$2:$G$230, 5,FALSE),$B$14:G$73, G$74,FALSE),"o")=$D$4,IFERROR(VLOOKUP(VLOOKUP($B43, Dependencies!$B$2:$G$230, 6,FALSE),$B$14:G$73, G$74,FALSE),"o")=$D$4),$D$4,IF(OR(IFERROR(VLOOKUP(VLOOKUP($B43, Dependencies!$B$2:$G$230, 2,FALSE), $B$14:G$73, G$74,FALSE),"o")=$D$5,IFERROR(VLOOKUP(VLOOKUP($B43, Dependencies!$B$2:$G$230, 3,FALSE), $B$14:G$73, G$74,FALSE),"o")=$D$5,IFERROR(VLOOKUP(VLOOKUP($B43, Dependencies!$B$2:$G$230, 4,FALSE), $B$14:G$73, G$74,FALSE),"o")=$D$5,IFERROR(VLOOKUP(VLOOKUP($B43, Dependencies!$B$2:$G$230, 5,FALSE), $B$14:G$73, G$74,FALSE),"o")=$D$5,IFERROR(VLOOKUP(VLOOKUP($B43, Dependencies!$B$2:$G$230, 6,FALSE), $B$14:G$73, G$74,FALSE),"o")=$D$5),$D$5,F43)))</f>
        <v>r</v>
      </c>
      <c r="H43" s="94" t="s">
        <v>321</v>
      </c>
      <c r="I43" s="72" t="str">
        <f>IF(H43=$D$4,H43,IF(OR(IFERROR(VLOOKUP(VLOOKUP($B43, Dependencies!$B$2:$G$230, 2,FALSE),$B$14:I$73, I$74,FALSE),"o")=$D$4,IFERROR(VLOOKUP(VLOOKUP($B43, Dependencies!$B$2:$G$230, 3,FALSE),$B$14:I$73, I$74,FALSE),"o")=$D$4,IFERROR(VLOOKUP(VLOOKUP($B43, Dependencies!$B$2:$G$230, 4,FALSE),$B$14:I$73, I$74,FALSE),"o")=$D$4,IFERROR(VLOOKUP(VLOOKUP($B43, Dependencies!$B$2:$G$230, 5,FALSE),$B$14:I$73, I$74,FALSE),"o")=$D$4,IFERROR(VLOOKUP(VLOOKUP($B43, Dependencies!$B$2:$G$230, 6,FALSE),$B$14:I$73, I$74,FALSE),"o")=$D$4),$D$4,IF(OR(IFERROR(VLOOKUP(VLOOKUP($B43, Dependencies!$B$2:$G$230, 2,FALSE), $B$14:I$73, I$74,FALSE),"o")=$D$5,IFERROR(VLOOKUP(VLOOKUP($B43, Dependencies!$B$2:$G$230, 3,FALSE), $B$14:I$73, I$74,FALSE),"o")=$D$5,IFERROR(VLOOKUP(VLOOKUP($B43, Dependencies!$B$2:$G$230, 4,FALSE), $B$14:I$73, I$74,FALSE),"o")=$D$5,IFERROR(VLOOKUP(VLOOKUP($B43, Dependencies!$B$2:$G$230, 5,FALSE), $B$14:I$73, I$74,FALSE),"o")=$D$5,IFERROR(VLOOKUP(VLOOKUP($B43, Dependencies!$B$2:$G$230, 6,FALSE), $B$14:I$73, I$74,FALSE),"o")=$D$5),$D$5,H43)))</f>
        <v>pr</v>
      </c>
      <c r="J43" s="94" t="s">
        <v>323</v>
      </c>
      <c r="K43" s="72" t="str">
        <f>IF(J43=$D$4,J43,IF(OR(IFERROR(VLOOKUP(VLOOKUP($B43, Dependencies!$B$2:$G$230, 2,FALSE),$B$14:K$73, K$74,FALSE),"o")=$D$4,IFERROR(VLOOKUP(VLOOKUP($B43, Dependencies!$B$2:$G$230, 3,FALSE),$B$14:K$73, K$74,FALSE),"o")=$D$4,IFERROR(VLOOKUP(VLOOKUP($B43, Dependencies!$B$2:$G$230, 4,FALSE),$B$14:K$73, K$74,FALSE),"o")=$D$4,IFERROR(VLOOKUP(VLOOKUP($B43, Dependencies!$B$2:$G$230, 5,FALSE),$B$14:K$73, K$74,FALSE),"o")=$D$4,IFERROR(VLOOKUP(VLOOKUP($B43, Dependencies!$B$2:$G$230, 6,FALSE),$B$14:K$73, K$74,FALSE),"o")=$D$4),$D$4,IF(OR(IFERROR(VLOOKUP(VLOOKUP($B43, Dependencies!$B$2:$G$230, 2,FALSE), $B$14:K$73, K$74,FALSE),"o")=$D$5,IFERROR(VLOOKUP(VLOOKUP($B43, Dependencies!$B$2:$G$230, 3,FALSE), $B$14:K$73, K$74,FALSE),"o")=$D$5,IFERROR(VLOOKUP(VLOOKUP($B43, Dependencies!$B$2:$G$230, 4,FALSE), $B$14:K$73, K$74,FALSE),"o")=$D$5,IFERROR(VLOOKUP(VLOOKUP($B43, Dependencies!$B$2:$G$230, 5,FALSE), $B$14:K$73, K$74,FALSE),"o")=$D$5,IFERROR(VLOOKUP(VLOOKUP($B43, Dependencies!$B$2:$G$230, 6,FALSE), $B$14:K$73, K$74,FALSE),"o")=$D$5),$D$5,J43)))</f>
        <v>pr</v>
      </c>
      <c r="L43" s="94" t="s">
        <v>323</v>
      </c>
      <c r="M43" s="72" t="str">
        <f>IF(L43=$D$4,L43,IF(OR(IFERROR(VLOOKUP(VLOOKUP($B43, Dependencies!$B$2:$G$230, 2,FALSE),$B$14:M$73, M$74,FALSE),"o")=$D$4,IFERROR(VLOOKUP(VLOOKUP($B43, Dependencies!$B$2:$G$230, 3,FALSE),$B$14:M$73, M$74,FALSE),"o")=$D$4,IFERROR(VLOOKUP(VLOOKUP($B43, Dependencies!$B$2:$G$230, 4,FALSE),$B$14:M$73, M$74,FALSE),"o")=$D$4,IFERROR(VLOOKUP(VLOOKUP($B43, Dependencies!$B$2:$G$230, 5,FALSE),$B$14:M$73, M$74,FALSE),"o")=$D$4,IFERROR(VLOOKUP(VLOOKUP($B43, Dependencies!$B$2:$G$230, 6,FALSE),$B$14:M$73, M$74,FALSE),"o")=$D$4),$D$4,IF(OR(IFERROR(VLOOKUP(VLOOKUP($B43, Dependencies!$B$2:$G$230, 2,FALSE), $B$14:M$73, M$74,FALSE),"o")=$D$5,IFERROR(VLOOKUP(VLOOKUP($B43, Dependencies!$B$2:$G$230, 3,FALSE), $B$14:M$73, M$74,FALSE),"o")=$D$5,IFERROR(VLOOKUP(VLOOKUP($B43, Dependencies!$B$2:$G$230, 4,FALSE), $B$14:M$73, M$74,FALSE),"o")=$D$5,IFERROR(VLOOKUP(VLOOKUP($B43, Dependencies!$B$2:$G$230, 5,FALSE), $B$14:M$73, M$74,FALSE),"o")=$D$5,IFERROR(VLOOKUP(VLOOKUP($B43, Dependencies!$B$2:$G$230, 6,FALSE), $B$14:M$73, M$74,FALSE),"o")=$D$5),$D$5,L43)))</f>
        <v>o</v>
      </c>
      <c r="N43" s="94" t="s">
        <v>323</v>
      </c>
      <c r="O43" s="72" t="str">
        <f>IF(N43=$D$4,N43,IF(OR(IFERROR(VLOOKUP(VLOOKUP($B43, Dependencies!$B$2:$G$230, 2,FALSE),$B$14:O$73, O$74,FALSE),"o")=$D$4,IFERROR(VLOOKUP(VLOOKUP($B43, Dependencies!$B$2:$G$230, 3,FALSE),$B$14:O$73, O$74,FALSE),"o")=$D$4,IFERROR(VLOOKUP(VLOOKUP($B43, Dependencies!$B$2:$G$230, 4,FALSE),$B$14:O$73, O$74,FALSE),"o")=$D$4,IFERROR(VLOOKUP(VLOOKUP($B43, Dependencies!$B$2:$G$230, 5,FALSE),$B$14:O$73, O$74,FALSE),"o")=$D$4,IFERROR(VLOOKUP(VLOOKUP($B43, Dependencies!$B$2:$G$230, 6,FALSE),$B$14:O$73, O$74,FALSE),"o")=$D$4),$D$4,IF(OR(IFERROR(VLOOKUP(VLOOKUP($B43, Dependencies!$B$2:$G$230, 2,FALSE), $B$14:O$73, O$74,FALSE),"o")=$D$5,IFERROR(VLOOKUP(VLOOKUP($B43, Dependencies!$B$2:$G$230, 3,FALSE), $B$14:O$73, O$74,FALSE),"o")=$D$5,IFERROR(VLOOKUP(VLOOKUP($B43, Dependencies!$B$2:$G$230, 4,FALSE), $B$14:O$73, O$74,FALSE),"o")=$D$5,IFERROR(VLOOKUP(VLOOKUP($B43, Dependencies!$B$2:$G$230, 5,FALSE), $B$14:O$73, O$74,FALSE),"o")=$D$5,IFERROR(VLOOKUP(VLOOKUP($B43, Dependencies!$B$2:$G$230, 6,FALSE), $B$14:O$73, O$74,FALSE),"o")=$D$5),$D$5,N43)))</f>
        <v>o</v>
      </c>
      <c r="P43" s="94" t="s">
        <v>323</v>
      </c>
      <c r="Q43" s="72" t="str">
        <f>IF(P43=$D$4,P43,IF(OR(IFERROR(VLOOKUP(VLOOKUP($B43, Dependencies!$B$2:$G$230, 2,FALSE),$B$14:Q$73, Q$74,FALSE),"o")=$D$4,IFERROR(VLOOKUP(VLOOKUP($B43, Dependencies!$B$2:$G$230, 3,FALSE),$B$14:Q$73, Q$74,FALSE),"o")=$D$4,IFERROR(VLOOKUP(VLOOKUP($B43, Dependencies!$B$2:$G$230, 4,FALSE),$B$14:Q$73, Q$74,FALSE),"o")=$D$4,IFERROR(VLOOKUP(VLOOKUP($B43, Dependencies!$B$2:$G$230, 5,FALSE),$B$14:Q$73, Q$74,FALSE),"o")=$D$4,IFERROR(VLOOKUP(VLOOKUP($B43, Dependencies!$B$2:$G$230, 6,FALSE),$B$14:Q$73, Q$74,FALSE),"o")=$D$4),$D$4,IF(OR(IFERROR(VLOOKUP(VLOOKUP($B43, Dependencies!$B$2:$G$230, 2,FALSE), $B$14:Q$73, Q$74,FALSE),"o")=$D$5,IFERROR(VLOOKUP(VLOOKUP($B43, Dependencies!$B$2:$G$230, 3,FALSE), $B$14:Q$73, Q$74,FALSE),"o")=$D$5,IFERROR(VLOOKUP(VLOOKUP($B43, Dependencies!$B$2:$G$230, 4,FALSE), $B$14:Q$73, Q$74,FALSE),"o")=$D$5,IFERROR(VLOOKUP(VLOOKUP($B43, Dependencies!$B$2:$G$230, 5,FALSE), $B$14:Q$73, Q$74,FALSE),"o")=$D$5,IFERROR(VLOOKUP(VLOOKUP($B43, Dependencies!$B$2:$G$230, 6,FALSE), $B$14:Q$73, Q$74,FALSE),"o")=$D$5),$D$5,P43)))</f>
        <v>o</v>
      </c>
      <c r="R43" s="94" t="s">
        <v>323</v>
      </c>
      <c r="S43" s="72" t="str">
        <f>IF(R43=$D$4,R43,IF(OR(IFERROR(VLOOKUP(VLOOKUP($B43, Dependencies!$B$2:$G$230, 2,FALSE),$B$14:S$73, S$74,FALSE),"o")=$D$4,IFERROR(VLOOKUP(VLOOKUP($B43, Dependencies!$B$2:$G$230, 3,FALSE),$B$14:S$73, S$74,FALSE),"o")=$D$4,IFERROR(VLOOKUP(VLOOKUP($B43, Dependencies!$B$2:$G$230, 4,FALSE),$B$14:S$73, S$74,FALSE),"o")=$D$4,IFERROR(VLOOKUP(VLOOKUP($B43, Dependencies!$B$2:$G$230, 5,FALSE),$B$14:S$73, S$74,FALSE),"o")=$D$4,IFERROR(VLOOKUP(VLOOKUP($B43, Dependencies!$B$2:$G$230, 6,FALSE),$B$14:S$73, S$74,FALSE),"o")=$D$4),$D$4,IF(OR(IFERROR(VLOOKUP(VLOOKUP($B43, Dependencies!$B$2:$G$230, 2,FALSE), $B$14:S$73, S$74,FALSE),"o")=$D$5,IFERROR(VLOOKUP(VLOOKUP($B43, Dependencies!$B$2:$G$230, 3,FALSE), $B$14:S$73, S$74,FALSE),"o")=$D$5,IFERROR(VLOOKUP(VLOOKUP($B43, Dependencies!$B$2:$G$230, 4,FALSE), $B$14:S$73, S$74,FALSE),"o")=$D$5,IFERROR(VLOOKUP(VLOOKUP($B43, Dependencies!$B$2:$G$230, 5,FALSE), $B$14:S$73, S$74,FALSE),"o")=$D$5,IFERROR(VLOOKUP(VLOOKUP($B43, Dependencies!$B$2:$G$230, 6,FALSE), $B$14:S$73, S$74,FALSE),"o")=$D$5),$D$5,R43)))</f>
        <v>o</v>
      </c>
      <c r="T43" s="94" t="s">
        <v>323</v>
      </c>
      <c r="U43" s="72" t="str">
        <f>IF(T43=$D$4,T43,IF(OR(IFERROR(VLOOKUP(VLOOKUP($B43, Dependencies!$B$2:$G$230, 2,FALSE),$B$14:U$73, U$74,FALSE),"o")=$D$4,IFERROR(VLOOKUP(VLOOKUP($B43, Dependencies!$B$2:$G$230, 3,FALSE),$B$14:U$73, U$74,FALSE),"o")=$D$4,IFERROR(VLOOKUP(VLOOKUP($B43, Dependencies!$B$2:$G$230, 4,FALSE),$B$14:U$73, U$74,FALSE),"o")=$D$4,IFERROR(VLOOKUP(VLOOKUP($B43, Dependencies!$B$2:$G$230, 5,FALSE),$B$14:U$73, U$74,FALSE),"o")=$D$4,IFERROR(VLOOKUP(VLOOKUP($B43, Dependencies!$B$2:$G$230, 6,FALSE),$B$14:U$73, U$74,FALSE),"o")=$D$4),$D$4,IF(OR(IFERROR(VLOOKUP(VLOOKUP($B43, Dependencies!$B$2:$G$230, 2,FALSE), $B$14:U$73, U$74,FALSE),"o")=$D$5,IFERROR(VLOOKUP(VLOOKUP($B43, Dependencies!$B$2:$G$230, 3,FALSE), $B$14:U$73, U$74,FALSE),"o")=$D$5,IFERROR(VLOOKUP(VLOOKUP($B43, Dependencies!$B$2:$G$230, 4,FALSE), $B$14:U$73, U$74,FALSE),"o")=$D$5,IFERROR(VLOOKUP(VLOOKUP($B43, Dependencies!$B$2:$G$230, 5,FALSE), $B$14:U$73, U$74,FALSE),"o")=$D$5,IFERROR(VLOOKUP(VLOOKUP($B43, Dependencies!$B$2:$G$230, 6,FALSE), $B$14:U$73, U$74,FALSE),"o")=$D$5),$D$5,T43)))</f>
        <v>o</v>
      </c>
      <c r="V43" s="94" t="s">
        <v>323</v>
      </c>
      <c r="W43" s="72" t="str">
        <f>IF(V43=$D$4,V43,IF(OR(IFERROR(VLOOKUP(VLOOKUP($B43, Dependencies!$B$2:$G$230, 2,FALSE),$B$14:W$73, W$74,FALSE),"o")=$D$4,IFERROR(VLOOKUP(VLOOKUP($B43, Dependencies!$B$2:$G$230, 3,FALSE),$B$14:W$73, W$74,FALSE),"o")=$D$4,IFERROR(VLOOKUP(VLOOKUP($B43, Dependencies!$B$2:$G$230, 4,FALSE),$B$14:W$73, W$74,FALSE),"o")=$D$4,IFERROR(VLOOKUP(VLOOKUP($B43, Dependencies!$B$2:$G$230, 5,FALSE),$B$14:W$73, W$74,FALSE),"o")=$D$4,IFERROR(VLOOKUP(VLOOKUP($B43, Dependencies!$B$2:$G$230, 6,FALSE),$B$14:W$73, W$74,FALSE),"o")=$D$4),$D$4,IF(OR(IFERROR(VLOOKUP(VLOOKUP($B43, Dependencies!$B$2:$G$230, 2,FALSE), $B$14:W$73, W$74,FALSE),"o")=$D$5,IFERROR(VLOOKUP(VLOOKUP($B43, Dependencies!$B$2:$G$230, 3,FALSE), $B$14:W$73, W$74,FALSE),"o")=$D$5,IFERROR(VLOOKUP(VLOOKUP($B43, Dependencies!$B$2:$G$230, 4,FALSE), $B$14:W$73, W$74,FALSE),"o")=$D$5,IFERROR(VLOOKUP(VLOOKUP($B43, Dependencies!$B$2:$G$230, 5,FALSE), $B$14:W$73, W$74,FALSE),"o")=$D$5,IFERROR(VLOOKUP(VLOOKUP($B43, Dependencies!$B$2:$G$230, 6,FALSE), $B$14:W$73, W$74,FALSE),"o")=$D$5),$D$5,V43)))</f>
        <v>o</v>
      </c>
      <c r="X43" s="94" t="s">
        <v>323</v>
      </c>
      <c r="Y43" s="72" t="str">
        <f>IF(X43=$D$4,X43,IF(OR(IFERROR(VLOOKUP(VLOOKUP($B43, Dependencies!$B$2:$G$230, 2,FALSE),$B$14:Y$73, Y$74,FALSE),"o")=$D$4,IFERROR(VLOOKUP(VLOOKUP($B43, Dependencies!$B$2:$G$230, 3,FALSE),$B$14:Y$73, Y$74,FALSE),"o")=$D$4,IFERROR(VLOOKUP(VLOOKUP($B43, Dependencies!$B$2:$G$230, 4,FALSE),$B$14:Y$73, Y$74,FALSE),"o")=$D$4,IFERROR(VLOOKUP(VLOOKUP($B43, Dependencies!$B$2:$G$230, 5,FALSE),$B$14:Y$73, Y$74,FALSE),"o")=$D$4,IFERROR(VLOOKUP(VLOOKUP($B43, Dependencies!$B$2:$G$230, 6,FALSE),$B$14:Y$73, Y$74,FALSE),"o")=$D$4),$D$4,IF(OR(IFERROR(VLOOKUP(VLOOKUP($B43, Dependencies!$B$2:$G$230, 2,FALSE), $B$14:Y$73, Y$74,FALSE),"o")=$D$5,IFERROR(VLOOKUP(VLOOKUP($B43, Dependencies!$B$2:$G$230, 3,FALSE), $B$14:Y$73, Y$74,FALSE),"o")=$D$5,IFERROR(VLOOKUP(VLOOKUP($B43, Dependencies!$B$2:$G$230, 4,FALSE), $B$14:Y$73, Y$74,FALSE),"o")=$D$5,IFERROR(VLOOKUP(VLOOKUP($B43, Dependencies!$B$2:$G$230, 5,FALSE), $B$14:Y$73, Y$74,FALSE),"o")=$D$5,IFERROR(VLOOKUP(VLOOKUP($B43, Dependencies!$B$2:$G$230, 6,FALSE), $B$14:Y$73, Y$74,FALSE),"o")=$D$5),$D$5,X43)))</f>
        <v>o</v>
      </c>
      <c r="Z43" s="94" t="s">
        <v>323</v>
      </c>
      <c r="AA43" s="72" t="str">
        <f>IF(Z43=$D$4,Z43,IF(OR(IFERROR(VLOOKUP(VLOOKUP($B43, Dependencies!$B$2:$G$230, 2,FALSE),$B$14:AA$73, AA$74,FALSE),"o")=$D$4,IFERROR(VLOOKUP(VLOOKUP($B43, Dependencies!$B$2:$G$230, 3,FALSE),$B$14:AA$73, AA$74,FALSE),"o")=$D$4,IFERROR(VLOOKUP(VLOOKUP($B43, Dependencies!$B$2:$G$230, 4,FALSE),$B$14:AA$73, AA$74,FALSE),"o")=$D$4,IFERROR(VLOOKUP(VLOOKUP($B43, Dependencies!$B$2:$G$230, 5,FALSE),$B$14:AA$73, AA$74,FALSE),"o")=$D$4,IFERROR(VLOOKUP(VLOOKUP($B43, Dependencies!$B$2:$G$230, 6,FALSE),$B$14:AA$73, AA$74,FALSE),"o")=$D$4),$D$4,IF(OR(IFERROR(VLOOKUP(VLOOKUP($B43, Dependencies!$B$2:$G$230, 2,FALSE), $B$14:AA$73, AA$74,FALSE),"o")=$D$5,IFERROR(VLOOKUP(VLOOKUP($B43, Dependencies!$B$2:$G$230, 3,FALSE), $B$14:AA$73, AA$74,FALSE),"o")=$D$5,IFERROR(VLOOKUP(VLOOKUP($B43, Dependencies!$B$2:$G$230, 4,FALSE), $B$14:AA$73, AA$74,FALSE),"o")=$D$5,IFERROR(VLOOKUP(VLOOKUP($B43, Dependencies!$B$2:$G$230, 5,FALSE), $B$14:AA$73, AA$74,FALSE),"o")=$D$5,IFERROR(VLOOKUP(VLOOKUP($B43, Dependencies!$B$2:$G$230, 6,FALSE), $B$14:AA$73, AA$74,FALSE),"o")=$D$5),$D$5,Z43)))</f>
        <v>o</v>
      </c>
      <c r="AB43" s="94" t="s">
        <v>323</v>
      </c>
      <c r="AC43" s="72" t="str">
        <f>IF(AB43=$D$4,AB43,IF(OR(IFERROR(VLOOKUP(VLOOKUP($B43, Dependencies!$B$2:$G$230, 2,FALSE),$B$14:AC$73, AC$74,FALSE),"o")=$D$4,IFERROR(VLOOKUP(VLOOKUP($B43, Dependencies!$B$2:$G$230, 3,FALSE),$B$14:AC$73, AC$74,FALSE),"o")=$D$4,IFERROR(VLOOKUP(VLOOKUP($B43, Dependencies!$B$2:$G$230, 4,FALSE),$B$14:AC$73, AC$74,FALSE),"o")=$D$4,IFERROR(VLOOKUP(VLOOKUP($B43, Dependencies!$B$2:$G$230, 5,FALSE),$B$14:AC$73, AC$74,FALSE),"o")=$D$4,IFERROR(VLOOKUP(VLOOKUP($B43, Dependencies!$B$2:$G$230, 6,FALSE),$B$14:AC$73, AC$74,FALSE),"o")=$D$4),$D$4,IF(OR(IFERROR(VLOOKUP(VLOOKUP($B43, Dependencies!$B$2:$G$230, 2,FALSE), $B$14:AC$73, AC$74,FALSE),"o")=$D$5,IFERROR(VLOOKUP(VLOOKUP($B43, Dependencies!$B$2:$G$230, 3,FALSE), $B$14:AC$73, AC$74,FALSE),"o")=$D$5,IFERROR(VLOOKUP(VLOOKUP($B43, Dependencies!$B$2:$G$230, 4,FALSE), $B$14:AC$73, AC$74,FALSE),"o")=$D$5,IFERROR(VLOOKUP(VLOOKUP($B43, Dependencies!$B$2:$G$230, 5,FALSE), $B$14:AC$73, AC$74,FALSE),"o")=$D$5,IFERROR(VLOOKUP(VLOOKUP($B43, Dependencies!$B$2:$G$230, 6,FALSE), $B$14:AC$73, AC$74,FALSE),"o")=$D$5),$D$5,AB43)))</f>
        <v>o</v>
      </c>
      <c r="AD43" s="94" t="s">
        <v>323</v>
      </c>
      <c r="AE43" s="72" t="str">
        <f>IF(AD43=$D$4,AD43,IF(OR(IFERROR(VLOOKUP(VLOOKUP($B43, Dependencies!$B$2:$G$230, 2,FALSE),$B$14:AE$73, AE$74,FALSE),"o")=$D$4,IFERROR(VLOOKUP(VLOOKUP($B43, Dependencies!$B$2:$G$230, 3,FALSE),$B$14:AE$73, AE$74,FALSE),"o")=$D$4,IFERROR(VLOOKUP(VLOOKUP($B43, Dependencies!$B$2:$G$230, 4,FALSE),$B$14:AE$73, AE$74,FALSE),"o")=$D$4,IFERROR(VLOOKUP(VLOOKUP($B43, Dependencies!$B$2:$G$230, 5,FALSE),$B$14:AE$73, AE$74,FALSE),"o")=$D$4,IFERROR(VLOOKUP(VLOOKUP($B43, Dependencies!$B$2:$G$230, 6,FALSE),$B$14:AE$73, AE$74,FALSE),"o")=$D$4),$D$4,IF(OR(IFERROR(VLOOKUP(VLOOKUP($B43, Dependencies!$B$2:$G$230, 2,FALSE), $B$14:AE$73, AE$74,FALSE),"o")=$D$5,IFERROR(VLOOKUP(VLOOKUP($B43, Dependencies!$B$2:$G$230, 3,FALSE), $B$14:AE$73, AE$74,FALSE),"o")=$D$5,IFERROR(VLOOKUP(VLOOKUP($B43, Dependencies!$B$2:$G$230, 4,FALSE), $B$14:AE$73, AE$74,FALSE),"o")=$D$5,IFERROR(VLOOKUP(VLOOKUP($B43, Dependencies!$B$2:$G$230, 5,FALSE), $B$14:AE$73, AE$74,FALSE),"o")=$D$5,IFERROR(VLOOKUP(VLOOKUP($B43, Dependencies!$B$2:$G$230, 6,FALSE), $B$14:AE$73, AE$74,FALSE),"o")=$D$5),$D$5,AD43)))</f>
        <v>o</v>
      </c>
      <c r="AF43" s="94" t="s">
        <v>323</v>
      </c>
      <c r="AG43" s="72" t="str">
        <f>IF(AF43=$D$4,AF43,IF(OR(IFERROR(VLOOKUP(VLOOKUP($B43, Dependencies!$B$2:$G$230, 2,FALSE),$B$14:AG$73, AG$74,FALSE),"o")=$D$4,IFERROR(VLOOKUP(VLOOKUP($B43, Dependencies!$B$2:$G$230, 3,FALSE),$B$14:AG$73, AG$74,FALSE),"o")=$D$4,IFERROR(VLOOKUP(VLOOKUP($B43, Dependencies!$B$2:$G$230, 4,FALSE),$B$14:AG$73, AG$74,FALSE),"o")=$D$4,IFERROR(VLOOKUP(VLOOKUP($B43, Dependencies!$B$2:$G$230, 5,FALSE),$B$14:AG$73, AG$74,FALSE),"o")=$D$4,IFERROR(VLOOKUP(VLOOKUP($B43, Dependencies!$B$2:$G$230, 6,FALSE),$B$14:AG$73, AG$74,FALSE),"o")=$D$4),$D$4,IF(OR(IFERROR(VLOOKUP(VLOOKUP($B43, Dependencies!$B$2:$G$230, 2,FALSE), $B$14:AG$73, AG$74,FALSE),"o")=$D$5,IFERROR(VLOOKUP(VLOOKUP($B43, Dependencies!$B$2:$G$230, 3,FALSE), $B$14:AG$73, AG$74,FALSE),"o")=$D$5,IFERROR(VLOOKUP(VLOOKUP($B43, Dependencies!$B$2:$G$230, 4,FALSE), $B$14:AG$73, AG$74,FALSE),"o")=$D$5,IFERROR(VLOOKUP(VLOOKUP($B43, Dependencies!$B$2:$G$230, 5,FALSE), $B$14:AG$73, AG$74,FALSE),"o")=$D$5,IFERROR(VLOOKUP(VLOOKUP($B43, Dependencies!$B$2:$G$230, 6,FALSE), $B$14:AG$73, AG$74,FALSE),"o")=$D$5),$D$5,AF43)))</f>
        <v>o</v>
      </c>
      <c r="AH43" s="94" t="s">
        <v>323</v>
      </c>
      <c r="AI43" s="72" t="str">
        <f>IF(AH43=$D$4,AH43,IF(OR(IFERROR(VLOOKUP(VLOOKUP($B43, Dependencies!$B$2:$G$230, 2,FALSE),$B$14:AI$73, AI$74,FALSE),"o")=$D$4,IFERROR(VLOOKUP(VLOOKUP($B43, Dependencies!$B$2:$G$230, 3,FALSE),$B$14:AI$73, AI$74,FALSE),"o")=$D$4,IFERROR(VLOOKUP(VLOOKUP($B43, Dependencies!$B$2:$G$230, 4,FALSE),$B$14:AI$73, AI$74,FALSE),"o")=$D$4,IFERROR(VLOOKUP(VLOOKUP($B43, Dependencies!$B$2:$G$230, 5,FALSE),$B$14:AI$73, AI$74,FALSE),"o")=$D$4,IFERROR(VLOOKUP(VLOOKUP($B43, Dependencies!$B$2:$G$230, 6,FALSE),$B$14:AI$73, AI$74,FALSE),"o")=$D$4),$D$4,IF(OR(IFERROR(VLOOKUP(VLOOKUP($B43, Dependencies!$B$2:$G$230, 2,FALSE), $B$14:AI$73, AI$74,FALSE),"o")=$D$5,IFERROR(VLOOKUP(VLOOKUP($B43, Dependencies!$B$2:$G$230, 3,FALSE), $B$14:AI$73, AI$74,FALSE),"o")=$D$5,IFERROR(VLOOKUP(VLOOKUP($B43, Dependencies!$B$2:$G$230, 4,FALSE), $B$14:AI$73, AI$74,FALSE),"o")=$D$5,IFERROR(VLOOKUP(VLOOKUP($B43, Dependencies!$B$2:$G$230, 5,FALSE), $B$14:AI$73, AI$74,FALSE),"o")=$D$5,IFERROR(VLOOKUP(VLOOKUP($B43, Dependencies!$B$2:$G$230, 6,FALSE), $B$14:AI$73, AI$74,FALSE),"o")=$D$5),$D$5,AH43)))</f>
        <v>o</v>
      </c>
      <c r="AJ43" s="94" t="s">
        <v>323</v>
      </c>
      <c r="AK43" s="72" t="str">
        <f>IF(AJ43=$D$4,AJ43,IF(OR(IFERROR(VLOOKUP(VLOOKUP($B43, Dependencies!$B$2:$G$230, 2,FALSE),$B$14:AK$73, AK$74,FALSE),"o")=$D$4,IFERROR(VLOOKUP(VLOOKUP($B43, Dependencies!$B$2:$G$230, 3,FALSE),$B$14:AK$73, AK$74,FALSE),"o")=$D$4,IFERROR(VLOOKUP(VLOOKUP($B43, Dependencies!$B$2:$G$230, 4,FALSE),$B$14:AK$73, AK$74,FALSE),"o")=$D$4,IFERROR(VLOOKUP(VLOOKUP($B43, Dependencies!$B$2:$G$230, 5,FALSE),$B$14:AK$73, AK$74,FALSE),"o")=$D$4,IFERROR(VLOOKUP(VLOOKUP($B43, Dependencies!$B$2:$G$230, 6,FALSE),$B$14:AK$73, AK$74,FALSE),"o")=$D$4),$D$4,IF(OR(IFERROR(VLOOKUP(VLOOKUP($B43, Dependencies!$B$2:$G$230, 2,FALSE), $B$14:AK$73, AK$74,FALSE),"o")=$D$5,IFERROR(VLOOKUP(VLOOKUP($B43, Dependencies!$B$2:$G$230, 3,FALSE), $B$14:AK$73, AK$74,FALSE),"o")=$D$5,IFERROR(VLOOKUP(VLOOKUP($B43, Dependencies!$B$2:$G$230, 4,FALSE), $B$14:AK$73, AK$74,FALSE),"o")=$D$5,IFERROR(VLOOKUP(VLOOKUP($B43, Dependencies!$B$2:$G$230, 5,FALSE), $B$14:AK$73, AK$74,FALSE),"o")=$D$5,IFERROR(VLOOKUP(VLOOKUP($B43, Dependencies!$B$2:$G$230, 6,FALSE), $B$14:AK$73, AK$74,FALSE),"o")=$D$5),$D$5,AJ43)))</f>
        <v>o</v>
      </c>
      <c r="AL43" s="94" t="s">
        <v>323</v>
      </c>
      <c r="AM43" s="72" t="str">
        <f>IF(AL43=$D$4,AL43,IF(OR(IFERROR(VLOOKUP(VLOOKUP($B43, Dependencies!$B$2:$G$230, 2,FALSE),$B$14:AM$73, AM$74,FALSE),"o")=$D$4,IFERROR(VLOOKUP(VLOOKUP($B43, Dependencies!$B$2:$G$230, 3,FALSE),$B$14:AM$73, AM$74,FALSE),"o")=$D$4,IFERROR(VLOOKUP(VLOOKUP($B43, Dependencies!$B$2:$G$230, 4,FALSE),$B$14:AM$73, AM$74,FALSE),"o")=$D$4,IFERROR(VLOOKUP(VLOOKUP($B43, Dependencies!$B$2:$G$230, 5,FALSE),$B$14:AM$73, AM$74,FALSE),"o")=$D$4,IFERROR(VLOOKUP(VLOOKUP($B43, Dependencies!$B$2:$G$230, 6,FALSE),$B$14:AM$73, AM$74,FALSE),"o")=$D$4),$D$4,IF(OR(IFERROR(VLOOKUP(VLOOKUP($B43, Dependencies!$B$2:$G$230, 2,FALSE), $B$14:AM$73, AM$74,FALSE),"o")=$D$5,IFERROR(VLOOKUP(VLOOKUP($B43, Dependencies!$B$2:$G$230, 3,FALSE), $B$14:AM$73, AM$74,FALSE),"o")=$D$5,IFERROR(VLOOKUP(VLOOKUP($B43, Dependencies!$B$2:$G$230, 4,FALSE), $B$14:AM$73, AM$74,FALSE),"o")=$D$5,IFERROR(VLOOKUP(VLOOKUP($B43, Dependencies!$B$2:$G$230, 5,FALSE), $B$14:AM$73, AM$74,FALSE),"o")=$D$5,IFERROR(VLOOKUP(VLOOKUP($B43, Dependencies!$B$2:$G$230, 6,FALSE), $B$14:AM$73, AM$74,FALSE),"o")=$D$5),$D$5,AL43)))</f>
        <v>o</v>
      </c>
      <c r="AN43" s="94" t="s">
        <v>323</v>
      </c>
      <c r="AO43" s="72" t="str">
        <f>IF(AN43=$D$4,AN43,IF(OR(IFERROR(VLOOKUP(VLOOKUP($B43, Dependencies!$B$2:$G$230, 2,FALSE),$B$14:AO$73, AO$74,FALSE),"o")=$D$4,IFERROR(VLOOKUP(VLOOKUP($B43, Dependencies!$B$2:$G$230, 3,FALSE),$B$14:AO$73, AO$74,FALSE),"o")=$D$4,IFERROR(VLOOKUP(VLOOKUP($B43, Dependencies!$B$2:$G$230, 4,FALSE),$B$14:AO$73, AO$74,FALSE),"o")=$D$4,IFERROR(VLOOKUP(VLOOKUP($B43, Dependencies!$B$2:$G$230, 5,FALSE),$B$14:AO$73, AO$74,FALSE),"o")=$D$4,IFERROR(VLOOKUP(VLOOKUP($B43, Dependencies!$B$2:$G$230, 6,FALSE),$B$14:AO$73, AO$74,FALSE),"o")=$D$4),$D$4,IF(OR(IFERROR(VLOOKUP(VLOOKUP($B43, Dependencies!$B$2:$G$230, 2,FALSE), $B$14:AO$73, AO$74,FALSE),"o")=$D$5,IFERROR(VLOOKUP(VLOOKUP($B43, Dependencies!$B$2:$G$230, 3,FALSE), $B$14:AO$73, AO$74,FALSE),"o")=$D$5,IFERROR(VLOOKUP(VLOOKUP($B43, Dependencies!$B$2:$G$230, 4,FALSE), $B$14:AO$73, AO$74,FALSE),"o")=$D$5,IFERROR(VLOOKUP(VLOOKUP($B43, Dependencies!$B$2:$G$230, 5,FALSE), $B$14:AO$73, AO$74,FALSE),"o")=$D$5,IFERROR(VLOOKUP(VLOOKUP($B43, Dependencies!$B$2:$G$230, 6,FALSE), $B$14:AO$73, AO$74,FALSE),"o")=$D$5),$D$5,AN43)))</f>
        <v>o</v>
      </c>
      <c r="AP43" s="94" t="s">
        <v>323</v>
      </c>
      <c r="AQ43" s="72" t="str">
        <f>IF(AP43=$D$4,AP43,IF(OR(IFERROR(VLOOKUP(VLOOKUP($B43, Dependencies!$B$2:$G$230, 2,FALSE),$B$14:AQ$73, AQ$74,FALSE),"o")=$D$4,IFERROR(VLOOKUP(VLOOKUP($B43, Dependencies!$B$2:$G$230, 3,FALSE),$B$14:AQ$73, AQ$74,FALSE),"o")=$D$4,IFERROR(VLOOKUP(VLOOKUP($B43, Dependencies!$B$2:$G$230, 4,FALSE),$B$14:AQ$73, AQ$74,FALSE),"o")=$D$4,IFERROR(VLOOKUP(VLOOKUP($B43, Dependencies!$B$2:$G$230, 5,FALSE),$B$14:AQ$73, AQ$74,FALSE),"o")=$D$4,IFERROR(VLOOKUP(VLOOKUP($B43, Dependencies!$B$2:$G$230, 6,FALSE),$B$14:AQ$73, AQ$74,FALSE),"o")=$D$4),$D$4,IF(OR(IFERROR(VLOOKUP(VLOOKUP($B43, Dependencies!$B$2:$G$230, 2,FALSE), $B$14:AQ$73, AQ$74,FALSE),"o")=$D$5,IFERROR(VLOOKUP(VLOOKUP($B43, Dependencies!$B$2:$G$230, 3,FALSE), $B$14:AQ$73, AQ$74,FALSE),"o")=$D$5,IFERROR(VLOOKUP(VLOOKUP($B43, Dependencies!$B$2:$G$230, 4,FALSE), $B$14:AQ$73, AQ$74,FALSE),"o")=$D$5,IFERROR(VLOOKUP(VLOOKUP($B43, Dependencies!$B$2:$G$230, 5,FALSE), $B$14:AQ$73, AQ$74,FALSE),"o")=$D$5,IFERROR(VLOOKUP(VLOOKUP($B43, Dependencies!$B$2:$G$230, 6,FALSE), $B$14:AQ$73, AQ$74,FALSE),"o")=$D$5),$D$5,AP43)))</f>
        <v>o</v>
      </c>
      <c r="AR43" s="94" t="s">
        <v>323</v>
      </c>
      <c r="AS43" s="71" t="str">
        <f>IF(AR43=$D$4,AR43,IF(OR(IFERROR(VLOOKUP(VLOOKUP($B43, Dependencies!$B$2:$G$230, 2,FALSE),$B$14:AS$73, AS$74,FALSE),"o")=$D$4,IFERROR(VLOOKUP(VLOOKUP($B43, Dependencies!$B$2:$G$230, 3,FALSE),$B$14:AS$73, AS$74,FALSE),"o")=$D$4,IFERROR(VLOOKUP(VLOOKUP($B43, Dependencies!$B$2:$G$230, 4,FALSE),$B$14:AS$73, AS$74,FALSE),"o")=$D$4,IFERROR(VLOOKUP(VLOOKUP($B43, Dependencies!$B$2:$G$230, 5,FALSE),$B$14:AS$73, AS$74,FALSE),"o")=$D$4,IFERROR(VLOOKUP(VLOOKUP($B43, Dependencies!$B$2:$G$230, 6,FALSE),$B$14:AS$73, AS$74,FALSE),"o")=$D$4),$D$4,IF(OR(IFERROR(VLOOKUP(VLOOKUP($B43, Dependencies!$B$2:$G$230, 2,FALSE), $B$14:AS$73, AS$74,FALSE),"o")=$D$5,IFERROR(VLOOKUP(VLOOKUP($B43, Dependencies!$B$2:$G$230, 3,FALSE), $B$14:AS$73, AS$74,FALSE),"o")=$D$5,IFERROR(VLOOKUP(VLOOKUP($B43, Dependencies!$B$2:$G$230, 4,FALSE), $B$14:AS$73, AS$74,FALSE),"o")=$D$5,IFERROR(VLOOKUP(VLOOKUP($B43, Dependencies!$B$2:$G$230, 5,FALSE), $B$14:AS$73, AS$74,FALSE),"o")=$D$5,IFERROR(VLOOKUP(VLOOKUP($B43, Dependencies!$B$2:$G$230, 6,FALSE), $B$14:AS$73, AS$74,FALSE),"o")=$D$5),$D$5,AR43)))</f>
        <v>o</v>
      </c>
    </row>
    <row r="44" spans="1:45" x14ac:dyDescent="0.2">
      <c r="A44" s="40"/>
      <c r="B44" s="73" t="str">
        <f>MLEOsv2!A32</f>
        <v>MLEO_02_03</v>
      </c>
      <c r="C44" s="73">
        <f>MLEOsv2!C32</f>
        <v>4</v>
      </c>
      <c r="D44" s="42" t="str">
        <f>MLEOsv2!G32</f>
        <v>override Object methods.</v>
      </c>
      <c r="E44" s="51" t="b">
        <f>MLEOsv2!H32</f>
        <v>1</v>
      </c>
      <c r="F44" s="93" t="s">
        <v>320</v>
      </c>
      <c r="G44" s="70" t="str">
        <f>IF(F44=$D$4,F44,IF(OR(IFERROR(VLOOKUP(VLOOKUP($B44, Dependencies!$B$2:$G$230, 2,FALSE),$B$14:G$73, G$74,FALSE),"o")=$D$4,IFERROR(VLOOKUP(VLOOKUP($B44, Dependencies!$B$2:$G$230, 3,FALSE),$B$14:G$73, G$74,FALSE),"o")=$D$4,IFERROR(VLOOKUP(VLOOKUP($B44, Dependencies!$B$2:$G$230, 4,FALSE),$B$14:G$73, G$74,FALSE),"o")=$D$4,IFERROR(VLOOKUP(VLOOKUP($B44, Dependencies!$B$2:$G$230, 5,FALSE),$B$14:G$73, G$74,FALSE),"o")=$D$4,IFERROR(VLOOKUP(VLOOKUP($B44, Dependencies!$B$2:$G$230, 6,FALSE),$B$14:G$73, G$74,FALSE),"o")=$D$4),$D$4,IF(OR(IFERROR(VLOOKUP(VLOOKUP($B44, Dependencies!$B$2:$G$230, 2,FALSE), $B$14:G$73, G$74,FALSE),"o")=$D$5,IFERROR(VLOOKUP(VLOOKUP($B44, Dependencies!$B$2:$G$230, 3,FALSE), $B$14:G$73, G$74,FALSE),"o")=$D$5,IFERROR(VLOOKUP(VLOOKUP($B44, Dependencies!$B$2:$G$230, 4,FALSE), $B$14:G$73, G$74,FALSE),"o")=$D$5,IFERROR(VLOOKUP(VLOOKUP($B44, Dependencies!$B$2:$G$230, 5,FALSE), $B$14:G$73, G$74,FALSE),"o")=$D$5,IFERROR(VLOOKUP(VLOOKUP($B44, Dependencies!$B$2:$G$230, 6,FALSE), $B$14:G$73, G$74,FALSE),"o")=$D$5),$D$5,F44)))</f>
        <v>r</v>
      </c>
      <c r="H44" s="93" t="s">
        <v>321</v>
      </c>
      <c r="I44" s="70" t="str">
        <f>IF(H44=$D$4,H44,IF(OR(IFERROR(VLOOKUP(VLOOKUP($B44, Dependencies!$B$2:$G$230, 2,FALSE),$B$14:I$73, I$74,FALSE),"o")=$D$4,IFERROR(VLOOKUP(VLOOKUP($B44, Dependencies!$B$2:$G$230, 3,FALSE),$B$14:I$73, I$74,FALSE),"o")=$D$4,IFERROR(VLOOKUP(VLOOKUP($B44, Dependencies!$B$2:$G$230, 4,FALSE),$B$14:I$73, I$74,FALSE),"o")=$D$4,IFERROR(VLOOKUP(VLOOKUP($B44, Dependencies!$B$2:$G$230, 5,FALSE),$B$14:I$73, I$74,FALSE),"o")=$D$4,IFERROR(VLOOKUP(VLOOKUP($B44, Dependencies!$B$2:$G$230, 6,FALSE),$B$14:I$73, I$74,FALSE),"o")=$D$4),$D$4,IF(OR(IFERROR(VLOOKUP(VLOOKUP($B44, Dependencies!$B$2:$G$230, 2,FALSE), $B$14:I$73, I$74,FALSE),"o")=$D$5,IFERROR(VLOOKUP(VLOOKUP($B44, Dependencies!$B$2:$G$230, 3,FALSE), $B$14:I$73, I$74,FALSE),"o")=$D$5,IFERROR(VLOOKUP(VLOOKUP($B44, Dependencies!$B$2:$G$230, 4,FALSE), $B$14:I$73, I$74,FALSE),"o")=$D$5,IFERROR(VLOOKUP(VLOOKUP($B44, Dependencies!$B$2:$G$230, 5,FALSE), $B$14:I$73, I$74,FALSE),"o")=$D$5,IFERROR(VLOOKUP(VLOOKUP($B44, Dependencies!$B$2:$G$230, 6,FALSE), $B$14:I$73, I$74,FALSE),"o")=$D$5),$D$5,H44)))</f>
        <v>pr</v>
      </c>
      <c r="J44" s="93" t="s">
        <v>320</v>
      </c>
      <c r="K44" s="70" t="str">
        <f>IF(J44=$D$4,J44,IF(OR(IFERROR(VLOOKUP(VLOOKUP($B44, Dependencies!$B$2:$G$230, 2,FALSE),$B$14:K$73, K$74,FALSE),"o")=$D$4,IFERROR(VLOOKUP(VLOOKUP($B44, Dependencies!$B$2:$G$230, 3,FALSE),$B$14:K$73, K$74,FALSE),"o")=$D$4,IFERROR(VLOOKUP(VLOOKUP($B44, Dependencies!$B$2:$G$230, 4,FALSE),$B$14:K$73, K$74,FALSE),"o")=$D$4,IFERROR(VLOOKUP(VLOOKUP($B44, Dependencies!$B$2:$G$230, 5,FALSE),$B$14:K$73, K$74,FALSE),"o")=$D$4,IFERROR(VLOOKUP(VLOOKUP($B44, Dependencies!$B$2:$G$230, 6,FALSE),$B$14:K$73, K$74,FALSE),"o")=$D$4),$D$4,IF(OR(IFERROR(VLOOKUP(VLOOKUP($B44, Dependencies!$B$2:$G$230, 2,FALSE), $B$14:K$73, K$74,FALSE),"o")=$D$5,IFERROR(VLOOKUP(VLOOKUP($B44, Dependencies!$B$2:$G$230, 3,FALSE), $B$14:K$73, K$74,FALSE),"o")=$D$5,IFERROR(VLOOKUP(VLOOKUP($B44, Dependencies!$B$2:$G$230, 4,FALSE), $B$14:K$73, K$74,FALSE),"o")=$D$5,IFERROR(VLOOKUP(VLOOKUP($B44, Dependencies!$B$2:$G$230, 5,FALSE), $B$14:K$73, K$74,FALSE),"o")=$D$5,IFERROR(VLOOKUP(VLOOKUP($B44, Dependencies!$B$2:$G$230, 6,FALSE), $B$14:K$73, K$74,FALSE),"o")=$D$5),$D$5,J44)))</f>
        <v>r</v>
      </c>
      <c r="L44" s="93" t="s">
        <v>323</v>
      </c>
      <c r="M44" s="70" t="str">
        <f>IF(L44=$D$4,L44,IF(OR(IFERROR(VLOOKUP(VLOOKUP($B44, Dependencies!$B$2:$G$230, 2,FALSE),$B$14:M$73, M$74,FALSE),"o")=$D$4,IFERROR(VLOOKUP(VLOOKUP($B44, Dependencies!$B$2:$G$230, 3,FALSE),$B$14:M$73, M$74,FALSE),"o")=$D$4,IFERROR(VLOOKUP(VLOOKUP($B44, Dependencies!$B$2:$G$230, 4,FALSE),$B$14:M$73, M$74,FALSE),"o")=$D$4,IFERROR(VLOOKUP(VLOOKUP($B44, Dependencies!$B$2:$G$230, 5,FALSE),$B$14:M$73, M$74,FALSE),"o")=$D$4,IFERROR(VLOOKUP(VLOOKUP($B44, Dependencies!$B$2:$G$230, 6,FALSE),$B$14:M$73, M$74,FALSE),"o")=$D$4),$D$4,IF(OR(IFERROR(VLOOKUP(VLOOKUP($B44, Dependencies!$B$2:$G$230, 2,FALSE), $B$14:M$73, M$74,FALSE),"o")=$D$5,IFERROR(VLOOKUP(VLOOKUP($B44, Dependencies!$B$2:$G$230, 3,FALSE), $B$14:M$73, M$74,FALSE),"o")=$D$5,IFERROR(VLOOKUP(VLOOKUP($B44, Dependencies!$B$2:$G$230, 4,FALSE), $B$14:M$73, M$74,FALSE),"o")=$D$5,IFERROR(VLOOKUP(VLOOKUP($B44, Dependencies!$B$2:$G$230, 5,FALSE), $B$14:M$73, M$74,FALSE),"o")=$D$5,IFERROR(VLOOKUP(VLOOKUP($B44, Dependencies!$B$2:$G$230, 6,FALSE), $B$14:M$73, M$74,FALSE),"o")=$D$5),$D$5,L44)))</f>
        <v>o</v>
      </c>
      <c r="N44" s="93" t="s">
        <v>323</v>
      </c>
      <c r="O44" s="70" t="str">
        <f>IF(N44=$D$4,N44,IF(OR(IFERROR(VLOOKUP(VLOOKUP($B44, Dependencies!$B$2:$G$230, 2,FALSE),$B$14:O$73, O$74,FALSE),"o")=$D$4,IFERROR(VLOOKUP(VLOOKUP($B44, Dependencies!$B$2:$G$230, 3,FALSE),$B$14:O$73, O$74,FALSE),"o")=$D$4,IFERROR(VLOOKUP(VLOOKUP($B44, Dependencies!$B$2:$G$230, 4,FALSE),$B$14:O$73, O$74,FALSE),"o")=$D$4,IFERROR(VLOOKUP(VLOOKUP($B44, Dependencies!$B$2:$G$230, 5,FALSE),$B$14:O$73, O$74,FALSE),"o")=$D$4,IFERROR(VLOOKUP(VLOOKUP($B44, Dependencies!$B$2:$G$230, 6,FALSE),$B$14:O$73, O$74,FALSE),"o")=$D$4),$D$4,IF(OR(IFERROR(VLOOKUP(VLOOKUP($B44, Dependencies!$B$2:$G$230, 2,FALSE), $B$14:O$73, O$74,FALSE),"o")=$D$5,IFERROR(VLOOKUP(VLOOKUP($B44, Dependencies!$B$2:$G$230, 3,FALSE), $B$14:O$73, O$74,FALSE),"o")=$D$5,IFERROR(VLOOKUP(VLOOKUP($B44, Dependencies!$B$2:$G$230, 4,FALSE), $B$14:O$73, O$74,FALSE),"o")=$D$5,IFERROR(VLOOKUP(VLOOKUP($B44, Dependencies!$B$2:$G$230, 5,FALSE), $B$14:O$73, O$74,FALSE),"o")=$D$5,IFERROR(VLOOKUP(VLOOKUP($B44, Dependencies!$B$2:$G$230, 6,FALSE), $B$14:O$73, O$74,FALSE),"o")=$D$5),$D$5,N44)))</f>
        <v>o</v>
      </c>
      <c r="P44" s="93" t="s">
        <v>323</v>
      </c>
      <c r="Q44" s="70" t="str">
        <f>IF(P44=$D$4,P44,IF(OR(IFERROR(VLOOKUP(VLOOKUP($B44, Dependencies!$B$2:$G$230, 2,FALSE),$B$14:Q$73, Q$74,FALSE),"o")=$D$4,IFERROR(VLOOKUP(VLOOKUP($B44, Dependencies!$B$2:$G$230, 3,FALSE),$B$14:Q$73, Q$74,FALSE),"o")=$D$4,IFERROR(VLOOKUP(VLOOKUP($B44, Dependencies!$B$2:$G$230, 4,FALSE),$B$14:Q$73, Q$74,FALSE),"o")=$D$4,IFERROR(VLOOKUP(VLOOKUP($B44, Dependencies!$B$2:$G$230, 5,FALSE),$B$14:Q$73, Q$74,FALSE),"o")=$D$4,IFERROR(VLOOKUP(VLOOKUP($B44, Dependencies!$B$2:$G$230, 6,FALSE),$B$14:Q$73, Q$74,FALSE),"o")=$D$4),$D$4,IF(OR(IFERROR(VLOOKUP(VLOOKUP($B44, Dependencies!$B$2:$G$230, 2,FALSE), $B$14:Q$73, Q$74,FALSE),"o")=$D$5,IFERROR(VLOOKUP(VLOOKUP($B44, Dependencies!$B$2:$G$230, 3,FALSE), $B$14:Q$73, Q$74,FALSE),"o")=$D$5,IFERROR(VLOOKUP(VLOOKUP($B44, Dependencies!$B$2:$G$230, 4,FALSE), $B$14:Q$73, Q$74,FALSE),"o")=$D$5,IFERROR(VLOOKUP(VLOOKUP($B44, Dependencies!$B$2:$G$230, 5,FALSE), $B$14:Q$73, Q$74,FALSE),"o")=$D$5,IFERROR(VLOOKUP(VLOOKUP($B44, Dependencies!$B$2:$G$230, 6,FALSE), $B$14:Q$73, Q$74,FALSE),"o")=$D$5),$D$5,P44)))</f>
        <v>o</v>
      </c>
      <c r="R44" s="93" t="s">
        <v>323</v>
      </c>
      <c r="S44" s="70" t="str">
        <f>IF(R44=$D$4,R44,IF(OR(IFERROR(VLOOKUP(VLOOKUP($B44, Dependencies!$B$2:$G$230, 2,FALSE),$B$14:S$73, S$74,FALSE),"o")=$D$4,IFERROR(VLOOKUP(VLOOKUP($B44, Dependencies!$B$2:$G$230, 3,FALSE),$B$14:S$73, S$74,FALSE),"o")=$D$4,IFERROR(VLOOKUP(VLOOKUP($B44, Dependencies!$B$2:$G$230, 4,FALSE),$B$14:S$73, S$74,FALSE),"o")=$D$4,IFERROR(VLOOKUP(VLOOKUP($B44, Dependencies!$B$2:$G$230, 5,FALSE),$B$14:S$73, S$74,FALSE),"o")=$D$4,IFERROR(VLOOKUP(VLOOKUP($B44, Dependencies!$B$2:$G$230, 6,FALSE),$B$14:S$73, S$74,FALSE),"o")=$D$4),$D$4,IF(OR(IFERROR(VLOOKUP(VLOOKUP($B44, Dependencies!$B$2:$G$230, 2,FALSE), $B$14:S$73, S$74,FALSE),"o")=$D$5,IFERROR(VLOOKUP(VLOOKUP($B44, Dependencies!$B$2:$G$230, 3,FALSE), $B$14:S$73, S$74,FALSE),"o")=$D$5,IFERROR(VLOOKUP(VLOOKUP($B44, Dependencies!$B$2:$G$230, 4,FALSE), $B$14:S$73, S$74,FALSE),"o")=$D$5,IFERROR(VLOOKUP(VLOOKUP($B44, Dependencies!$B$2:$G$230, 5,FALSE), $B$14:S$73, S$74,FALSE),"o")=$D$5,IFERROR(VLOOKUP(VLOOKUP($B44, Dependencies!$B$2:$G$230, 6,FALSE), $B$14:S$73, S$74,FALSE),"o")=$D$5),$D$5,R44)))</f>
        <v>o</v>
      </c>
      <c r="T44" s="93" t="s">
        <v>323</v>
      </c>
      <c r="U44" s="70" t="str">
        <f>IF(T44=$D$4,T44,IF(OR(IFERROR(VLOOKUP(VLOOKUP($B44, Dependencies!$B$2:$G$230, 2,FALSE),$B$14:U$73, U$74,FALSE),"o")=$D$4,IFERROR(VLOOKUP(VLOOKUP($B44, Dependencies!$B$2:$G$230, 3,FALSE),$B$14:U$73, U$74,FALSE),"o")=$D$4,IFERROR(VLOOKUP(VLOOKUP($B44, Dependencies!$B$2:$G$230, 4,FALSE),$B$14:U$73, U$74,FALSE),"o")=$D$4,IFERROR(VLOOKUP(VLOOKUP($B44, Dependencies!$B$2:$G$230, 5,FALSE),$B$14:U$73, U$74,FALSE),"o")=$D$4,IFERROR(VLOOKUP(VLOOKUP($B44, Dependencies!$B$2:$G$230, 6,FALSE),$B$14:U$73, U$74,FALSE),"o")=$D$4),$D$4,IF(OR(IFERROR(VLOOKUP(VLOOKUP($B44, Dependencies!$B$2:$G$230, 2,FALSE), $B$14:U$73, U$74,FALSE),"o")=$D$5,IFERROR(VLOOKUP(VLOOKUP($B44, Dependencies!$B$2:$G$230, 3,FALSE), $B$14:U$73, U$74,FALSE),"o")=$D$5,IFERROR(VLOOKUP(VLOOKUP($B44, Dependencies!$B$2:$G$230, 4,FALSE), $B$14:U$73, U$74,FALSE),"o")=$D$5,IFERROR(VLOOKUP(VLOOKUP($B44, Dependencies!$B$2:$G$230, 5,FALSE), $B$14:U$73, U$74,FALSE),"o")=$D$5,IFERROR(VLOOKUP(VLOOKUP($B44, Dependencies!$B$2:$G$230, 6,FALSE), $B$14:U$73, U$74,FALSE),"o")=$D$5),$D$5,T44)))</f>
        <v>o</v>
      </c>
      <c r="V44" s="93" t="s">
        <v>323</v>
      </c>
      <c r="W44" s="70" t="str">
        <f>IF(V44=$D$4,V44,IF(OR(IFERROR(VLOOKUP(VLOOKUP($B44, Dependencies!$B$2:$G$230, 2,FALSE),$B$14:W$73, W$74,FALSE),"o")=$D$4,IFERROR(VLOOKUP(VLOOKUP($B44, Dependencies!$B$2:$G$230, 3,FALSE),$B$14:W$73, W$74,FALSE),"o")=$D$4,IFERROR(VLOOKUP(VLOOKUP($B44, Dependencies!$B$2:$G$230, 4,FALSE),$B$14:W$73, W$74,FALSE),"o")=$D$4,IFERROR(VLOOKUP(VLOOKUP($B44, Dependencies!$B$2:$G$230, 5,FALSE),$B$14:W$73, W$74,FALSE),"o")=$D$4,IFERROR(VLOOKUP(VLOOKUP($B44, Dependencies!$B$2:$G$230, 6,FALSE),$B$14:W$73, W$74,FALSE),"o")=$D$4),$D$4,IF(OR(IFERROR(VLOOKUP(VLOOKUP($B44, Dependencies!$B$2:$G$230, 2,FALSE), $B$14:W$73, W$74,FALSE),"o")=$D$5,IFERROR(VLOOKUP(VLOOKUP($B44, Dependencies!$B$2:$G$230, 3,FALSE), $B$14:W$73, W$74,FALSE),"o")=$D$5,IFERROR(VLOOKUP(VLOOKUP($B44, Dependencies!$B$2:$G$230, 4,FALSE), $B$14:W$73, W$74,FALSE),"o")=$D$5,IFERROR(VLOOKUP(VLOOKUP($B44, Dependencies!$B$2:$G$230, 5,FALSE), $B$14:W$73, W$74,FALSE),"o")=$D$5,IFERROR(VLOOKUP(VLOOKUP($B44, Dependencies!$B$2:$G$230, 6,FALSE), $B$14:W$73, W$74,FALSE),"o")=$D$5),$D$5,V44)))</f>
        <v>o</v>
      </c>
      <c r="X44" s="93" t="s">
        <v>323</v>
      </c>
      <c r="Y44" s="70" t="str">
        <f>IF(X44=$D$4,X44,IF(OR(IFERROR(VLOOKUP(VLOOKUP($B44, Dependencies!$B$2:$G$230, 2,FALSE),$B$14:Y$73, Y$74,FALSE),"o")=$D$4,IFERROR(VLOOKUP(VLOOKUP($B44, Dependencies!$B$2:$G$230, 3,FALSE),$B$14:Y$73, Y$74,FALSE),"o")=$D$4,IFERROR(VLOOKUP(VLOOKUP($B44, Dependencies!$B$2:$G$230, 4,FALSE),$B$14:Y$73, Y$74,FALSE),"o")=$D$4,IFERROR(VLOOKUP(VLOOKUP($B44, Dependencies!$B$2:$G$230, 5,FALSE),$B$14:Y$73, Y$74,FALSE),"o")=$D$4,IFERROR(VLOOKUP(VLOOKUP($B44, Dependencies!$B$2:$G$230, 6,FALSE),$B$14:Y$73, Y$74,FALSE),"o")=$D$4),$D$4,IF(OR(IFERROR(VLOOKUP(VLOOKUP($B44, Dependencies!$B$2:$G$230, 2,FALSE), $B$14:Y$73, Y$74,FALSE),"o")=$D$5,IFERROR(VLOOKUP(VLOOKUP($B44, Dependencies!$B$2:$G$230, 3,FALSE), $B$14:Y$73, Y$74,FALSE),"o")=$D$5,IFERROR(VLOOKUP(VLOOKUP($B44, Dependencies!$B$2:$G$230, 4,FALSE), $B$14:Y$73, Y$74,FALSE),"o")=$D$5,IFERROR(VLOOKUP(VLOOKUP($B44, Dependencies!$B$2:$G$230, 5,FALSE), $B$14:Y$73, Y$74,FALSE),"o")=$D$5,IFERROR(VLOOKUP(VLOOKUP($B44, Dependencies!$B$2:$G$230, 6,FALSE), $B$14:Y$73, Y$74,FALSE),"o")=$D$5),$D$5,X44)))</f>
        <v>o</v>
      </c>
      <c r="Z44" s="93" t="s">
        <v>323</v>
      </c>
      <c r="AA44" s="70" t="str">
        <f>IF(Z44=$D$4,Z44,IF(OR(IFERROR(VLOOKUP(VLOOKUP($B44, Dependencies!$B$2:$G$230, 2,FALSE),$B$14:AA$73, AA$74,FALSE),"o")=$D$4,IFERROR(VLOOKUP(VLOOKUP($B44, Dependencies!$B$2:$G$230, 3,FALSE),$B$14:AA$73, AA$74,FALSE),"o")=$D$4,IFERROR(VLOOKUP(VLOOKUP($B44, Dependencies!$B$2:$G$230, 4,FALSE),$B$14:AA$73, AA$74,FALSE),"o")=$D$4,IFERROR(VLOOKUP(VLOOKUP($B44, Dependencies!$B$2:$G$230, 5,FALSE),$B$14:AA$73, AA$74,FALSE),"o")=$D$4,IFERROR(VLOOKUP(VLOOKUP($B44, Dependencies!$B$2:$G$230, 6,FALSE),$B$14:AA$73, AA$74,FALSE),"o")=$D$4),$D$4,IF(OR(IFERROR(VLOOKUP(VLOOKUP($B44, Dependencies!$B$2:$G$230, 2,FALSE), $B$14:AA$73, AA$74,FALSE),"o")=$D$5,IFERROR(VLOOKUP(VLOOKUP($B44, Dependencies!$B$2:$G$230, 3,FALSE), $B$14:AA$73, AA$74,FALSE),"o")=$D$5,IFERROR(VLOOKUP(VLOOKUP($B44, Dependencies!$B$2:$G$230, 4,FALSE), $B$14:AA$73, AA$74,FALSE),"o")=$D$5,IFERROR(VLOOKUP(VLOOKUP($B44, Dependencies!$B$2:$G$230, 5,FALSE), $B$14:AA$73, AA$74,FALSE),"o")=$D$5,IFERROR(VLOOKUP(VLOOKUP($B44, Dependencies!$B$2:$G$230, 6,FALSE), $B$14:AA$73, AA$74,FALSE),"o")=$D$5),$D$5,Z44)))</f>
        <v>o</v>
      </c>
      <c r="AB44" s="93" t="s">
        <v>323</v>
      </c>
      <c r="AC44" s="70" t="str">
        <f>IF(AB44=$D$4,AB44,IF(OR(IFERROR(VLOOKUP(VLOOKUP($B44, Dependencies!$B$2:$G$230, 2,FALSE),$B$14:AC$73, AC$74,FALSE),"o")=$D$4,IFERROR(VLOOKUP(VLOOKUP($B44, Dependencies!$B$2:$G$230, 3,FALSE),$B$14:AC$73, AC$74,FALSE),"o")=$D$4,IFERROR(VLOOKUP(VLOOKUP($B44, Dependencies!$B$2:$G$230, 4,FALSE),$B$14:AC$73, AC$74,FALSE),"o")=$D$4,IFERROR(VLOOKUP(VLOOKUP($B44, Dependencies!$B$2:$G$230, 5,FALSE),$B$14:AC$73, AC$74,FALSE),"o")=$D$4,IFERROR(VLOOKUP(VLOOKUP($B44, Dependencies!$B$2:$G$230, 6,FALSE),$B$14:AC$73, AC$74,FALSE),"o")=$D$4),$D$4,IF(OR(IFERROR(VLOOKUP(VLOOKUP($B44, Dependencies!$B$2:$G$230, 2,FALSE), $B$14:AC$73, AC$74,FALSE),"o")=$D$5,IFERROR(VLOOKUP(VLOOKUP($B44, Dependencies!$B$2:$G$230, 3,FALSE), $B$14:AC$73, AC$74,FALSE),"o")=$D$5,IFERROR(VLOOKUP(VLOOKUP($B44, Dependencies!$B$2:$G$230, 4,FALSE), $B$14:AC$73, AC$74,FALSE),"o")=$D$5,IFERROR(VLOOKUP(VLOOKUP($B44, Dependencies!$B$2:$G$230, 5,FALSE), $B$14:AC$73, AC$74,FALSE),"o")=$D$5,IFERROR(VLOOKUP(VLOOKUP($B44, Dependencies!$B$2:$G$230, 6,FALSE), $B$14:AC$73, AC$74,FALSE),"o")=$D$5),$D$5,AB44)))</f>
        <v>o</v>
      </c>
      <c r="AD44" s="93" t="s">
        <v>323</v>
      </c>
      <c r="AE44" s="70" t="str">
        <f>IF(AD44=$D$4,AD44,IF(OR(IFERROR(VLOOKUP(VLOOKUP($B44, Dependencies!$B$2:$G$230, 2,FALSE),$B$14:AE$73, AE$74,FALSE),"o")=$D$4,IFERROR(VLOOKUP(VLOOKUP($B44, Dependencies!$B$2:$G$230, 3,FALSE),$B$14:AE$73, AE$74,FALSE),"o")=$D$4,IFERROR(VLOOKUP(VLOOKUP($B44, Dependencies!$B$2:$G$230, 4,FALSE),$B$14:AE$73, AE$74,FALSE),"o")=$D$4,IFERROR(VLOOKUP(VLOOKUP($B44, Dependencies!$B$2:$G$230, 5,FALSE),$B$14:AE$73, AE$74,FALSE),"o")=$D$4,IFERROR(VLOOKUP(VLOOKUP($B44, Dependencies!$B$2:$G$230, 6,FALSE),$B$14:AE$73, AE$74,FALSE),"o")=$D$4),$D$4,IF(OR(IFERROR(VLOOKUP(VLOOKUP($B44, Dependencies!$B$2:$G$230, 2,FALSE), $B$14:AE$73, AE$74,FALSE),"o")=$D$5,IFERROR(VLOOKUP(VLOOKUP($B44, Dependencies!$B$2:$G$230, 3,FALSE), $B$14:AE$73, AE$74,FALSE),"o")=$D$5,IFERROR(VLOOKUP(VLOOKUP($B44, Dependencies!$B$2:$G$230, 4,FALSE), $B$14:AE$73, AE$74,FALSE),"o")=$D$5,IFERROR(VLOOKUP(VLOOKUP($B44, Dependencies!$B$2:$G$230, 5,FALSE), $B$14:AE$73, AE$74,FALSE),"o")=$D$5,IFERROR(VLOOKUP(VLOOKUP($B44, Dependencies!$B$2:$G$230, 6,FALSE), $B$14:AE$73, AE$74,FALSE),"o")=$D$5),$D$5,AD44)))</f>
        <v>o</v>
      </c>
      <c r="AF44" s="93" t="s">
        <v>323</v>
      </c>
      <c r="AG44" s="70" t="str">
        <f>IF(AF44=$D$4,AF44,IF(OR(IFERROR(VLOOKUP(VLOOKUP($B44, Dependencies!$B$2:$G$230, 2,FALSE),$B$14:AG$73, AG$74,FALSE),"o")=$D$4,IFERROR(VLOOKUP(VLOOKUP($B44, Dependencies!$B$2:$G$230, 3,FALSE),$B$14:AG$73, AG$74,FALSE),"o")=$D$4,IFERROR(VLOOKUP(VLOOKUP($B44, Dependencies!$B$2:$G$230, 4,FALSE),$B$14:AG$73, AG$74,FALSE),"o")=$D$4,IFERROR(VLOOKUP(VLOOKUP($B44, Dependencies!$B$2:$G$230, 5,FALSE),$B$14:AG$73, AG$74,FALSE),"o")=$D$4,IFERROR(VLOOKUP(VLOOKUP($B44, Dependencies!$B$2:$G$230, 6,FALSE),$B$14:AG$73, AG$74,FALSE),"o")=$D$4),$D$4,IF(OR(IFERROR(VLOOKUP(VLOOKUP($B44, Dependencies!$B$2:$G$230, 2,FALSE), $B$14:AG$73, AG$74,FALSE),"o")=$D$5,IFERROR(VLOOKUP(VLOOKUP($B44, Dependencies!$B$2:$G$230, 3,FALSE), $B$14:AG$73, AG$74,FALSE),"o")=$D$5,IFERROR(VLOOKUP(VLOOKUP($B44, Dependencies!$B$2:$G$230, 4,FALSE), $B$14:AG$73, AG$74,FALSE),"o")=$D$5,IFERROR(VLOOKUP(VLOOKUP($B44, Dependencies!$B$2:$G$230, 5,FALSE), $B$14:AG$73, AG$74,FALSE),"o")=$D$5,IFERROR(VLOOKUP(VLOOKUP($B44, Dependencies!$B$2:$G$230, 6,FALSE), $B$14:AG$73, AG$74,FALSE),"o")=$D$5),$D$5,AF44)))</f>
        <v>o</v>
      </c>
      <c r="AH44" s="93" t="s">
        <v>323</v>
      </c>
      <c r="AI44" s="70" t="str">
        <f>IF(AH44=$D$4,AH44,IF(OR(IFERROR(VLOOKUP(VLOOKUP($B44, Dependencies!$B$2:$G$230, 2,FALSE),$B$14:AI$73, AI$74,FALSE),"o")=$D$4,IFERROR(VLOOKUP(VLOOKUP($B44, Dependencies!$B$2:$G$230, 3,FALSE),$B$14:AI$73, AI$74,FALSE),"o")=$D$4,IFERROR(VLOOKUP(VLOOKUP($B44, Dependencies!$B$2:$G$230, 4,FALSE),$B$14:AI$73, AI$74,FALSE),"o")=$D$4,IFERROR(VLOOKUP(VLOOKUP($B44, Dependencies!$B$2:$G$230, 5,FALSE),$B$14:AI$73, AI$74,FALSE),"o")=$D$4,IFERROR(VLOOKUP(VLOOKUP($B44, Dependencies!$B$2:$G$230, 6,FALSE),$B$14:AI$73, AI$74,FALSE),"o")=$D$4),$D$4,IF(OR(IFERROR(VLOOKUP(VLOOKUP($B44, Dependencies!$B$2:$G$230, 2,FALSE), $B$14:AI$73, AI$74,FALSE),"o")=$D$5,IFERROR(VLOOKUP(VLOOKUP($B44, Dependencies!$B$2:$G$230, 3,FALSE), $B$14:AI$73, AI$74,FALSE),"o")=$D$5,IFERROR(VLOOKUP(VLOOKUP($B44, Dependencies!$B$2:$G$230, 4,FALSE), $B$14:AI$73, AI$74,FALSE),"o")=$D$5,IFERROR(VLOOKUP(VLOOKUP($B44, Dependencies!$B$2:$G$230, 5,FALSE), $B$14:AI$73, AI$74,FALSE),"o")=$D$5,IFERROR(VLOOKUP(VLOOKUP($B44, Dependencies!$B$2:$G$230, 6,FALSE), $B$14:AI$73, AI$74,FALSE),"o")=$D$5),$D$5,AH44)))</f>
        <v>o</v>
      </c>
      <c r="AJ44" s="93" t="s">
        <v>323</v>
      </c>
      <c r="AK44" s="70" t="str">
        <f>IF(AJ44=$D$4,AJ44,IF(OR(IFERROR(VLOOKUP(VLOOKUP($B44, Dependencies!$B$2:$G$230, 2,FALSE),$B$14:AK$73, AK$74,FALSE),"o")=$D$4,IFERROR(VLOOKUP(VLOOKUP($B44, Dependencies!$B$2:$G$230, 3,FALSE),$B$14:AK$73, AK$74,FALSE),"o")=$D$4,IFERROR(VLOOKUP(VLOOKUP($B44, Dependencies!$B$2:$G$230, 4,FALSE),$B$14:AK$73, AK$74,FALSE),"o")=$D$4,IFERROR(VLOOKUP(VLOOKUP($B44, Dependencies!$B$2:$G$230, 5,FALSE),$B$14:AK$73, AK$74,FALSE),"o")=$D$4,IFERROR(VLOOKUP(VLOOKUP($B44, Dependencies!$B$2:$G$230, 6,FALSE),$B$14:AK$73, AK$74,FALSE),"o")=$D$4),$D$4,IF(OR(IFERROR(VLOOKUP(VLOOKUP($B44, Dependencies!$B$2:$G$230, 2,FALSE), $B$14:AK$73, AK$74,FALSE),"o")=$D$5,IFERROR(VLOOKUP(VLOOKUP($B44, Dependencies!$B$2:$G$230, 3,FALSE), $B$14:AK$73, AK$74,FALSE),"o")=$D$5,IFERROR(VLOOKUP(VLOOKUP($B44, Dependencies!$B$2:$G$230, 4,FALSE), $B$14:AK$73, AK$74,FALSE),"o")=$D$5,IFERROR(VLOOKUP(VLOOKUP($B44, Dependencies!$B$2:$G$230, 5,FALSE), $B$14:AK$73, AK$74,FALSE),"o")=$D$5,IFERROR(VLOOKUP(VLOOKUP($B44, Dependencies!$B$2:$G$230, 6,FALSE), $B$14:AK$73, AK$74,FALSE),"o")=$D$5),$D$5,AJ44)))</f>
        <v>o</v>
      </c>
      <c r="AL44" s="93" t="s">
        <v>323</v>
      </c>
      <c r="AM44" s="70" t="str">
        <f>IF(AL44=$D$4,AL44,IF(OR(IFERROR(VLOOKUP(VLOOKUP($B44, Dependencies!$B$2:$G$230, 2,FALSE),$B$14:AM$73, AM$74,FALSE),"o")=$D$4,IFERROR(VLOOKUP(VLOOKUP($B44, Dependencies!$B$2:$G$230, 3,FALSE),$B$14:AM$73, AM$74,FALSE),"o")=$D$4,IFERROR(VLOOKUP(VLOOKUP($B44, Dependencies!$B$2:$G$230, 4,FALSE),$B$14:AM$73, AM$74,FALSE),"o")=$D$4,IFERROR(VLOOKUP(VLOOKUP($B44, Dependencies!$B$2:$G$230, 5,FALSE),$B$14:AM$73, AM$74,FALSE),"o")=$D$4,IFERROR(VLOOKUP(VLOOKUP($B44, Dependencies!$B$2:$G$230, 6,FALSE),$B$14:AM$73, AM$74,FALSE),"o")=$D$4),$D$4,IF(OR(IFERROR(VLOOKUP(VLOOKUP($B44, Dependencies!$B$2:$G$230, 2,FALSE), $B$14:AM$73, AM$74,FALSE),"o")=$D$5,IFERROR(VLOOKUP(VLOOKUP($B44, Dependencies!$B$2:$G$230, 3,FALSE), $B$14:AM$73, AM$74,FALSE),"o")=$D$5,IFERROR(VLOOKUP(VLOOKUP($B44, Dependencies!$B$2:$G$230, 4,FALSE), $B$14:AM$73, AM$74,FALSE),"o")=$D$5,IFERROR(VLOOKUP(VLOOKUP($B44, Dependencies!$B$2:$G$230, 5,FALSE), $B$14:AM$73, AM$74,FALSE),"o")=$D$5,IFERROR(VLOOKUP(VLOOKUP($B44, Dependencies!$B$2:$G$230, 6,FALSE), $B$14:AM$73, AM$74,FALSE),"o")=$D$5),$D$5,AL44)))</f>
        <v>o</v>
      </c>
      <c r="AN44" s="93" t="s">
        <v>323</v>
      </c>
      <c r="AO44" s="70" t="str">
        <f>IF(AN44=$D$4,AN44,IF(OR(IFERROR(VLOOKUP(VLOOKUP($B44, Dependencies!$B$2:$G$230, 2,FALSE),$B$14:AO$73, AO$74,FALSE),"o")=$D$4,IFERROR(VLOOKUP(VLOOKUP($B44, Dependencies!$B$2:$G$230, 3,FALSE),$B$14:AO$73, AO$74,FALSE),"o")=$D$4,IFERROR(VLOOKUP(VLOOKUP($B44, Dependencies!$B$2:$G$230, 4,FALSE),$B$14:AO$73, AO$74,FALSE),"o")=$D$4,IFERROR(VLOOKUP(VLOOKUP($B44, Dependencies!$B$2:$G$230, 5,FALSE),$B$14:AO$73, AO$74,FALSE),"o")=$D$4,IFERROR(VLOOKUP(VLOOKUP($B44, Dependencies!$B$2:$G$230, 6,FALSE),$B$14:AO$73, AO$74,FALSE),"o")=$D$4),$D$4,IF(OR(IFERROR(VLOOKUP(VLOOKUP($B44, Dependencies!$B$2:$G$230, 2,FALSE), $B$14:AO$73, AO$74,FALSE),"o")=$D$5,IFERROR(VLOOKUP(VLOOKUP($B44, Dependencies!$B$2:$G$230, 3,FALSE), $B$14:AO$73, AO$74,FALSE),"o")=$D$5,IFERROR(VLOOKUP(VLOOKUP($B44, Dependencies!$B$2:$G$230, 4,FALSE), $B$14:AO$73, AO$74,FALSE),"o")=$D$5,IFERROR(VLOOKUP(VLOOKUP($B44, Dependencies!$B$2:$G$230, 5,FALSE), $B$14:AO$73, AO$74,FALSE),"o")=$D$5,IFERROR(VLOOKUP(VLOOKUP($B44, Dependencies!$B$2:$G$230, 6,FALSE), $B$14:AO$73, AO$74,FALSE),"o")=$D$5),$D$5,AN44)))</f>
        <v>o</v>
      </c>
      <c r="AP44" s="93" t="s">
        <v>323</v>
      </c>
      <c r="AQ44" s="70" t="str">
        <f>IF(AP44=$D$4,AP44,IF(OR(IFERROR(VLOOKUP(VLOOKUP($B44, Dependencies!$B$2:$G$230, 2,FALSE),$B$14:AQ$73, AQ$74,FALSE),"o")=$D$4,IFERROR(VLOOKUP(VLOOKUP($B44, Dependencies!$B$2:$G$230, 3,FALSE),$B$14:AQ$73, AQ$74,FALSE),"o")=$D$4,IFERROR(VLOOKUP(VLOOKUP($B44, Dependencies!$B$2:$G$230, 4,FALSE),$B$14:AQ$73, AQ$74,FALSE),"o")=$D$4,IFERROR(VLOOKUP(VLOOKUP($B44, Dependencies!$B$2:$G$230, 5,FALSE),$B$14:AQ$73, AQ$74,FALSE),"o")=$D$4,IFERROR(VLOOKUP(VLOOKUP($B44, Dependencies!$B$2:$G$230, 6,FALSE),$B$14:AQ$73, AQ$74,FALSE),"o")=$D$4),$D$4,IF(OR(IFERROR(VLOOKUP(VLOOKUP($B44, Dependencies!$B$2:$G$230, 2,FALSE), $B$14:AQ$73, AQ$74,FALSE),"o")=$D$5,IFERROR(VLOOKUP(VLOOKUP($B44, Dependencies!$B$2:$G$230, 3,FALSE), $B$14:AQ$73, AQ$74,FALSE),"o")=$D$5,IFERROR(VLOOKUP(VLOOKUP($B44, Dependencies!$B$2:$G$230, 4,FALSE), $B$14:AQ$73, AQ$74,FALSE),"o")=$D$5,IFERROR(VLOOKUP(VLOOKUP($B44, Dependencies!$B$2:$G$230, 5,FALSE), $B$14:AQ$73, AQ$74,FALSE),"o")=$D$5,IFERROR(VLOOKUP(VLOOKUP($B44, Dependencies!$B$2:$G$230, 6,FALSE), $B$14:AQ$73, AQ$74,FALSE),"o")=$D$5),$D$5,AP44)))</f>
        <v>o</v>
      </c>
      <c r="AR44" s="93" t="s">
        <v>323</v>
      </c>
      <c r="AS44" s="69" t="str">
        <f>IF(AR44=$D$4,AR44,IF(OR(IFERROR(VLOOKUP(VLOOKUP($B44, Dependencies!$B$2:$G$230, 2,FALSE),$B$14:AS$73, AS$74,FALSE),"o")=$D$4,IFERROR(VLOOKUP(VLOOKUP($B44, Dependencies!$B$2:$G$230, 3,FALSE),$B$14:AS$73, AS$74,FALSE),"o")=$D$4,IFERROR(VLOOKUP(VLOOKUP($B44, Dependencies!$B$2:$G$230, 4,FALSE),$B$14:AS$73, AS$74,FALSE),"o")=$D$4,IFERROR(VLOOKUP(VLOOKUP($B44, Dependencies!$B$2:$G$230, 5,FALSE),$B$14:AS$73, AS$74,FALSE),"o")=$D$4,IFERROR(VLOOKUP(VLOOKUP($B44, Dependencies!$B$2:$G$230, 6,FALSE),$B$14:AS$73, AS$74,FALSE),"o")=$D$4),$D$4,IF(OR(IFERROR(VLOOKUP(VLOOKUP($B44, Dependencies!$B$2:$G$230, 2,FALSE), $B$14:AS$73, AS$74,FALSE),"o")=$D$5,IFERROR(VLOOKUP(VLOOKUP($B44, Dependencies!$B$2:$G$230, 3,FALSE), $B$14:AS$73, AS$74,FALSE),"o")=$D$5,IFERROR(VLOOKUP(VLOOKUP($B44, Dependencies!$B$2:$G$230, 4,FALSE), $B$14:AS$73, AS$74,FALSE),"o")=$D$5,IFERROR(VLOOKUP(VLOOKUP($B44, Dependencies!$B$2:$G$230, 5,FALSE), $B$14:AS$73, AS$74,FALSE),"o")=$D$5,IFERROR(VLOOKUP(VLOOKUP($B44, Dependencies!$B$2:$G$230, 6,FALSE), $B$14:AS$73, AS$74,FALSE),"o")=$D$5),$D$5,AR44)))</f>
        <v>o</v>
      </c>
    </row>
    <row r="45" spans="1:45" x14ac:dyDescent="0.2">
      <c r="A45" s="40"/>
      <c r="B45" s="74" t="str">
        <f>MLEOsv2!A33</f>
        <v>MLEO_02_04</v>
      </c>
      <c r="C45" s="74">
        <f>MLEOsv2!C33</f>
        <v>4</v>
      </c>
      <c r="D45" s="44" t="str">
        <f>MLEOsv2!G33</f>
        <v>use super class implementations of methods (also in overridden methods)-</v>
      </c>
      <c r="E45" s="68" t="b">
        <f>MLEOsv2!H33</f>
        <v>0</v>
      </c>
      <c r="F45" s="94" t="s">
        <v>320</v>
      </c>
      <c r="G45" s="72" t="str">
        <f>IF(F45=$D$4,F45,IF(OR(IFERROR(VLOOKUP(VLOOKUP($B45, Dependencies!$B$2:$G$230, 2,FALSE),$B$14:G$73, G$74,FALSE),"o")=$D$4,IFERROR(VLOOKUP(VLOOKUP($B45, Dependencies!$B$2:$G$230, 3,FALSE),$B$14:G$73, G$74,FALSE),"o")=$D$4,IFERROR(VLOOKUP(VLOOKUP($B45, Dependencies!$B$2:$G$230, 4,FALSE),$B$14:G$73, G$74,FALSE),"o")=$D$4,IFERROR(VLOOKUP(VLOOKUP($B45, Dependencies!$B$2:$G$230, 5,FALSE),$B$14:G$73, G$74,FALSE),"o")=$D$4,IFERROR(VLOOKUP(VLOOKUP($B45, Dependencies!$B$2:$G$230, 6,FALSE),$B$14:G$73, G$74,FALSE),"o")=$D$4),$D$4,IF(OR(IFERROR(VLOOKUP(VLOOKUP($B45, Dependencies!$B$2:$G$230, 2,FALSE), $B$14:G$73, G$74,FALSE),"o")=$D$5,IFERROR(VLOOKUP(VLOOKUP($B45, Dependencies!$B$2:$G$230, 3,FALSE), $B$14:G$73, G$74,FALSE),"o")=$D$5,IFERROR(VLOOKUP(VLOOKUP($B45, Dependencies!$B$2:$G$230, 4,FALSE), $B$14:G$73, G$74,FALSE),"o")=$D$5,IFERROR(VLOOKUP(VLOOKUP($B45, Dependencies!$B$2:$G$230, 5,FALSE), $B$14:G$73, G$74,FALSE),"o")=$D$5,IFERROR(VLOOKUP(VLOOKUP($B45, Dependencies!$B$2:$G$230, 6,FALSE), $B$14:G$73, G$74,FALSE),"o")=$D$5),$D$5,F45)))</f>
        <v>r</v>
      </c>
      <c r="H45" s="94" t="s">
        <v>321</v>
      </c>
      <c r="I45" s="72" t="str">
        <f>IF(H45=$D$4,H45,IF(OR(IFERROR(VLOOKUP(VLOOKUP($B45, Dependencies!$B$2:$G$230, 2,FALSE),$B$14:I$73, I$74,FALSE),"o")=$D$4,IFERROR(VLOOKUP(VLOOKUP($B45, Dependencies!$B$2:$G$230, 3,FALSE),$B$14:I$73, I$74,FALSE),"o")=$D$4,IFERROR(VLOOKUP(VLOOKUP($B45, Dependencies!$B$2:$G$230, 4,FALSE),$B$14:I$73, I$74,FALSE),"o")=$D$4,IFERROR(VLOOKUP(VLOOKUP($B45, Dependencies!$B$2:$G$230, 5,FALSE),$B$14:I$73, I$74,FALSE),"o")=$D$4,IFERROR(VLOOKUP(VLOOKUP($B45, Dependencies!$B$2:$G$230, 6,FALSE),$B$14:I$73, I$74,FALSE),"o")=$D$4),$D$4,IF(OR(IFERROR(VLOOKUP(VLOOKUP($B45, Dependencies!$B$2:$G$230, 2,FALSE), $B$14:I$73, I$74,FALSE),"o")=$D$5,IFERROR(VLOOKUP(VLOOKUP($B45, Dependencies!$B$2:$G$230, 3,FALSE), $B$14:I$73, I$74,FALSE),"o")=$D$5,IFERROR(VLOOKUP(VLOOKUP($B45, Dependencies!$B$2:$G$230, 4,FALSE), $B$14:I$73, I$74,FALSE),"o")=$D$5,IFERROR(VLOOKUP(VLOOKUP($B45, Dependencies!$B$2:$G$230, 5,FALSE), $B$14:I$73, I$74,FALSE),"o")=$D$5,IFERROR(VLOOKUP(VLOOKUP($B45, Dependencies!$B$2:$G$230, 6,FALSE), $B$14:I$73, I$74,FALSE),"o")=$D$5),$D$5,H45)))</f>
        <v>pr</v>
      </c>
      <c r="J45" s="94" t="s">
        <v>323</v>
      </c>
      <c r="K45" s="72" t="str">
        <f>IF(J45=$D$4,J45,IF(OR(IFERROR(VLOOKUP(VLOOKUP($B45, Dependencies!$B$2:$G$230, 2,FALSE),$B$14:K$73, K$74,FALSE),"o")=$D$4,IFERROR(VLOOKUP(VLOOKUP($B45, Dependencies!$B$2:$G$230, 3,FALSE),$B$14:K$73, K$74,FALSE),"o")=$D$4,IFERROR(VLOOKUP(VLOOKUP($B45, Dependencies!$B$2:$G$230, 4,FALSE),$B$14:K$73, K$74,FALSE),"o")=$D$4,IFERROR(VLOOKUP(VLOOKUP($B45, Dependencies!$B$2:$G$230, 5,FALSE),$B$14:K$73, K$74,FALSE),"o")=$D$4,IFERROR(VLOOKUP(VLOOKUP($B45, Dependencies!$B$2:$G$230, 6,FALSE),$B$14:K$73, K$74,FALSE),"o")=$D$4),$D$4,IF(OR(IFERROR(VLOOKUP(VLOOKUP($B45, Dependencies!$B$2:$G$230, 2,FALSE), $B$14:K$73, K$74,FALSE),"o")=$D$5,IFERROR(VLOOKUP(VLOOKUP($B45, Dependencies!$B$2:$G$230, 3,FALSE), $B$14:K$73, K$74,FALSE),"o")=$D$5,IFERROR(VLOOKUP(VLOOKUP($B45, Dependencies!$B$2:$G$230, 4,FALSE), $B$14:K$73, K$74,FALSE),"o")=$D$5,IFERROR(VLOOKUP(VLOOKUP($B45, Dependencies!$B$2:$G$230, 5,FALSE), $B$14:K$73, K$74,FALSE),"o")=$D$5,IFERROR(VLOOKUP(VLOOKUP($B45, Dependencies!$B$2:$G$230, 6,FALSE), $B$14:K$73, K$74,FALSE),"o")=$D$5),$D$5,J45)))</f>
        <v>o</v>
      </c>
      <c r="L45" s="94" t="s">
        <v>323</v>
      </c>
      <c r="M45" s="72" t="str">
        <f>IF(L45=$D$4,L45,IF(OR(IFERROR(VLOOKUP(VLOOKUP($B45, Dependencies!$B$2:$G$230, 2,FALSE),$B$14:M$73, M$74,FALSE),"o")=$D$4,IFERROR(VLOOKUP(VLOOKUP($B45, Dependencies!$B$2:$G$230, 3,FALSE),$B$14:M$73, M$74,FALSE),"o")=$D$4,IFERROR(VLOOKUP(VLOOKUP($B45, Dependencies!$B$2:$G$230, 4,FALSE),$B$14:M$73, M$74,FALSE),"o")=$D$4,IFERROR(VLOOKUP(VLOOKUP($B45, Dependencies!$B$2:$G$230, 5,FALSE),$B$14:M$73, M$74,FALSE),"o")=$D$4,IFERROR(VLOOKUP(VLOOKUP($B45, Dependencies!$B$2:$G$230, 6,FALSE),$B$14:M$73, M$74,FALSE),"o")=$D$4),$D$4,IF(OR(IFERROR(VLOOKUP(VLOOKUP($B45, Dependencies!$B$2:$G$230, 2,FALSE), $B$14:M$73, M$74,FALSE),"o")=$D$5,IFERROR(VLOOKUP(VLOOKUP($B45, Dependencies!$B$2:$G$230, 3,FALSE), $B$14:M$73, M$74,FALSE),"o")=$D$5,IFERROR(VLOOKUP(VLOOKUP($B45, Dependencies!$B$2:$G$230, 4,FALSE), $B$14:M$73, M$74,FALSE),"o")=$D$5,IFERROR(VLOOKUP(VLOOKUP($B45, Dependencies!$B$2:$G$230, 5,FALSE), $B$14:M$73, M$74,FALSE),"o")=$D$5,IFERROR(VLOOKUP(VLOOKUP($B45, Dependencies!$B$2:$G$230, 6,FALSE), $B$14:M$73, M$74,FALSE),"o")=$D$5),$D$5,L45)))</f>
        <v>o</v>
      </c>
      <c r="N45" s="94" t="s">
        <v>323</v>
      </c>
      <c r="O45" s="72" t="str">
        <f>IF(N45=$D$4,N45,IF(OR(IFERROR(VLOOKUP(VLOOKUP($B45, Dependencies!$B$2:$G$230, 2,FALSE),$B$14:O$73, O$74,FALSE),"o")=$D$4,IFERROR(VLOOKUP(VLOOKUP($B45, Dependencies!$B$2:$G$230, 3,FALSE),$B$14:O$73, O$74,FALSE),"o")=$D$4,IFERROR(VLOOKUP(VLOOKUP($B45, Dependencies!$B$2:$G$230, 4,FALSE),$B$14:O$73, O$74,FALSE),"o")=$D$4,IFERROR(VLOOKUP(VLOOKUP($B45, Dependencies!$B$2:$G$230, 5,FALSE),$B$14:O$73, O$74,FALSE),"o")=$D$4,IFERROR(VLOOKUP(VLOOKUP($B45, Dependencies!$B$2:$G$230, 6,FALSE),$B$14:O$73, O$74,FALSE),"o")=$D$4),$D$4,IF(OR(IFERROR(VLOOKUP(VLOOKUP($B45, Dependencies!$B$2:$G$230, 2,FALSE), $B$14:O$73, O$74,FALSE),"o")=$D$5,IFERROR(VLOOKUP(VLOOKUP($B45, Dependencies!$B$2:$G$230, 3,FALSE), $B$14:O$73, O$74,FALSE),"o")=$D$5,IFERROR(VLOOKUP(VLOOKUP($B45, Dependencies!$B$2:$G$230, 4,FALSE), $B$14:O$73, O$74,FALSE),"o")=$D$5,IFERROR(VLOOKUP(VLOOKUP($B45, Dependencies!$B$2:$G$230, 5,FALSE), $B$14:O$73, O$74,FALSE),"o")=$D$5,IFERROR(VLOOKUP(VLOOKUP($B45, Dependencies!$B$2:$G$230, 6,FALSE), $B$14:O$73, O$74,FALSE),"o")=$D$5),$D$5,N45)))</f>
        <v>o</v>
      </c>
      <c r="P45" s="94" t="s">
        <v>323</v>
      </c>
      <c r="Q45" s="72" t="str">
        <f>IF(P45=$D$4,P45,IF(OR(IFERROR(VLOOKUP(VLOOKUP($B45, Dependencies!$B$2:$G$230, 2,FALSE),$B$14:Q$73, Q$74,FALSE),"o")=$D$4,IFERROR(VLOOKUP(VLOOKUP($B45, Dependencies!$B$2:$G$230, 3,FALSE),$B$14:Q$73, Q$74,FALSE),"o")=$D$4,IFERROR(VLOOKUP(VLOOKUP($B45, Dependencies!$B$2:$G$230, 4,FALSE),$B$14:Q$73, Q$74,FALSE),"o")=$D$4,IFERROR(VLOOKUP(VLOOKUP($B45, Dependencies!$B$2:$G$230, 5,FALSE),$B$14:Q$73, Q$74,FALSE),"o")=$D$4,IFERROR(VLOOKUP(VLOOKUP($B45, Dependencies!$B$2:$G$230, 6,FALSE),$B$14:Q$73, Q$74,FALSE),"o")=$D$4),$D$4,IF(OR(IFERROR(VLOOKUP(VLOOKUP($B45, Dependencies!$B$2:$G$230, 2,FALSE), $B$14:Q$73, Q$74,FALSE),"o")=$D$5,IFERROR(VLOOKUP(VLOOKUP($B45, Dependencies!$B$2:$G$230, 3,FALSE), $B$14:Q$73, Q$74,FALSE),"o")=$D$5,IFERROR(VLOOKUP(VLOOKUP($B45, Dependencies!$B$2:$G$230, 4,FALSE), $B$14:Q$73, Q$74,FALSE),"o")=$D$5,IFERROR(VLOOKUP(VLOOKUP($B45, Dependencies!$B$2:$G$230, 5,FALSE), $B$14:Q$73, Q$74,FALSE),"o")=$D$5,IFERROR(VLOOKUP(VLOOKUP($B45, Dependencies!$B$2:$G$230, 6,FALSE), $B$14:Q$73, Q$74,FALSE),"o")=$D$5),$D$5,P45)))</f>
        <v>o</v>
      </c>
      <c r="R45" s="94" t="s">
        <v>323</v>
      </c>
      <c r="S45" s="72" t="str">
        <f>IF(R45=$D$4,R45,IF(OR(IFERROR(VLOOKUP(VLOOKUP($B45, Dependencies!$B$2:$G$230, 2,FALSE),$B$14:S$73, S$74,FALSE),"o")=$D$4,IFERROR(VLOOKUP(VLOOKUP($B45, Dependencies!$B$2:$G$230, 3,FALSE),$B$14:S$73, S$74,FALSE),"o")=$D$4,IFERROR(VLOOKUP(VLOOKUP($B45, Dependencies!$B$2:$G$230, 4,FALSE),$B$14:S$73, S$74,FALSE),"o")=$D$4,IFERROR(VLOOKUP(VLOOKUP($B45, Dependencies!$B$2:$G$230, 5,FALSE),$B$14:S$73, S$74,FALSE),"o")=$D$4,IFERROR(VLOOKUP(VLOOKUP($B45, Dependencies!$B$2:$G$230, 6,FALSE),$B$14:S$73, S$74,FALSE),"o")=$D$4),$D$4,IF(OR(IFERROR(VLOOKUP(VLOOKUP($B45, Dependencies!$B$2:$G$230, 2,FALSE), $B$14:S$73, S$74,FALSE),"o")=$D$5,IFERROR(VLOOKUP(VLOOKUP($B45, Dependencies!$B$2:$G$230, 3,FALSE), $B$14:S$73, S$74,FALSE),"o")=$D$5,IFERROR(VLOOKUP(VLOOKUP($B45, Dependencies!$B$2:$G$230, 4,FALSE), $B$14:S$73, S$74,FALSE),"o")=$D$5,IFERROR(VLOOKUP(VLOOKUP($B45, Dependencies!$B$2:$G$230, 5,FALSE), $B$14:S$73, S$74,FALSE),"o")=$D$5,IFERROR(VLOOKUP(VLOOKUP($B45, Dependencies!$B$2:$G$230, 6,FALSE), $B$14:S$73, S$74,FALSE),"o")=$D$5),$D$5,R45)))</f>
        <v>o</v>
      </c>
      <c r="T45" s="94" t="s">
        <v>323</v>
      </c>
      <c r="U45" s="72" t="str">
        <f>IF(T45=$D$4,T45,IF(OR(IFERROR(VLOOKUP(VLOOKUP($B45, Dependencies!$B$2:$G$230, 2,FALSE),$B$14:U$73, U$74,FALSE),"o")=$D$4,IFERROR(VLOOKUP(VLOOKUP($B45, Dependencies!$B$2:$G$230, 3,FALSE),$B$14:U$73, U$74,FALSE),"o")=$D$4,IFERROR(VLOOKUP(VLOOKUP($B45, Dependencies!$B$2:$G$230, 4,FALSE),$B$14:U$73, U$74,FALSE),"o")=$D$4,IFERROR(VLOOKUP(VLOOKUP($B45, Dependencies!$B$2:$G$230, 5,FALSE),$B$14:U$73, U$74,FALSE),"o")=$D$4,IFERROR(VLOOKUP(VLOOKUP($B45, Dependencies!$B$2:$G$230, 6,FALSE),$B$14:U$73, U$74,FALSE),"o")=$D$4),$D$4,IF(OR(IFERROR(VLOOKUP(VLOOKUP($B45, Dependencies!$B$2:$G$230, 2,FALSE), $B$14:U$73, U$74,FALSE),"o")=$D$5,IFERROR(VLOOKUP(VLOOKUP($B45, Dependencies!$B$2:$G$230, 3,FALSE), $B$14:U$73, U$74,FALSE),"o")=$D$5,IFERROR(VLOOKUP(VLOOKUP($B45, Dependencies!$B$2:$G$230, 4,FALSE), $B$14:U$73, U$74,FALSE),"o")=$D$5,IFERROR(VLOOKUP(VLOOKUP($B45, Dependencies!$B$2:$G$230, 5,FALSE), $B$14:U$73, U$74,FALSE),"o")=$D$5,IFERROR(VLOOKUP(VLOOKUP($B45, Dependencies!$B$2:$G$230, 6,FALSE), $B$14:U$73, U$74,FALSE),"o")=$D$5),$D$5,T45)))</f>
        <v>o</v>
      </c>
      <c r="V45" s="94" t="s">
        <v>323</v>
      </c>
      <c r="W45" s="72" t="str">
        <f>IF(V45=$D$4,V45,IF(OR(IFERROR(VLOOKUP(VLOOKUP($B45, Dependencies!$B$2:$G$230, 2,FALSE),$B$14:W$73, W$74,FALSE),"o")=$D$4,IFERROR(VLOOKUP(VLOOKUP($B45, Dependencies!$B$2:$G$230, 3,FALSE),$B$14:W$73, W$74,FALSE),"o")=$D$4,IFERROR(VLOOKUP(VLOOKUP($B45, Dependencies!$B$2:$G$230, 4,FALSE),$B$14:W$73, W$74,FALSE),"o")=$D$4,IFERROR(VLOOKUP(VLOOKUP($B45, Dependencies!$B$2:$G$230, 5,FALSE),$B$14:W$73, W$74,FALSE),"o")=$D$4,IFERROR(VLOOKUP(VLOOKUP($B45, Dependencies!$B$2:$G$230, 6,FALSE),$B$14:W$73, W$74,FALSE),"o")=$D$4),$D$4,IF(OR(IFERROR(VLOOKUP(VLOOKUP($B45, Dependencies!$B$2:$G$230, 2,FALSE), $B$14:W$73, W$74,FALSE),"o")=$D$5,IFERROR(VLOOKUP(VLOOKUP($B45, Dependencies!$B$2:$G$230, 3,FALSE), $B$14:W$73, W$74,FALSE),"o")=$D$5,IFERROR(VLOOKUP(VLOOKUP($B45, Dependencies!$B$2:$G$230, 4,FALSE), $B$14:W$73, W$74,FALSE),"o")=$D$5,IFERROR(VLOOKUP(VLOOKUP($B45, Dependencies!$B$2:$G$230, 5,FALSE), $B$14:W$73, W$74,FALSE),"o")=$D$5,IFERROR(VLOOKUP(VLOOKUP($B45, Dependencies!$B$2:$G$230, 6,FALSE), $B$14:W$73, W$74,FALSE),"o")=$D$5),$D$5,V45)))</f>
        <v>o</v>
      </c>
      <c r="X45" s="94" t="s">
        <v>323</v>
      </c>
      <c r="Y45" s="72" t="str">
        <f>IF(X45=$D$4,X45,IF(OR(IFERROR(VLOOKUP(VLOOKUP($B45, Dependencies!$B$2:$G$230, 2,FALSE),$B$14:Y$73, Y$74,FALSE),"o")=$D$4,IFERROR(VLOOKUP(VLOOKUP($B45, Dependencies!$B$2:$G$230, 3,FALSE),$B$14:Y$73, Y$74,FALSE),"o")=$D$4,IFERROR(VLOOKUP(VLOOKUP($B45, Dependencies!$B$2:$G$230, 4,FALSE),$B$14:Y$73, Y$74,FALSE),"o")=$D$4,IFERROR(VLOOKUP(VLOOKUP($B45, Dependencies!$B$2:$G$230, 5,FALSE),$B$14:Y$73, Y$74,FALSE),"o")=$D$4,IFERROR(VLOOKUP(VLOOKUP($B45, Dependencies!$B$2:$G$230, 6,FALSE),$B$14:Y$73, Y$74,FALSE),"o")=$D$4),$D$4,IF(OR(IFERROR(VLOOKUP(VLOOKUP($B45, Dependencies!$B$2:$G$230, 2,FALSE), $B$14:Y$73, Y$74,FALSE),"o")=$D$5,IFERROR(VLOOKUP(VLOOKUP($B45, Dependencies!$B$2:$G$230, 3,FALSE), $B$14:Y$73, Y$74,FALSE),"o")=$D$5,IFERROR(VLOOKUP(VLOOKUP($B45, Dependencies!$B$2:$G$230, 4,FALSE), $B$14:Y$73, Y$74,FALSE),"o")=$D$5,IFERROR(VLOOKUP(VLOOKUP($B45, Dependencies!$B$2:$G$230, 5,FALSE), $B$14:Y$73, Y$74,FALSE),"o")=$D$5,IFERROR(VLOOKUP(VLOOKUP($B45, Dependencies!$B$2:$G$230, 6,FALSE), $B$14:Y$73, Y$74,FALSE),"o")=$D$5),$D$5,X45)))</f>
        <v>o</v>
      </c>
      <c r="Z45" s="94" t="s">
        <v>323</v>
      </c>
      <c r="AA45" s="72" t="str">
        <f>IF(Z45=$D$4,Z45,IF(OR(IFERROR(VLOOKUP(VLOOKUP($B45, Dependencies!$B$2:$G$230, 2,FALSE),$B$14:AA$73, AA$74,FALSE),"o")=$D$4,IFERROR(VLOOKUP(VLOOKUP($B45, Dependencies!$B$2:$G$230, 3,FALSE),$B$14:AA$73, AA$74,FALSE),"o")=$D$4,IFERROR(VLOOKUP(VLOOKUP($B45, Dependencies!$B$2:$G$230, 4,FALSE),$B$14:AA$73, AA$74,FALSE),"o")=$D$4,IFERROR(VLOOKUP(VLOOKUP($B45, Dependencies!$B$2:$G$230, 5,FALSE),$B$14:AA$73, AA$74,FALSE),"o")=$D$4,IFERROR(VLOOKUP(VLOOKUP($B45, Dependencies!$B$2:$G$230, 6,FALSE),$B$14:AA$73, AA$74,FALSE),"o")=$D$4),$D$4,IF(OR(IFERROR(VLOOKUP(VLOOKUP($B45, Dependencies!$B$2:$G$230, 2,FALSE), $B$14:AA$73, AA$74,FALSE),"o")=$D$5,IFERROR(VLOOKUP(VLOOKUP($B45, Dependencies!$B$2:$G$230, 3,FALSE), $B$14:AA$73, AA$74,FALSE),"o")=$D$5,IFERROR(VLOOKUP(VLOOKUP($B45, Dependencies!$B$2:$G$230, 4,FALSE), $B$14:AA$73, AA$74,FALSE),"o")=$D$5,IFERROR(VLOOKUP(VLOOKUP($B45, Dependencies!$B$2:$G$230, 5,FALSE), $B$14:AA$73, AA$74,FALSE),"o")=$D$5,IFERROR(VLOOKUP(VLOOKUP($B45, Dependencies!$B$2:$G$230, 6,FALSE), $B$14:AA$73, AA$74,FALSE),"o")=$D$5),$D$5,Z45)))</f>
        <v>o</v>
      </c>
      <c r="AB45" s="94" t="s">
        <v>323</v>
      </c>
      <c r="AC45" s="72" t="str">
        <f>IF(AB45=$D$4,AB45,IF(OR(IFERROR(VLOOKUP(VLOOKUP($B45, Dependencies!$B$2:$G$230, 2,FALSE),$B$14:AC$73, AC$74,FALSE),"o")=$D$4,IFERROR(VLOOKUP(VLOOKUP($B45, Dependencies!$B$2:$G$230, 3,FALSE),$B$14:AC$73, AC$74,FALSE),"o")=$D$4,IFERROR(VLOOKUP(VLOOKUP($B45, Dependencies!$B$2:$G$230, 4,FALSE),$B$14:AC$73, AC$74,FALSE),"o")=$D$4,IFERROR(VLOOKUP(VLOOKUP($B45, Dependencies!$B$2:$G$230, 5,FALSE),$B$14:AC$73, AC$74,FALSE),"o")=$D$4,IFERROR(VLOOKUP(VLOOKUP($B45, Dependencies!$B$2:$G$230, 6,FALSE),$B$14:AC$73, AC$74,FALSE),"o")=$D$4),$D$4,IF(OR(IFERROR(VLOOKUP(VLOOKUP($B45, Dependencies!$B$2:$G$230, 2,FALSE), $B$14:AC$73, AC$74,FALSE),"o")=$D$5,IFERROR(VLOOKUP(VLOOKUP($B45, Dependencies!$B$2:$G$230, 3,FALSE), $B$14:AC$73, AC$74,FALSE),"o")=$D$5,IFERROR(VLOOKUP(VLOOKUP($B45, Dependencies!$B$2:$G$230, 4,FALSE), $B$14:AC$73, AC$74,FALSE),"o")=$D$5,IFERROR(VLOOKUP(VLOOKUP($B45, Dependencies!$B$2:$G$230, 5,FALSE), $B$14:AC$73, AC$74,FALSE),"o")=$D$5,IFERROR(VLOOKUP(VLOOKUP($B45, Dependencies!$B$2:$G$230, 6,FALSE), $B$14:AC$73, AC$74,FALSE),"o")=$D$5),$D$5,AB45)))</f>
        <v>o</v>
      </c>
      <c r="AD45" s="94" t="s">
        <v>323</v>
      </c>
      <c r="AE45" s="72" t="str">
        <f>IF(AD45=$D$4,AD45,IF(OR(IFERROR(VLOOKUP(VLOOKUP($B45, Dependencies!$B$2:$G$230, 2,FALSE),$B$14:AE$73, AE$74,FALSE),"o")=$D$4,IFERROR(VLOOKUP(VLOOKUP($B45, Dependencies!$B$2:$G$230, 3,FALSE),$B$14:AE$73, AE$74,FALSE),"o")=$D$4,IFERROR(VLOOKUP(VLOOKUP($B45, Dependencies!$B$2:$G$230, 4,FALSE),$B$14:AE$73, AE$74,FALSE),"o")=$D$4,IFERROR(VLOOKUP(VLOOKUP($B45, Dependencies!$B$2:$G$230, 5,FALSE),$B$14:AE$73, AE$74,FALSE),"o")=$D$4,IFERROR(VLOOKUP(VLOOKUP($B45, Dependencies!$B$2:$G$230, 6,FALSE),$B$14:AE$73, AE$74,FALSE),"o")=$D$4),$D$4,IF(OR(IFERROR(VLOOKUP(VLOOKUP($B45, Dependencies!$B$2:$G$230, 2,FALSE), $B$14:AE$73, AE$74,FALSE),"o")=$D$5,IFERROR(VLOOKUP(VLOOKUP($B45, Dependencies!$B$2:$G$230, 3,FALSE), $B$14:AE$73, AE$74,FALSE),"o")=$D$5,IFERROR(VLOOKUP(VLOOKUP($B45, Dependencies!$B$2:$G$230, 4,FALSE), $B$14:AE$73, AE$74,FALSE),"o")=$D$5,IFERROR(VLOOKUP(VLOOKUP($B45, Dependencies!$B$2:$G$230, 5,FALSE), $B$14:AE$73, AE$74,FALSE),"o")=$D$5,IFERROR(VLOOKUP(VLOOKUP($B45, Dependencies!$B$2:$G$230, 6,FALSE), $B$14:AE$73, AE$74,FALSE),"o")=$D$5),$D$5,AD45)))</f>
        <v>o</v>
      </c>
      <c r="AF45" s="94" t="s">
        <v>323</v>
      </c>
      <c r="AG45" s="72" t="str">
        <f>IF(AF45=$D$4,AF45,IF(OR(IFERROR(VLOOKUP(VLOOKUP($B45, Dependencies!$B$2:$G$230, 2,FALSE),$B$14:AG$73, AG$74,FALSE),"o")=$D$4,IFERROR(VLOOKUP(VLOOKUP($B45, Dependencies!$B$2:$G$230, 3,FALSE),$B$14:AG$73, AG$74,FALSE),"o")=$D$4,IFERROR(VLOOKUP(VLOOKUP($B45, Dependencies!$B$2:$G$230, 4,FALSE),$B$14:AG$73, AG$74,FALSE),"o")=$D$4,IFERROR(VLOOKUP(VLOOKUP($B45, Dependencies!$B$2:$G$230, 5,FALSE),$B$14:AG$73, AG$74,FALSE),"o")=$D$4,IFERROR(VLOOKUP(VLOOKUP($B45, Dependencies!$B$2:$G$230, 6,FALSE),$B$14:AG$73, AG$74,FALSE),"o")=$D$4),$D$4,IF(OR(IFERROR(VLOOKUP(VLOOKUP($B45, Dependencies!$B$2:$G$230, 2,FALSE), $B$14:AG$73, AG$74,FALSE),"o")=$D$5,IFERROR(VLOOKUP(VLOOKUP($B45, Dependencies!$B$2:$G$230, 3,FALSE), $B$14:AG$73, AG$74,FALSE),"o")=$D$5,IFERROR(VLOOKUP(VLOOKUP($B45, Dependencies!$B$2:$G$230, 4,FALSE), $B$14:AG$73, AG$74,FALSE),"o")=$D$5,IFERROR(VLOOKUP(VLOOKUP($B45, Dependencies!$B$2:$G$230, 5,FALSE), $B$14:AG$73, AG$74,FALSE),"o")=$D$5,IFERROR(VLOOKUP(VLOOKUP($B45, Dependencies!$B$2:$G$230, 6,FALSE), $B$14:AG$73, AG$74,FALSE),"o")=$D$5),$D$5,AF45)))</f>
        <v>o</v>
      </c>
      <c r="AH45" s="94" t="s">
        <v>323</v>
      </c>
      <c r="AI45" s="72" t="str">
        <f>IF(AH45=$D$4,AH45,IF(OR(IFERROR(VLOOKUP(VLOOKUP($B45, Dependencies!$B$2:$G$230, 2,FALSE),$B$14:AI$73, AI$74,FALSE),"o")=$D$4,IFERROR(VLOOKUP(VLOOKUP($B45, Dependencies!$B$2:$G$230, 3,FALSE),$B$14:AI$73, AI$74,FALSE),"o")=$D$4,IFERROR(VLOOKUP(VLOOKUP($B45, Dependencies!$B$2:$G$230, 4,FALSE),$B$14:AI$73, AI$74,FALSE),"o")=$D$4,IFERROR(VLOOKUP(VLOOKUP($B45, Dependencies!$B$2:$G$230, 5,FALSE),$B$14:AI$73, AI$74,FALSE),"o")=$D$4,IFERROR(VLOOKUP(VLOOKUP($B45, Dependencies!$B$2:$G$230, 6,FALSE),$B$14:AI$73, AI$74,FALSE),"o")=$D$4),$D$4,IF(OR(IFERROR(VLOOKUP(VLOOKUP($B45, Dependencies!$B$2:$G$230, 2,FALSE), $B$14:AI$73, AI$74,FALSE),"o")=$D$5,IFERROR(VLOOKUP(VLOOKUP($B45, Dependencies!$B$2:$G$230, 3,FALSE), $B$14:AI$73, AI$74,FALSE),"o")=$D$5,IFERROR(VLOOKUP(VLOOKUP($B45, Dependencies!$B$2:$G$230, 4,FALSE), $B$14:AI$73, AI$74,FALSE),"o")=$D$5,IFERROR(VLOOKUP(VLOOKUP($B45, Dependencies!$B$2:$G$230, 5,FALSE), $B$14:AI$73, AI$74,FALSE),"o")=$D$5,IFERROR(VLOOKUP(VLOOKUP($B45, Dependencies!$B$2:$G$230, 6,FALSE), $B$14:AI$73, AI$74,FALSE),"o")=$D$5),$D$5,AH45)))</f>
        <v>o</v>
      </c>
      <c r="AJ45" s="94" t="s">
        <v>323</v>
      </c>
      <c r="AK45" s="72" t="str">
        <f>IF(AJ45=$D$4,AJ45,IF(OR(IFERROR(VLOOKUP(VLOOKUP($B45, Dependencies!$B$2:$G$230, 2,FALSE),$B$14:AK$73, AK$74,FALSE),"o")=$D$4,IFERROR(VLOOKUP(VLOOKUP($B45, Dependencies!$B$2:$G$230, 3,FALSE),$B$14:AK$73, AK$74,FALSE),"o")=$D$4,IFERROR(VLOOKUP(VLOOKUP($B45, Dependencies!$B$2:$G$230, 4,FALSE),$B$14:AK$73, AK$74,FALSE),"o")=$D$4,IFERROR(VLOOKUP(VLOOKUP($B45, Dependencies!$B$2:$G$230, 5,FALSE),$B$14:AK$73, AK$74,FALSE),"o")=$D$4,IFERROR(VLOOKUP(VLOOKUP($B45, Dependencies!$B$2:$G$230, 6,FALSE),$B$14:AK$73, AK$74,FALSE),"o")=$D$4),$D$4,IF(OR(IFERROR(VLOOKUP(VLOOKUP($B45, Dependencies!$B$2:$G$230, 2,FALSE), $B$14:AK$73, AK$74,FALSE),"o")=$D$5,IFERROR(VLOOKUP(VLOOKUP($B45, Dependencies!$B$2:$G$230, 3,FALSE), $B$14:AK$73, AK$74,FALSE),"o")=$D$5,IFERROR(VLOOKUP(VLOOKUP($B45, Dependencies!$B$2:$G$230, 4,FALSE), $B$14:AK$73, AK$74,FALSE),"o")=$D$5,IFERROR(VLOOKUP(VLOOKUP($B45, Dependencies!$B$2:$G$230, 5,FALSE), $B$14:AK$73, AK$74,FALSE),"o")=$D$5,IFERROR(VLOOKUP(VLOOKUP($B45, Dependencies!$B$2:$G$230, 6,FALSE), $B$14:AK$73, AK$74,FALSE),"o")=$D$5),$D$5,AJ45)))</f>
        <v>o</v>
      </c>
      <c r="AL45" s="94" t="s">
        <v>323</v>
      </c>
      <c r="AM45" s="72" t="str">
        <f>IF(AL45=$D$4,AL45,IF(OR(IFERROR(VLOOKUP(VLOOKUP($B45, Dependencies!$B$2:$G$230, 2,FALSE),$B$14:AM$73, AM$74,FALSE),"o")=$D$4,IFERROR(VLOOKUP(VLOOKUP($B45, Dependencies!$B$2:$G$230, 3,FALSE),$B$14:AM$73, AM$74,FALSE),"o")=$D$4,IFERROR(VLOOKUP(VLOOKUP($B45, Dependencies!$B$2:$G$230, 4,FALSE),$B$14:AM$73, AM$74,FALSE),"o")=$D$4,IFERROR(VLOOKUP(VLOOKUP($B45, Dependencies!$B$2:$G$230, 5,FALSE),$B$14:AM$73, AM$74,FALSE),"o")=$D$4,IFERROR(VLOOKUP(VLOOKUP($B45, Dependencies!$B$2:$G$230, 6,FALSE),$B$14:AM$73, AM$74,FALSE),"o")=$D$4),$D$4,IF(OR(IFERROR(VLOOKUP(VLOOKUP($B45, Dependencies!$B$2:$G$230, 2,FALSE), $B$14:AM$73, AM$74,FALSE),"o")=$D$5,IFERROR(VLOOKUP(VLOOKUP($B45, Dependencies!$B$2:$G$230, 3,FALSE), $B$14:AM$73, AM$74,FALSE),"o")=$D$5,IFERROR(VLOOKUP(VLOOKUP($B45, Dependencies!$B$2:$G$230, 4,FALSE), $B$14:AM$73, AM$74,FALSE),"o")=$D$5,IFERROR(VLOOKUP(VLOOKUP($B45, Dependencies!$B$2:$G$230, 5,FALSE), $B$14:AM$73, AM$74,FALSE),"o")=$D$5,IFERROR(VLOOKUP(VLOOKUP($B45, Dependencies!$B$2:$G$230, 6,FALSE), $B$14:AM$73, AM$74,FALSE),"o")=$D$5),$D$5,AL45)))</f>
        <v>o</v>
      </c>
      <c r="AN45" s="94" t="s">
        <v>323</v>
      </c>
      <c r="AO45" s="72" t="str">
        <f>IF(AN45=$D$4,AN45,IF(OR(IFERROR(VLOOKUP(VLOOKUP($B45, Dependencies!$B$2:$G$230, 2,FALSE),$B$14:AO$73, AO$74,FALSE),"o")=$D$4,IFERROR(VLOOKUP(VLOOKUP($B45, Dependencies!$B$2:$G$230, 3,FALSE),$B$14:AO$73, AO$74,FALSE),"o")=$D$4,IFERROR(VLOOKUP(VLOOKUP($B45, Dependencies!$B$2:$G$230, 4,FALSE),$B$14:AO$73, AO$74,FALSE),"o")=$D$4,IFERROR(VLOOKUP(VLOOKUP($B45, Dependencies!$B$2:$G$230, 5,FALSE),$B$14:AO$73, AO$74,FALSE),"o")=$D$4,IFERROR(VLOOKUP(VLOOKUP($B45, Dependencies!$B$2:$G$230, 6,FALSE),$B$14:AO$73, AO$74,FALSE),"o")=$D$4),$D$4,IF(OR(IFERROR(VLOOKUP(VLOOKUP($B45, Dependencies!$B$2:$G$230, 2,FALSE), $B$14:AO$73, AO$74,FALSE),"o")=$D$5,IFERROR(VLOOKUP(VLOOKUP($B45, Dependencies!$B$2:$G$230, 3,FALSE), $B$14:AO$73, AO$74,FALSE),"o")=$D$5,IFERROR(VLOOKUP(VLOOKUP($B45, Dependencies!$B$2:$G$230, 4,FALSE), $B$14:AO$73, AO$74,FALSE),"o")=$D$5,IFERROR(VLOOKUP(VLOOKUP($B45, Dependencies!$B$2:$G$230, 5,FALSE), $B$14:AO$73, AO$74,FALSE),"o")=$D$5,IFERROR(VLOOKUP(VLOOKUP($B45, Dependencies!$B$2:$G$230, 6,FALSE), $B$14:AO$73, AO$74,FALSE),"o")=$D$5),$D$5,AN45)))</f>
        <v>o</v>
      </c>
      <c r="AP45" s="94" t="s">
        <v>323</v>
      </c>
      <c r="AQ45" s="72" t="str">
        <f>IF(AP45=$D$4,AP45,IF(OR(IFERROR(VLOOKUP(VLOOKUP($B45, Dependencies!$B$2:$G$230, 2,FALSE),$B$14:AQ$73, AQ$74,FALSE),"o")=$D$4,IFERROR(VLOOKUP(VLOOKUP($B45, Dependencies!$B$2:$G$230, 3,FALSE),$B$14:AQ$73, AQ$74,FALSE),"o")=$D$4,IFERROR(VLOOKUP(VLOOKUP($B45, Dependencies!$B$2:$G$230, 4,FALSE),$B$14:AQ$73, AQ$74,FALSE),"o")=$D$4,IFERROR(VLOOKUP(VLOOKUP($B45, Dependencies!$B$2:$G$230, 5,FALSE),$B$14:AQ$73, AQ$74,FALSE),"o")=$D$4,IFERROR(VLOOKUP(VLOOKUP($B45, Dependencies!$B$2:$G$230, 6,FALSE),$B$14:AQ$73, AQ$74,FALSE),"o")=$D$4),$D$4,IF(OR(IFERROR(VLOOKUP(VLOOKUP($B45, Dependencies!$B$2:$G$230, 2,FALSE), $B$14:AQ$73, AQ$74,FALSE),"o")=$D$5,IFERROR(VLOOKUP(VLOOKUP($B45, Dependencies!$B$2:$G$230, 3,FALSE), $B$14:AQ$73, AQ$74,FALSE),"o")=$D$5,IFERROR(VLOOKUP(VLOOKUP($B45, Dependencies!$B$2:$G$230, 4,FALSE), $B$14:AQ$73, AQ$74,FALSE),"o")=$D$5,IFERROR(VLOOKUP(VLOOKUP($B45, Dependencies!$B$2:$G$230, 5,FALSE), $B$14:AQ$73, AQ$74,FALSE),"o")=$D$5,IFERROR(VLOOKUP(VLOOKUP($B45, Dependencies!$B$2:$G$230, 6,FALSE), $B$14:AQ$73, AQ$74,FALSE),"o")=$D$5),$D$5,AP45)))</f>
        <v>o</v>
      </c>
      <c r="AR45" s="94" t="s">
        <v>323</v>
      </c>
      <c r="AS45" s="71" t="str">
        <f>IF(AR45=$D$4,AR45,IF(OR(IFERROR(VLOOKUP(VLOOKUP($B45, Dependencies!$B$2:$G$230, 2,FALSE),$B$14:AS$73, AS$74,FALSE),"o")=$D$4,IFERROR(VLOOKUP(VLOOKUP($B45, Dependencies!$B$2:$G$230, 3,FALSE),$B$14:AS$73, AS$74,FALSE),"o")=$D$4,IFERROR(VLOOKUP(VLOOKUP($B45, Dependencies!$B$2:$G$230, 4,FALSE),$B$14:AS$73, AS$74,FALSE),"o")=$D$4,IFERROR(VLOOKUP(VLOOKUP($B45, Dependencies!$B$2:$G$230, 5,FALSE),$B$14:AS$73, AS$74,FALSE),"o")=$D$4,IFERROR(VLOOKUP(VLOOKUP($B45, Dependencies!$B$2:$G$230, 6,FALSE),$B$14:AS$73, AS$74,FALSE),"o")=$D$4),$D$4,IF(OR(IFERROR(VLOOKUP(VLOOKUP($B45, Dependencies!$B$2:$G$230, 2,FALSE), $B$14:AS$73, AS$74,FALSE),"o")=$D$5,IFERROR(VLOOKUP(VLOOKUP($B45, Dependencies!$B$2:$G$230, 3,FALSE), $B$14:AS$73, AS$74,FALSE),"o")=$D$5,IFERROR(VLOOKUP(VLOOKUP($B45, Dependencies!$B$2:$G$230, 4,FALSE), $B$14:AS$73, AS$74,FALSE),"o")=$D$5,IFERROR(VLOOKUP(VLOOKUP($B45, Dependencies!$B$2:$G$230, 5,FALSE), $B$14:AS$73, AS$74,FALSE),"o")=$D$5,IFERROR(VLOOKUP(VLOOKUP($B45, Dependencies!$B$2:$G$230, 6,FALSE), $B$14:AS$73, AS$74,FALSE),"o")=$D$5),$D$5,AR45)))</f>
        <v>o</v>
      </c>
    </row>
    <row r="46" spans="1:45" x14ac:dyDescent="0.2">
      <c r="A46" s="40"/>
      <c r="B46" s="73" t="str">
        <f>MLEOsv2!A34</f>
        <v>MLEO_02_05</v>
      </c>
      <c r="C46" s="73">
        <f>MLEOsv2!C34</f>
        <v>4</v>
      </c>
      <c r="D46" s="42" t="str">
        <f>MLEOsv2!G34</f>
        <v>use super constructors in constructors.</v>
      </c>
      <c r="E46" s="51" t="b">
        <f>MLEOsv2!H34</f>
        <v>0</v>
      </c>
      <c r="F46" s="93" t="s">
        <v>320</v>
      </c>
      <c r="G46" s="70" t="str">
        <f>IF(F46=$D$4,F46,IF(OR(IFERROR(VLOOKUP(VLOOKUP($B46, Dependencies!$B$2:$G$230, 2,FALSE),$B$14:G$73, G$74,FALSE),"o")=$D$4,IFERROR(VLOOKUP(VLOOKUP($B46, Dependencies!$B$2:$G$230, 3,FALSE),$B$14:G$73, G$74,FALSE),"o")=$D$4,IFERROR(VLOOKUP(VLOOKUP($B46, Dependencies!$B$2:$G$230, 4,FALSE),$B$14:G$73, G$74,FALSE),"o")=$D$4,IFERROR(VLOOKUP(VLOOKUP($B46, Dependencies!$B$2:$G$230, 5,FALSE),$B$14:G$73, G$74,FALSE),"o")=$D$4,IFERROR(VLOOKUP(VLOOKUP($B46, Dependencies!$B$2:$G$230, 6,FALSE),$B$14:G$73, G$74,FALSE),"o")=$D$4),$D$4,IF(OR(IFERROR(VLOOKUP(VLOOKUP($B46, Dependencies!$B$2:$G$230, 2,FALSE), $B$14:G$73, G$74,FALSE),"o")=$D$5,IFERROR(VLOOKUP(VLOOKUP($B46, Dependencies!$B$2:$G$230, 3,FALSE), $B$14:G$73, G$74,FALSE),"o")=$D$5,IFERROR(VLOOKUP(VLOOKUP($B46, Dependencies!$B$2:$G$230, 4,FALSE), $B$14:G$73, G$74,FALSE),"o")=$D$5,IFERROR(VLOOKUP(VLOOKUP($B46, Dependencies!$B$2:$G$230, 5,FALSE), $B$14:G$73, G$74,FALSE),"o")=$D$5,IFERROR(VLOOKUP(VLOOKUP($B46, Dependencies!$B$2:$G$230, 6,FALSE), $B$14:G$73, G$74,FALSE),"o")=$D$5),$D$5,F46)))</f>
        <v>r</v>
      </c>
      <c r="H46" s="93" t="s">
        <v>321</v>
      </c>
      <c r="I46" s="70" t="str">
        <f>IF(H46=$D$4,H46,IF(OR(IFERROR(VLOOKUP(VLOOKUP($B46, Dependencies!$B$2:$G$230, 2,FALSE),$B$14:I$73, I$74,FALSE),"o")=$D$4,IFERROR(VLOOKUP(VLOOKUP($B46, Dependencies!$B$2:$G$230, 3,FALSE),$B$14:I$73, I$74,FALSE),"o")=$D$4,IFERROR(VLOOKUP(VLOOKUP($B46, Dependencies!$B$2:$G$230, 4,FALSE),$B$14:I$73, I$74,FALSE),"o")=$D$4,IFERROR(VLOOKUP(VLOOKUP($B46, Dependencies!$B$2:$G$230, 5,FALSE),$B$14:I$73, I$74,FALSE),"o")=$D$4,IFERROR(VLOOKUP(VLOOKUP($B46, Dependencies!$B$2:$G$230, 6,FALSE),$B$14:I$73, I$74,FALSE),"o")=$D$4),$D$4,IF(OR(IFERROR(VLOOKUP(VLOOKUP($B46, Dependencies!$B$2:$G$230, 2,FALSE), $B$14:I$73, I$74,FALSE),"o")=$D$5,IFERROR(VLOOKUP(VLOOKUP($B46, Dependencies!$B$2:$G$230, 3,FALSE), $B$14:I$73, I$74,FALSE),"o")=$D$5,IFERROR(VLOOKUP(VLOOKUP($B46, Dependencies!$B$2:$G$230, 4,FALSE), $B$14:I$73, I$74,FALSE),"o")=$D$5,IFERROR(VLOOKUP(VLOOKUP($B46, Dependencies!$B$2:$G$230, 5,FALSE), $B$14:I$73, I$74,FALSE),"o")=$D$5,IFERROR(VLOOKUP(VLOOKUP($B46, Dependencies!$B$2:$G$230, 6,FALSE), $B$14:I$73, I$74,FALSE),"o")=$D$5),$D$5,H46)))</f>
        <v>pr</v>
      </c>
      <c r="J46" s="93" t="s">
        <v>323</v>
      </c>
      <c r="K46" s="70" t="str">
        <f>IF(J46=$D$4,J46,IF(OR(IFERROR(VLOOKUP(VLOOKUP($B46, Dependencies!$B$2:$G$230, 2,FALSE),$B$14:K$73, K$74,FALSE),"o")=$D$4,IFERROR(VLOOKUP(VLOOKUP($B46, Dependencies!$B$2:$G$230, 3,FALSE),$B$14:K$73, K$74,FALSE),"o")=$D$4,IFERROR(VLOOKUP(VLOOKUP($B46, Dependencies!$B$2:$G$230, 4,FALSE),$B$14:K$73, K$74,FALSE),"o")=$D$4,IFERROR(VLOOKUP(VLOOKUP($B46, Dependencies!$B$2:$G$230, 5,FALSE),$B$14:K$73, K$74,FALSE),"o")=$D$4,IFERROR(VLOOKUP(VLOOKUP($B46, Dependencies!$B$2:$G$230, 6,FALSE),$B$14:K$73, K$74,FALSE),"o")=$D$4),$D$4,IF(OR(IFERROR(VLOOKUP(VLOOKUP($B46, Dependencies!$B$2:$G$230, 2,FALSE), $B$14:K$73, K$74,FALSE),"o")=$D$5,IFERROR(VLOOKUP(VLOOKUP($B46, Dependencies!$B$2:$G$230, 3,FALSE), $B$14:K$73, K$74,FALSE),"o")=$D$5,IFERROR(VLOOKUP(VLOOKUP($B46, Dependencies!$B$2:$G$230, 4,FALSE), $B$14:K$73, K$74,FALSE),"o")=$D$5,IFERROR(VLOOKUP(VLOOKUP($B46, Dependencies!$B$2:$G$230, 5,FALSE), $B$14:K$73, K$74,FALSE),"o")=$D$5,IFERROR(VLOOKUP(VLOOKUP($B46, Dependencies!$B$2:$G$230, 6,FALSE), $B$14:K$73, K$74,FALSE),"o")=$D$5),$D$5,J46)))</f>
        <v>o</v>
      </c>
      <c r="L46" s="93" t="s">
        <v>323</v>
      </c>
      <c r="M46" s="70" t="str">
        <f>IF(L46=$D$4,L46,IF(OR(IFERROR(VLOOKUP(VLOOKUP($B46, Dependencies!$B$2:$G$230, 2,FALSE),$B$14:M$73, M$74,FALSE),"o")=$D$4,IFERROR(VLOOKUP(VLOOKUP($B46, Dependencies!$B$2:$G$230, 3,FALSE),$B$14:M$73, M$74,FALSE),"o")=$D$4,IFERROR(VLOOKUP(VLOOKUP($B46, Dependencies!$B$2:$G$230, 4,FALSE),$B$14:M$73, M$74,FALSE),"o")=$D$4,IFERROR(VLOOKUP(VLOOKUP($B46, Dependencies!$B$2:$G$230, 5,FALSE),$B$14:M$73, M$74,FALSE),"o")=$D$4,IFERROR(VLOOKUP(VLOOKUP($B46, Dependencies!$B$2:$G$230, 6,FALSE),$B$14:M$73, M$74,FALSE),"o")=$D$4),$D$4,IF(OR(IFERROR(VLOOKUP(VLOOKUP($B46, Dependencies!$B$2:$G$230, 2,FALSE), $B$14:M$73, M$74,FALSE),"o")=$D$5,IFERROR(VLOOKUP(VLOOKUP($B46, Dependencies!$B$2:$G$230, 3,FALSE), $B$14:M$73, M$74,FALSE),"o")=$D$5,IFERROR(VLOOKUP(VLOOKUP($B46, Dependencies!$B$2:$G$230, 4,FALSE), $B$14:M$73, M$74,FALSE),"o")=$D$5,IFERROR(VLOOKUP(VLOOKUP($B46, Dependencies!$B$2:$G$230, 5,FALSE), $B$14:M$73, M$74,FALSE),"o")=$D$5,IFERROR(VLOOKUP(VLOOKUP($B46, Dependencies!$B$2:$G$230, 6,FALSE), $B$14:M$73, M$74,FALSE),"o")=$D$5),$D$5,L46)))</f>
        <v>o</v>
      </c>
      <c r="N46" s="93" t="s">
        <v>323</v>
      </c>
      <c r="O46" s="70" t="str">
        <f>IF(N46=$D$4,N46,IF(OR(IFERROR(VLOOKUP(VLOOKUP($B46, Dependencies!$B$2:$G$230, 2,FALSE),$B$14:O$73, O$74,FALSE),"o")=$D$4,IFERROR(VLOOKUP(VLOOKUP($B46, Dependencies!$B$2:$G$230, 3,FALSE),$B$14:O$73, O$74,FALSE),"o")=$D$4,IFERROR(VLOOKUP(VLOOKUP($B46, Dependencies!$B$2:$G$230, 4,FALSE),$B$14:O$73, O$74,FALSE),"o")=$D$4,IFERROR(VLOOKUP(VLOOKUP($B46, Dependencies!$B$2:$G$230, 5,FALSE),$B$14:O$73, O$74,FALSE),"o")=$D$4,IFERROR(VLOOKUP(VLOOKUP($B46, Dependencies!$B$2:$G$230, 6,FALSE),$B$14:O$73, O$74,FALSE),"o")=$D$4),$D$4,IF(OR(IFERROR(VLOOKUP(VLOOKUP($B46, Dependencies!$B$2:$G$230, 2,FALSE), $B$14:O$73, O$74,FALSE),"o")=$D$5,IFERROR(VLOOKUP(VLOOKUP($B46, Dependencies!$B$2:$G$230, 3,FALSE), $B$14:O$73, O$74,FALSE),"o")=$D$5,IFERROR(VLOOKUP(VLOOKUP($B46, Dependencies!$B$2:$G$230, 4,FALSE), $B$14:O$73, O$74,FALSE),"o")=$D$5,IFERROR(VLOOKUP(VLOOKUP($B46, Dependencies!$B$2:$G$230, 5,FALSE), $B$14:O$73, O$74,FALSE),"o")=$D$5,IFERROR(VLOOKUP(VLOOKUP($B46, Dependencies!$B$2:$G$230, 6,FALSE), $B$14:O$73, O$74,FALSE),"o")=$D$5),$D$5,N46)))</f>
        <v>o</v>
      </c>
      <c r="P46" s="93" t="s">
        <v>323</v>
      </c>
      <c r="Q46" s="70" t="str">
        <f>IF(P46=$D$4,P46,IF(OR(IFERROR(VLOOKUP(VLOOKUP($B46, Dependencies!$B$2:$G$230, 2,FALSE),$B$14:Q$73, Q$74,FALSE),"o")=$D$4,IFERROR(VLOOKUP(VLOOKUP($B46, Dependencies!$B$2:$G$230, 3,FALSE),$B$14:Q$73, Q$74,FALSE),"o")=$D$4,IFERROR(VLOOKUP(VLOOKUP($B46, Dependencies!$B$2:$G$230, 4,FALSE),$B$14:Q$73, Q$74,FALSE),"o")=$D$4,IFERROR(VLOOKUP(VLOOKUP($B46, Dependencies!$B$2:$G$230, 5,FALSE),$B$14:Q$73, Q$74,FALSE),"o")=$D$4,IFERROR(VLOOKUP(VLOOKUP($B46, Dependencies!$B$2:$G$230, 6,FALSE),$B$14:Q$73, Q$74,FALSE),"o")=$D$4),$D$4,IF(OR(IFERROR(VLOOKUP(VLOOKUP($B46, Dependencies!$B$2:$G$230, 2,FALSE), $B$14:Q$73, Q$74,FALSE),"o")=$D$5,IFERROR(VLOOKUP(VLOOKUP($B46, Dependencies!$B$2:$G$230, 3,FALSE), $B$14:Q$73, Q$74,FALSE),"o")=$D$5,IFERROR(VLOOKUP(VLOOKUP($B46, Dependencies!$B$2:$G$230, 4,FALSE), $B$14:Q$73, Q$74,FALSE),"o")=$D$5,IFERROR(VLOOKUP(VLOOKUP($B46, Dependencies!$B$2:$G$230, 5,FALSE), $B$14:Q$73, Q$74,FALSE),"o")=$D$5,IFERROR(VLOOKUP(VLOOKUP($B46, Dependencies!$B$2:$G$230, 6,FALSE), $B$14:Q$73, Q$74,FALSE),"o")=$D$5),$D$5,P46)))</f>
        <v>o</v>
      </c>
      <c r="R46" s="93" t="s">
        <v>323</v>
      </c>
      <c r="S46" s="70" t="str">
        <f>IF(R46=$D$4,R46,IF(OR(IFERROR(VLOOKUP(VLOOKUP($B46, Dependencies!$B$2:$G$230, 2,FALSE),$B$14:S$73, S$74,FALSE),"o")=$D$4,IFERROR(VLOOKUP(VLOOKUP($B46, Dependencies!$B$2:$G$230, 3,FALSE),$B$14:S$73, S$74,FALSE),"o")=$D$4,IFERROR(VLOOKUP(VLOOKUP($B46, Dependencies!$B$2:$G$230, 4,FALSE),$B$14:S$73, S$74,FALSE),"o")=$D$4,IFERROR(VLOOKUP(VLOOKUP($B46, Dependencies!$B$2:$G$230, 5,FALSE),$B$14:S$73, S$74,FALSE),"o")=$D$4,IFERROR(VLOOKUP(VLOOKUP($B46, Dependencies!$B$2:$G$230, 6,FALSE),$B$14:S$73, S$74,FALSE),"o")=$D$4),$D$4,IF(OR(IFERROR(VLOOKUP(VLOOKUP($B46, Dependencies!$B$2:$G$230, 2,FALSE), $B$14:S$73, S$74,FALSE),"o")=$D$5,IFERROR(VLOOKUP(VLOOKUP($B46, Dependencies!$B$2:$G$230, 3,FALSE), $B$14:S$73, S$74,FALSE),"o")=$D$5,IFERROR(VLOOKUP(VLOOKUP($B46, Dependencies!$B$2:$G$230, 4,FALSE), $B$14:S$73, S$74,FALSE),"o")=$D$5,IFERROR(VLOOKUP(VLOOKUP($B46, Dependencies!$B$2:$G$230, 5,FALSE), $B$14:S$73, S$74,FALSE),"o")=$D$5,IFERROR(VLOOKUP(VLOOKUP($B46, Dependencies!$B$2:$G$230, 6,FALSE), $B$14:S$73, S$74,FALSE),"o")=$D$5),$D$5,R46)))</f>
        <v>o</v>
      </c>
      <c r="T46" s="93" t="s">
        <v>323</v>
      </c>
      <c r="U46" s="70" t="str">
        <f>IF(T46=$D$4,T46,IF(OR(IFERROR(VLOOKUP(VLOOKUP($B46, Dependencies!$B$2:$G$230, 2,FALSE),$B$14:U$73, U$74,FALSE),"o")=$D$4,IFERROR(VLOOKUP(VLOOKUP($B46, Dependencies!$B$2:$G$230, 3,FALSE),$B$14:U$73, U$74,FALSE),"o")=$D$4,IFERROR(VLOOKUP(VLOOKUP($B46, Dependencies!$B$2:$G$230, 4,FALSE),$B$14:U$73, U$74,FALSE),"o")=$D$4,IFERROR(VLOOKUP(VLOOKUP($B46, Dependencies!$B$2:$G$230, 5,FALSE),$B$14:U$73, U$74,FALSE),"o")=$D$4,IFERROR(VLOOKUP(VLOOKUP($B46, Dependencies!$B$2:$G$230, 6,FALSE),$B$14:U$73, U$74,FALSE),"o")=$D$4),$D$4,IF(OR(IFERROR(VLOOKUP(VLOOKUP($B46, Dependencies!$B$2:$G$230, 2,FALSE), $B$14:U$73, U$74,FALSE),"o")=$D$5,IFERROR(VLOOKUP(VLOOKUP($B46, Dependencies!$B$2:$G$230, 3,FALSE), $B$14:U$73, U$74,FALSE),"o")=$D$5,IFERROR(VLOOKUP(VLOOKUP($B46, Dependencies!$B$2:$G$230, 4,FALSE), $B$14:U$73, U$74,FALSE),"o")=$D$5,IFERROR(VLOOKUP(VLOOKUP($B46, Dependencies!$B$2:$G$230, 5,FALSE), $B$14:U$73, U$74,FALSE),"o")=$D$5,IFERROR(VLOOKUP(VLOOKUP($B46, Dependencies!$B$2:$G$230, 6,FALSE), $B$14:U$73, U$74,FALSE),"o")=$D$5),$D$5,T46)))</f>
        <v>o</v>
      </c>
      <c r="V46" s="93" t="s">
        <v>323</v>
      </c>
      <c r="W46" s="70" t="str">
        <f>IF(V46=$D$4,V46,IF(OR(IFERROR(VLOOKUP(VLOOKUP($B46, Dependencies!$B$2:$G$230, 2,FALSE),$B$14:W$73, W$74,FALSE),"o")=$D$4,IFERROR(VLOOKUP(VLOOKUP($B46, Dependencies!$B$2:$G$230, 3,FALSE),$B$14:W$73, W$74,FALSE),"o")=$D$4,IFERROR(VLOOKUP(VLOOKUP($B46, Dependencies!$B$2:$G$230, 4,FALSE),$B$14:W$73, W$74,FALSE),"o")=$D$4,IFERROR(VLOOKUP(VLOOKUP($B46, Dependencies!$B$2:$G$230, 5,FALSE),$B$14:W$73, W$74,FALSE),"o")=$D$4,IFERROR(VLOOKUP(VLOOKUP($B46, Dependencies!$B$2:$G$230, 6,FALSE),$B$14:W$73, W$74,FALSE),"o")=$D$4),$D$4,IF(OR(IFERROR(VLOOKUP(VLOOKUP($B46, Dependencies!$B$2:$G$230, 2,FALSE), $B$14:W$73, W$74,FALSE),"o")=$D$5,IFERROR(VLOOKUP(VLOOKUP($B46, Dependencies!$B$2:$G$230, 3,FALSE), $B$14:W$73, W$74,FALSE),"o")=$D$5,IFERROR(VLOOKUP(VLOOKUP($B46, Dependencies!$B$2:$G$230, 4,FALSE), $B$14:W$73, W$74,FALSE),"o")=$D$5,IFERROR(VLOOKUP(VLOOKUP($B46, Dependencies!$B$2:$G$230, 5,FALSE), $B$14:W$73, W$74,FALSE),"o")=$D$5,IFERROR(VLOOKUP(VLOOKUP($B46, Dependencies!$B$2:$G$230, 6,FALSE), $B$14:W$73, W$74,FALSE),"o")=$D$5),$D$5,V46)))</f>
        <v>o</v>
      </c>
      <c r="X46" s="93" t="s">
        <v>323</v>
      </c>
      <c r="Y46" s="70" t="str">
        <f>IF(X46=$D$4,X46,IF(OR(IFERROR(VLOOKUP(VLOOKUP($B46, Dependencies!$B$2:$G$230, 2,FALSE),$B$14:Y$73, Y$74,FALSE),"o")=$D$4,IFERROR(VLOOKUP(VLOOKUP($B46, Dependencies!$B$2:$G$230, 3,FALSE),$B$14:Y$73, Y$74,FALSE),"o")=$D$4,IFERROR(VLOOKUP(VLOOKUP($B46, Dependencies!$B$2:$G$230, 4,FALSE),$B$14:Y$73, Y$74,FALSE),"o")=$D$4,IFERROR(VLOOKUP(VLOOKUP($B46, Dependencies!$B$2:$G$230, 5,FALSE),$B$14:Y$73, Y$74,FALSE),"o")=$D$4,IFERROR(VLOOKUP(VLOOKUP($B46, Dependencies!$B$2:$G$230, 6,FALSE),$B$14:Y$73, Y$74,FALSE),"o")=$D$4),$D$4,IF(OR(IFERROR(VLOOKUP(VLOOKUP($B46, Dependencies!$B$2:$G$230, 2,FALSE), $B$14:Y$73, Y$74,FALSE),"o")=$D$5,IFERROR(VLOOKUP(VLOOKUP($B46, Dependencies!$B$2:$G$230, 3,FALSE), $B$14:Y$73, Y$74,FALSE),"o")=$D$5,IFERROR(VLOOKUP(VLOOKUP($B46, Dependencies!$B$2:$G$230, 4,FALSE), $B$14:Y$73, Y$74,FALSE),"o")=$D$5,IFERROR(VLOOKUP(VLOOKUP($B46, Dependencies!$B$2:$G$230, 5,FALSE), $B$14:Y$73, Y$74,FALSE),"o")=$D$5,IFERROR(VLOOKUP(VLOOKUP($B46, Dependencies!$B$2:$G$230, 6,FALSE), $B$14:Y$73, Y$74,FALSE),"o")=$D$5),$D$5,X46)))</f>
        <v>o</v>
      </c>
      <c r="Z46" s="93" t="s">
        <v>323</v>
      </c>
      <c r="AA46" s="70" t="str">
        <f>IF(Z46=$D$4,Z46,IF(OR(IFERROR(VLOOKUP(VLOOKUP($B46, Dependencies!$B$2:$G$230, 2,FALSE),$B$14:AA$73, AA$74,FALSE),"o")=$D$4,IFERROR(VLOOKUP(VLOOKUP($B46, Dependencies!$B$2:$G$230, 3,FALSE),$B$14:AA$73, AA$74,FALSE),"o")=$D$4,IFERROR(VLOOKUP(VLOOKUP($B46, Dependencies!$B$2:$G$230, 4,FALSE),$B$14:AA$73, AA$74,FALSE),"o")=$D$4,IFERROR(VLOOKUP(VLOOKUP($B46, Dependencies!$B$2:$G$230, 5,FALSE),$B$14:AA$73, AA$74,FALSE),"o")=$D$4,IFERROR(VLOOKUP(VLOOKUP($B46, Dependencies!$B$2:$G$230, 6,FALSE),$B$14:AA$73, AA$74,FALSE),"o")=$D$4),$D$4,IF(OR(IFERROR(VLOOKUP(VLOOKUP($B46, Dependencies!$B$2:$G$230, 2,FALSE), $B$14:AA$73, AA$74,FALSE),"o")=$D$5,IFERROR(VLOOKUP(VLOOKUP($B46, Dependencies!$B$2:$G$230, 3,FALSE), $B$14:AA$73, AA$74,FALSE),"o")=$D$5,IFERROR(VLOOKUP(VLOOKUP($B46, Dependencies!$B$2:$G$230, 4,FALSE), $B$14:AA$73, AA$74,FALSE),"o")=$D$5,IFERROR(VLOOKUP(VLOOKUP($B46, Dependencies!$B$2:$G$230, 5,FALSE), $B$14:AA$73, AA$74,FALSE),"o")=$D$5,IFERROR(VLOOKUP(VLOOKUP($B46, Dependencies!$B$2:$G$230, 6,FALSE), $B$14:AA$73, AA$74,FALSE),"o")=$D$5),$D$5,Z46)))</f>
        <v>o</v>
      </c>
      <c r="AB46" s="93" t="s">
        <v>323</v>
      </c>
      <c r="AC46" s="70" t="str">
        <f>IF(AB46=$D$4,AB46,IF(OR(IFERROR(VLOOKUP(VLOOKUP($B46, Dependencies!$B$2:$G$230, 2,FALSE),$B$14:AC$73, AC$74,FALSE),"o")=$D$4,IFERROR(VLOOKUP(VLOOKUP($B46, Dependencies!$B$2:$G$230, 3,FALSE),$B$14:AC$73, AC$74,FALSE),"o")=$D$4,IFERROR(VLOOKUP(VLOOKUP($B46, Dependencies!$B$2:$G$230, 4,FALSE),$B$14:AC$73, AC$74,FALSE),"o")=$D$4,IFERROR(VLOOKUP(VLOOKUP($B46, Dependencies!$B$2:$G$230, 5,FALSE),$B$14:AC$73, AC$74,FALSE),"o")=$D$4,IFERROR(VLOOKUP(VLOOKUP($B46, Dependencies!$B$2:$G$230, 6,FALSE),$B$14:AC$73, AC$74,FALSE),"o")=$D$4),$D$4,IF(OR(IFERROR(VLOOKUP(VLOOKUP($B46, Dependencies!$B$2:$G$230, 2,FALSE), $B$14:AC$73, AC$74,FALSE),"o")=$D$5,IFERROR(VLOOKUP(VLOOKUP($B46, Dependencies!$B$2:$G$230, 3,FALSE), $B$14:AC$73, AC$74,FALSE),"o")=$D$5,IFERROR(VLOOKUP(VLOOKUP($B46, Dependencies!$B$2:$G$230, 4,FALSE), $B$14:AC$73, AC$74,FALSE),"o")=$D$5,IFERROR(VLOOKUP(VLOOKUP($B46, Dependencies!$B$2:$G$230, 5,FALSE), $B$14:AC$73, AC$74,FALSE),"o")=$D$5,IFERROR(VLOOKUP(VLOOKUP($B46, Dependencies!$B$2:$G$230, 6,FALSE), $B$14:AC$73, AC$74,FALSE),"o")=$D$5),$D$5,AB46)))</f>
        <v>o</v>
      </c>
      <c r="AD46" s="93" t="s">
        <v>323</v>
      </c>
      <c r="AE46" s="70" t="str">
        <f>IF(AD46=$D$4,AD46,IF(OR(IFERROR(VLOOKUP(VLOOKUP($B46, Dependencies!$B$2:$G$230, 2,FALSE),$B$14:AE$73, AE$74,FALSE),"o")=$D$4,IFERROR(VLOOKUP(VLOOKUP($B46, Dependencies!$B$2:$G$230, 3,FALSE),$B$14:AE$73, AE$74,FALSE),"o")=$D$4,IFERROR(VLOOKUP(VLOOKUP($B46, Dependencies!$B$2:$G$230, 4,FALSE),$B$14:AE$73, AE$74,FALSE),"o")=$D$4,IFERROR(VLOOKUP(VLOOKUP($B46, Dependencies!$B$2:$G$230, 5,FALSE),$B$14:AE$73, AE$74,FALSE),"o")=$D$4,IFERROR(VLOOKUP(VLOOKUP($B46, Dependencies!$B$2:$G$230, 6,FALSE),$B$14:AE$73, AE$74,FALSE),"o")=$D$4),$D$4,IF(OR(IFERROR(VLOOKUP(VLOOKUP($B46, Dependencies!$B$2:$G$230, 2,FALSE), $B$14:AE$73, AE$74,FALSE),"o")=$D$5,IFERROR(VLOOKUP(VLOOKUP($B46, Dependencies!$B$2:$G$230, 3,FALSE), $B$14:AE$73, AE$74,FALSE),"o")=$D$5,IFERROR(VLOOKUP(VLOOKUP($B46, Dependencies!$B$2:$G$230, 4,FALSE), $B$14:AE$73, AE$74,FALSE),"o")=$D$5,IFERROR(VLOOKUP(VLOOKUP($B46, Dependencies!$B$2:$G$230, 5,FALSE), $B$14:AE$73, AE$74,FALSE),"o")=$D$5,IFERROR(VLOOKUP(VLOOKUP($B46, Dependencies!$B$2:$G$230, 6,FALSE), $B$14:AE$73, AE$74,FALSE),"o")=$D$5),$D$5,AD46)))</f>
        <v>o</v>
      </c>
      <c r="AF46" s="93" t="s">
        <v>323</v>
      </c>
      <c r="AG46" s="70" t="str">
        <f>IF(AF46=$D$4,AF46,IF(OR(IFERROR(VLOOKUP(VLOOKUP($B46, Dependencies!$B$2:$G$230, 2,FALSE),$B$14:AG$73, AG$74,FALSE),"o")=$D$4,IFERROR(VLOOKUP(VLOOKUP($B46, Dependencies!$B$2:$G$230, 3,FALSE),$B$14:AG$73, AG$74,FALSE),"o")=$D$4,IFERROR(VLOOKUP(VLOOKUP($B46, Dependencies!$B$2:$G$230, 4,FALSE),$B$14:AG$73, AG$74,FALSE),"o")=$D$4,IFERROR(VLOOKUP(VLOOKUP($B46, Dependencies!$B$2:$G$230, 5,FALSE),$B$14:AG$73, AG$74,FALSE),"o")=$D$4,IFERROR(VLOOKUP(VLOOKUP($B46, Dependencies!$B$2:$G$230, 6,FALSE),$B$14:AG$73, AG$74,FALSE),"o")=$D$4),$D$4,IF(OR(IFERROR(VLOOKUP(VLOOKUP($B46, Dependencies!$B$2:$G$230, 2,FALSE), $B$14:AG$73, AG$74,FALSE),"o")=$D$5,IFERROR(VLOOKUP(VLOOKUP($B46, Dependencies!$B$2:$G$230, 3,FALSE), $B$14:AG$73, AG$74,FALSE),"o")=$D$5,IFERROR(VLOOKUP(VLOOKUP($B46, Dependencies!$B$2:$G$230, 4,FALSE), $B$14:AG$73, AG$74,FALSE),"o")=$D$5,IFERROR(VLOOKUP(VLOOKUP($B46, Dependencies!$B$2:$G$230, 5,FALSE), $B$14:AG$73, AG$74,FALSE),"o")=$D$5,IFERROR(VLOOKUP(VLOOKUP($B46, Dependencies!$B$2:$G$230, 6,FALSE), $B$14:AG$73, AG$74,FALSE),"o")=$D$5),$D$5,AF46)))</f>
        <v>o</v>
      </c>
      <c r="AH46" s="93" t="s">
        <v>323</v>
      </c>
      <c r="AI46" s="70" t="str">
        <f>IF(AH46=$D$4,AH46,IF(OR(IFERROR(VLOOKUP(VLOOKUP($B46, Dependencies!$B$2:$G$230, 2,FALSE),$B$14:AI$73, AI$74,FALSE),"o")=$D$4,IFERROR(VLOOKUP(VLOOKUP($B46, Dependencies!$B$2:$G$230, 3,FALSE),$B$14:AI$73, AI$74,FALSE),"o")=$D$4,IFERROR(VLOOKUP(VLOOKUP($B46, Dependencies!$B$2:$G$230, 4,FALSE),$B$14:AI$73, AI$74,FALSE),"o")=$D$4,IFERROR(VLOOKUP(VLOOKUP($B46, Dependencies!$B$2:$G$230, 5,FALSE),$B$14:AI$73, AI$74,FALSE),"o")=$D$4,IFERROR(VLOOKUP(VLOOKUP($B46, Dependencies!$B$2:$G$230, 6,FALSE),$B$14:AI$73, AI$74,FALSE),"o")=$D$4),$D$4,IF(OR(IFERROR(VLOOKUP(VLOOKUP($B46, Dependencies!$B$2:$G$230, 2,FALSE), $B$14:AI$73, AI$74,FALSE),"o")=$D$5,IFERROR(VLOOKUP(VLOOKUP($B46, Dependencies!$B$2:$G$230, 3,FALSE), $B$14:AI$73, AI$74,FALSE),"o")=$D$5,IFERROR(VLOOKUP(VLOOKUP($B46, Dependencies!$B$2:$G$230, 4,FALSE), $B$14:AI$73, AI$74,FALSE),"o")=$D$5,IFERROR(VLOOKUP(VLOOKUP($B46, Dependencies!$B$2:$G$230, 5,FALSE), $B$14:AI$73, AI$74,FALSE),"o")=$D$5,IFERROR(VLOOKUP(VLOOKUP($B46, Dependencies!$B$2:$G$230, 6,FALSE), $B$14:AI$73, AI$74,FALSE),"o")=$D$5),$D$5,AH46)))</f>
        <v>o</v>
      </c>
      <c r="AJ46" s="93" t="s">
        <v>323</v>
      </c>
      <c r="AK46" s="70" t="str">
        <f>IF(AJ46=$D$4,AJ46,IF(OR(IFERROR(VLOOKUP(VLOOKUP($B46, Dependencies!$B$2:$G$230, 2,FALSE),$B$14:AK$73, AK$74,FALSE),"o")=$D$4,IFERROR(VLOOKUP(VLOOKUP($B46, Dependencies!$B$2:$G$230, 3,FALSE),$B$14:AK$73, AK$74,FALSE),"o")=$D$4,IFERROR(VLOOKUP(VLOOKUP($B46, Dependencies!$B$2:$G$230, 4,FALSE),$B$14:AK$73, AK$74,FALSE),"o")=$D$4,IFERROR(VLOOKUP(VLOOKUP($B46, Dependencies!$B$2:$G$230, 5,FALSE),$B$14:AK$73, AK$74,FALSE),"o")=$D$4,IFERROR(VLOOKUP(VLOOKUP($B46, Dependencies!$B$2:$G$230, 6,FALSE),$B$14:AK$73, AK$74,FALSE),"o")=$D$4),$D$4,IF(OR(IFERROR(VLOOKUP(VLOOKUP($B46, Dependencies!$B$2:$G$230, 2,FALSE), $B$14:AK$73, AK$74,FALSE),"o")=$D$5,IFERROR(VLOOKUP(VLOOKUP($B46, Dependencies!$B$2:$G$230, 3,FALSE), $B$14:AK$73, AK$74,FALSE),"o")=$D$5,IFERROR(VLOOKUP(VLOOKUP($B46, Dependencies!$B$2:$G$230, 4,FALSE), $B$14:AK$73, AK$74,FALSE),"o")=$D$5,IFERROR(VLOOKUP(VLOOKUP($B46, Dependencies!$B$2:$G$230, 5,FALSE), $B$14:AK$73, AK$74,FALSE),"o")=$D$5,IFERROR(VLOOKUP(VLOOKUP($B46, Dependencies!$B$2:$G$230, 6,FALSE), $B$14:AK$73, AK$74,FALSE),"o")=$D$5),$D$5,AJ46)))</f>
        <v>o</v>
      </c>
      <c r="AL46" s="93" t="s">
        <v>323</v>
      </c>
      <c r="AM46" s="70" t="str">
        <f>IF(AL46=$D$4,AL46,IF(OR(IFERROR(VLOOKUP(VLOOKUP($B46, Dependencies!$B$2:$G$230, 2,FALSE),$B$14:AM$73, AM$74,FALSE),"o")=$D$4,IFERROR(VLOOKUP(VLOOKUP($B46, Dependencies!$B$2:$G$230, 3,FALSE),$B$14:AM$73, AM$74,FALSE),"o")=$D$4,IFERROR(VLOOKUP(VLOOKUP($B46, Dependencies!$B$2:$G$230, 4,FALSE),$B$14:AM$73, AM$74,FALSE),"o")=$D$4,IFERROR(VLOOKUP(VLOOKUP($B46, Dependencies!$B$2:$G$230, 5,FALSE),$B$14:AM$73, AM$74,FALSE),"o")=$D$4,IFERROR(VLOOKUP(VLOOKUP($B46, Dependencies!$B$2:$G$230, 6,FALSE),$B$14:AM$73, AM$74,FALSE),"o")=$D$4),$D$4,IF(OR(IFERROR(VLOOKUP(VLOOKUP($B46, Dependencies!$B$2:$G$230, 2,FALSE), $B$14:AM$73, AM$74,FALSE),"o")=$D$5,IFERROR(VLOOKUP(VLOOKUP($B46, Dependencies!$B$2:$G$230, 3,FALSE), $B$14:AM$73, AM$74,FALSE),"o")=$D$5,IFERROR(VLOOKUP(VLOOKUP($B46, Dependencies!$B$2:$G$230, 4,FALSE), $B$14:AM$73, AM$74,FALSE),"o")=$D$5,IFERROR(VLOOKUP(VLOOKUP($B46, Dependencies!$B$2:$G$230, 5,FALSE), $B$14:AM$73, AM$74,FALSE),"o")=$D$5,IFERROR(VLOOKUP(VLOOKUP($B46, Dependencies!$B$2:$G$230, 6,FALSE), $B$14:AM$73, AM$74,FALSE),"o")=$D$5),$D$5,AL46)))</f>
        <v>o</v>
      </c>
      <c r="AN46" s="93" t="s">
        <v>323</v>
      </c>
      <c r="AO46" s="70" t="str">
        <f>IF(AN46=$D$4,AN46,IF(OR(IFERROR(VLOOKUP(VLOOKUP($B46, Dependencies!$B$2:$G$230, 2,FALSE),$B$14:AO$73, AO$74,FALSE),"o")=$D$4,IFERROR(VLOOKUP(VLOOKUP($B46, Dependencies!$B$2:$G$230, 3,FALSE),$B$14:AO$73, AO$74,FALSE),"o")=$D$4,IFERROR(VLOOKUP(VLOOKUP($B46, Dependencies!$B$2:$G$230, 4,FALSE),$B$14:AO$73, AO$74,FALSE),"o")=$D$4,IFERROR(VLOOKUP(VLOOKUP($B46, Dependencies!$B$2:$G$230, 5,FALSE),$B$14:AO$73, AO$74,FALSE),"o")=$D$4,IFERROR(VLOOKUP(VLOOKUP($B46, Dependencies!$B$2:$G$230, 6,FALSE),$B$14:AO$73, AO$74,FALSE),"o")=$D$4),$D$4,IF(OR(IFERROR(VLOOKUP(VLOOKUP($B46, Dependencies!$B$2:$G$230, 2,FALSE), $B$14:AO$73, AO$74,FALSE),"o")=$D$5,IFERROR(VLOOKUP(VLOOKUP($B46, Dependencies!$B$2:$G$230, 3,FALSE), $B$14:AO$73, AO$74,FALSE),"o")=$D$5,IFERROR(VLOOKUP(VLOOKUP($B46, Dependencies!$B$2:$G$230, 4,FALSE), $B$14:AO$73, AO$74,FALSE),"o")=$D$5,IFERROR(VLOOKUP(VLOOKUP($B46, Dependencies!$B$2:$G$230, 5,FALSE), $B$14:AO$73, AO$74,FALSE),"o")=$D$5,IFERROR(VLOOKUP(VLOOKUP($B46, Dependencies!$B$2:$G$230, 6,FALSE), $B$14:AO$73, AO$74,FALSE),"o")=$D$5),$D$5,AN46)))</f>
        <v>o</v>
      </c>
      <c r="AP46" s="93" t="s">
        <v>323</v>
      </c>
      <c r="AQ46" s="70" t="str">
        <f>IF(AP46=$D$4,AP46,IF(OR(IFERROR(VLOOKUP(VLOOKUP($B46, Dependencies!$B$2:$G$230, 2,FALSE),$B$14:AQ$73, AQ$74,FALSE),"o")=$D$4,IFERROR(VLOOKUP(VLOOKUP($B46, Dependencies!$B$2:$G$230, 3,FALSE),$B$14:AQ$73, AQ$74,FALSE),"o")=$D$4,IFERROR(VLOOKUP(VLOOKUP($B46, Dependencies!$B$2:$G$230, 4,FALSE),$B$14:AQ$73, AQ$74,FALSE),"o")=$D$4,IFERROR(VLOOKUP(VLOOKUP($B46, Dependencies!$B$2:$G$230, 5,FALSE),$B$14:AQ$73, AQ$74,FALSE),"o")=$D$4,IFERROR(VLOOKUP(VLOOKUP($B46, Dependencies!$B$2:$G$230, 6,FALSE),$B$14:AQ$73, AQ$74,FALSE),"o")=$D$4),$D$4,IF(OR(IFERROR(VLOOKUP(VLOOKUP($B46, Dependencies!$B$2:$G$230, 2,FALSE), $B$14:AQ$73, AQ$74,FALSE),"o")=$D$5,IFERROR(VLOOKUP(VLOOKUP($B46, Dependencies!$B$2:$G$230, 3,FALSE), $B$14:AQ$73, AQ$74,FALSE),"o")=$D$5,IFERROR(VLOOKUP(VLOOKUP($B46, Dependencies!$B$2:$G$230, 4,FALSE), $B$14:AQ$73, AQ$74,FALSE),"o")=$D$5,IFERROR(VLOOKUP(VLOOKUP($B46, Dependencies!$B$2:$G$230, 5,FALSE), $B$14:AQ$73, AQ$74,FALSE),"o")=$D$5,IFERROR(VLOOKUP(VLOOKUP($B46, Dependencies!$B$2:$G$230, 6,FALSE), $B$14:AQ$73, AQ$74,FALSE),"o")=$D$5),$D$5,AP46)))</f>
        <v>o</v>
      </c>
      <c r="AR46" s="93" t="s">
        <v>323</v>
      </c>
      <c r="AS46" s="69" t="str">
        <f>IF(AR46=$D$4,AR46,IF(OR(IFERROR(VLOOKUP(VLOOKUP($B46, Dependencies!$B$2:$G$230, 2,FALSE),$B$14:AS$73, AS$74,FALSE),"o")=$D$4,IFERROR(VLOOKUP(VLOOKUP($B46, Dependencies!$B$2:$G$230, 3,FALSE),$B$14:AS$73, AS$74,FALSE),"o")=$D$4,IFERROR(VLOOKUP(VLOOKUP($B46, Dependencies!$B$2:$G$230, 4,FALSE),$B$14:AS$73, AS$74,FALSE),"o")=$D$4,IFERROR(VLOOKUP(VLOOKUP($B46, Dependencies!$B$2:$G$230, 5,FALSE),$B$14:AS$73, AS$74,FALSE),"o")=$D$4,IFERROR(VLOOKUP(VLOOKUP($B46, Dependencies!$B$2:$G$230, 6,FALSE),$B$14:AS$73, AS$74,FALSE),"o")=$D$4),$D$4,IF(OR(IFERROR(VLOOKUP(VLOOKUP($B46, Dependencies!$B$2:$G$230, 2,FALSE), $B$14:AS$73, AS$74,FALSE),"o")=$D$5,IFERROR(VLOOKUP(VLOOKUP($B46, Dependencies!$B$2:$G$230, 3,FALSE), $B$14:AS$73, AS$74,FALSE),"o")=$D$5,IFERROR(VLOOKUP(VLOOKUP($B46, Dependencies!$B$2:$G$230, 4,FALSE), $B$14:AS$73, AS$74,FALSE),"o")=$D$5,IFERROR(VLOOKUP(VLOOKUP($B46, Dependencies!$B$2:$G$230, 5,FALSE), $B$14:AS$73, AS$74,FALSE),"o")=$D$5,IFERROR(VLOOKUP(VLOOKUP($B46, Dependencies!$B$2:$G$230, 6,FALSE), $B$14:AS$73, AS$74,FALSE),"o")=$D$5),$D$5,AR46)))</f>
        <v>o</v>
      </c>
    </row>
    <row r="47" spans="1:45" x14ac:dyDescent="0.2">
      <c r="A47" s="40"/>
      <c r="B47" s="74" t="str">
        <f>MLEOsv2!A35</f>
        <v>MLEO_02_06</v>
      </c>
      <c r="C47" s="74">
        <f>MLEOsv2!C35</f>
        <v>4</v>
      </c>
      <c r="D47" s="44" t="str">
        <f>MLEOsv2!G35</f>
        <v>apply polymorphism with simple custom subclasses.</v>
      </c>
      <c r="E47" s="68" t="b">
        <f>MLEOsv2!H35</f>
        <v>1</v>
      </c>
      <c r="F47" s="94" t="s">
        <v>320</v>
      </c>
      <c r="G47" s="72" t="str">
        <f>IF(F47=$D$4,F47,IF(OR(IFERROR(VLOOKUP(VLOOKUP($B47, Dependencies!$B$2:$G$230, 2,FALSE),$B$14:G$73, G$74,FALSE),"o")=$D$4,IFERROR(VLOOKUP(VLOOKUP($B47, Dependencies!$B$2:$G$230, 3,FALSE),$B$14:G$73, G$74,FALSE),"o")=$D$4,IFERROR(VLOOKUP(VLOOKUP($B47, Dependencies!$B$2:$G$230, 4,FALSE),$B$14:G$73, G$74,FALSE),"o")=$D$4,IFERROR(VLOOKUP(VLOOKUP($B47, Dependencies!$B$2:$G$230, 5,FALSE),$B$14:G$73, G$74,FALSE),"o")=$D$4,IFERROR(VLOOKUP(VLOOKUP($B47, Dependencies!$B$2:$G$230, 6,FALSE),$B$14:G$73, G$74,FALSE),"o")=$D$4),$D$4,IF(OR(IFERROR(VLOOKUP(VLOOKUP($B47, Dependencies!$B$2:$G$230, 2,FALSE), $B$14:G$73, G$74,FALSE),"o")=$D$5,IFERROR(VLOOKUP(VLOOKUP($B47, Dependencies!$B$2:$G$230, 3,FALSE), $B$14:G$73, G$74,FALSE),"o")=$D$5,IFERROR(VLOOKUP(VLOOKUP($B47, Dependencies!$B$2:$G$230, 4,FALSE), $B$14:G$73, G$74,FALSE),"o")=$D$5,IFERROR(VLOOKUP(VLOOKUP($B47, Dependencies!$B$2:$G$230, 5,FALSE), $B$14:G$73, G$74,FALSE),"o")=$D$5,IFERROR(VLOOKUP(VLOOKUP($B47, Dependencies!$B$2:$G$230, 6,FALSE), $B$14:G$73, G$74,FALSE),"o")=$D$5),$D$5,F47)))</f>
        <v>r</v>
      </c>
      <c r="H47" s="94" t="s">
        <v>321</v>
      </c>
      <c r="I47" s="72" t="str">
        <f>IF(H47=$D$4,H47,IF(OR(IFERROR(VLOOKUP(VLOOKUP($B47, Dependencies!$B$2:$G$230, 2,FALSE),$B$14:I$73, I$74,FALSE),"o")=$D$4,IFERROR(VLOOKUP(VLOOKUP($B47, Dependencies!$B$2:$G$230, 3,FALSE),$B$14:I$73, I$74,FALSE),"o")=$D$4,IFERROR(VLOOKUP(VLOOKUP($B47, Dependencies!$B$2:$G$230, 4,FALSE),$B$14:I$73, I$74,FALSE),"o")=$D$4,IFERROR(VLOOKUP(VLOOKUP($B47, Dependencies!$B$2:$G$230, 5,FALSE),$B$14:I$73, I$74,FALSE),"o")=$D$4,IFERROR(VLOOKUP(VLOOKUP($B47, Dependencies!$B$2:$G$230, 6,FALSE),$B$14:I$73, I$74,FALSE),"o")=$D$4),$D$4,IF(OR(IFERROR(VLOOKUP(VLOOKUP($B47, Dependencies!$B$2:$G$230, 2,FALSE), $B$14:I$73, I$74,FALSE),"o")=$D$5,IFERROR(VLOOKUP(VLOOKUP($B47, Dependencies!$B$2:$G$230, 3,FALSE), $B$14:I$73, I$74,FALSE),"o")=$D$5,IFERROR(VLOOKUP(VLOOKUP($B47, Dependencies!$B$2:$G$230, 4,FALSE), $B$14:I$73, I$74,FALSE),"o")=$D$5,IFERROR(VLOOKUP(VLOOKUP($B47, Dependencies!$B$2:$G$230, 5,FALSE), $B$14:I$73, I$74,FALSE),"o")=$D$5,IFERROR(VLOOKUP(VLOOKUP($B47, Dependencies!$B$2:$G$230, 6,FALSE), $B$14:I$73, I$74,FALSE),"o")=$D$5),$D$5,H47)))</f>
        <v>pr</v>
      </c>
      <c r="J47" s="94" t="s">
        <v>321</v>
      </c>
      <c r="K47" s="72" t="str">
        <f>IF(J47=$D$4,J47,IF(OR(IFERROR(VLOOKUP(VLOOKUP($B47, Dependencies!$B$2:$G$230, 2,FALSE),$B$14:K$73, K$74,FALSE),"o")=$D$4,IFERROR(VLOOKUP(VLOOKUP($B47, Dependencies!$B$2:$G$230, 3,FALSE),$B$14:K$73, K$74,FALSE),"o")=$D$4,IFERROR(VLOOKUP(VLOOKUP($B47, Dependencies!$B$2:$G$230, 4,FALSE),$B$14:K$73, K$74,FALSE),"o")=$D$4,IFERROR(VLOOKUP(VLOOKUP($B47, Dependencies!$B$2:$G$230, 5,FALSE),$B$14:K$73, K$74,FALSE),"o")=$D$4,IFERROR(VLOOKUP(VLOOKUP($B47, Dependencies!$B$2:$G$230, 6,FALSE),$B$14:K$73, K$74,FALSE),"o")=$D$4),$D$4,IF(OR(IFERROR(VLOOKUP(VLOOKUP($B47, Dependencies!$B$2:$G$230, 2,FALSE), $B$14:K$73, K$74,FALSE),"o")=$D$5,IFERROR(VLOOKUP(VLOOKUP($B47, Dependencies!$B$2:$G$230, 3,FALSE), $B$14:K$73, K$74,FALSE),"o")=$D$5,IFERROR(VLOOKUP(VLOOKUP($B47, Dependencies!$B$2:$G$230, 4,FALSE), $B$14:K$73, K$74,FALSE),"o")=$D$5,IFERROR(VLOOKUP(VLOOKUP($B47, Dependencies!$B$2:$G$230, 5,FALSE), $B$14:K$73, K$74,FALSE),"o")=$D$5,IFERROR(VLOOKUP(VLOOKUP($B47, Dependencies!$B$2:$G$230, 6,FALSE), $B$14:K$73, K$74,FALSE),"o")=$D$5),$D$5,J47)))</f>
        <v>pr</v>
      </c>
      <c r="L47" s="94" t="s">
        <v>323</v>
      </c>
      <c r="M47" s="72" t="str">
        <f>IF(L47=$D$4,L47,IF(OR(IFERROR(VLOOKUP(VLOOKUP($B47, Dependencies!$B$2:$G$230, 2,FALSE),$B$14:M$73, M$74,FALSE),"o")=$D$4,IFERROR(VLOOKUP(VLOOKUP($B47, Dependencies!$B$2:$G$230, 3,FALSE),$B$14:M$73, M$74,FALSE),"o")=$D$4,IFERROR(VLOOKUP(VLOOKUP($B47, Dependencies!$B$2:$G$230, 4,FALSE),$B$14:M$73, M$74,FALSE),"o")=$D$4,IFERROR(VLOOKUP(VLOOKUP($B47, Dependencies!$B$2:$G$230, 5,FALSE),$B$14:M$73, M$74,FALSE),"o")=$D$4,IFERROR(VLOOKUP(VLOOKUP($B47, Dependencies!$B$2:$G$230, 6,FALSE),$B$14:M$73, M$74,FALSE),"o")=$D$4),$D$4,IF(OR(IFERROR(VLOOKUP(VLOOKUP($B47, Dependencies!$B$2:$G$230, 2,FALSE), $B$14:M$73, M$74,FALSE),"o")=$D$5,IFERROR(VLOOKUP(VLOOKUP($B47, Dependencies!$B$2:$G$230, 3,FALSE), $B$14:M$73, M$74,FALSE),"o")=$D$5,IFERROR(VLOOKUP(VLOOKUP($B47, Dependencies!$B$2:$G$230, 4,FALSE), $B$14:M$73, M$74,FALSE),"o")=$D$5,IFERROR(VLOOKUP(VLOOKUP($B47, Dependencies!$B$2:$G$230, 5,FALSE), $B$14:M$73, M$74,FALSE),"o")=$D$5,IFERROR(VLOOKUP(VLOOKUP($B47, Dependencies!$B$2:$G$230, 6,FALSE), $B$14:M$73, M$74,FALSE),"o")=$D$5),$D$5,L47)))</f>
        <v>o</v>
      </c>
      <c r="N47" s="94" t="s">
        <v>323</v>
      </c>
      <c r="O47" s="72" t="str">
        <f>IF(N47=$D$4,N47,IF(OR(IFERROR(VLOOKUP(VLOOKUP($B47, Dependencies!$B$2:$G$230, 2,FALSE),$B$14:O$73, O$74,FALSE),"o")=$D$4,IFERROR(VLOOKUP(VLOOKUP($B47, Dependencies!$B$2:$G$230, 3,FALSE),$B$14:O$73, O$74,FALSE),"o")=$D$4,IFERROR(VLOOKUP(VLOOKUP($B47, Dependencies!$B$2:$G$230, 4,FALSE),$B$14:O$73, O$74,FALSE),"o")=$D$4,IFERROR(VLOOKUP(VLOOKUP($B47, Dependencies!$B$2:$G$230, 5,FALSE),$B$14:O$73, O$74,FALSE),"o")=$D$4,IFERROR(VLOOKUP(VLOOKUP($B47, Dependencies!$B$2:$G$230, 6,FALSE),$B$14:O$73, O$74,FALSE),"o")=$D$4),$D$4,IF(OR(IFERROR(VLOOKUP(VLOOKUP($B47, Dependencies!$B$2:$G$230, 2,FALSE), $B$14:O$73, O$74,FALSE),"o")=$D$5,IFERROR(VLOOKUP(VLOOKUP($B47, Dependencies!$B$2:$G$230, 3,FALSE), $B$14:O$73, O$74,FALSE),"o")=$D$5,IFERROR(VLOOKUP(VLOOKUP($B47, Dependencies!$B$2:$G$230, 4,FALSE), $B$14:O$73, O$74,FALSE),"o")=$D$5,IFERROR(VLOOKUP(VLOOKUP($B47, Dependencies!$B$2:$G$230, 5,FALSE), $B$14:O$73, O$74,FALSE),"o")=$D$5,IFERROR(VLOOKUP(VLOOKUP($B47, Dependencies!$B$2:$G$230, 6,FALSE), $B$14:O$73, O$74,FALSE),"o")=$D$5),$D$5,N47)))</f>
        <v>o</v>
      </c>
      <c r="P47" s="94" t="s">
        <v>323</v>
      </c>
      <c r="Q47" s="72" t="str">
        <f>IF(P47=$D$4,P47,IF(OR(IFERROR(VLOOKUP(VLOOKUP($B47, Dependencies!$B$2:$G$230, 2,FALSE),$B$14:Q$73, Q$74,FALSE),"o")=$D$4,IFERROR(VLOOKUP(VLOOKUP($B47, Dependencies!$B$2:$G$230, 3,FALSE),$B$14:Q$73, Q$74,FALSE),"o")=$D$4,IFERROR(VLOOKUP(VLOOKUP($B47, Dependencies!$B$2:$G$230, 4,FALSE),$B$14:Q$73, Q$74,FALSE),"o")=$D$4,IFERROR(VLOOKUP(VLOOKUP($B47, Dependencies!$B$2:$G$230, 5,FALSE),$B$14:Q$73, Q$74,FALSE),"o")=$D$4,IFERROR(VLOOKUP(VLOOKUP($B47, Dependencies!$B$2:$G$230, 6,FALSE),$B$14:Q$73, Q$74,FALSE),"o")=$D$4),$D$4,IF(OR(IFERROR(VLOOKUP(VLOOKUP($B47, Dependencies!$B$2:$G$230, 2,FALSE), $B$14:Q$73, Q$74,FALSE),"o")=$D$5,IFERROR(VLOOKUP(VLOOKUP($B47, Dependencies!$B$2:$G$230, 3,FALSE), $B$14:Q$73, Q$74,FALSE),"o")=$D$5,IFERROR(VLOOKUP(VLOOKUP($B47, Dependencies!$B$2:$G$230, 4,FALSE), $B$14:Q$73, Q$74,FALSE),"o")=$D$5,IFERROR(VLOOKUP(VLOOKUP($B47, Dependencies!$B$2:$G$230, 5,FALSE), $B$14:Q$73, Q$74,FALSE),"o")=$D$5,IFERROR(VLOOKUP(VLOOKUP($B47, Dependencies!$B$2:$G$230, 6,FALSE), $B$14:Q$73, Q$74,FALSE),"o")=$D$5),$D$5,P47)))</f>
        <v>o</v>
      </c>
      <c r="R47" s="94" t="s">
        <v>323</v>
      </c>
      <c r="S47" s="72" t="str">
        <f>IF(R47=$D$4,R47,IF(OR(IFERROR(VLOOKUP(VLOOKUP($B47, Dependencies!$B$2:$G$230, 2,FALSE),$B$14:S$73, S$74,FALSE),"o")=$D$4,IFERROR(VLOOKUP(VLOOKUP($B47, Dependencies!$B$2:$G$230, 3,FALSE),$B$14:S$73, S$74,FALSE),"o")=$D$4,IFERROR(VLOOKUP(VLOOKUP($B47, Dependencies!$B$2:$G$230, 4,FALSE),$B$14:S$73, S$74,FALSE),"o")=$D$4,IFERROR(VLOOKUP(VLOOKUP($B47, Dependencies!$B$2:$G$230, 5,FALSE),$B$14:S$73, S$74,FALSE),"o")=$D$4,IFERROR(VLOOKUP(VLOOKUP($B47, Dependencies!$B$2:$G$230, 6,FALSE),$B$14:S$73, S$74,FALSE),"o")=$D$4),$D$4,IF(OR(IFERROR(VLOOKUP(VLOOKUP($B47, Dependencies!$B$2:$G$230, 2,FALSE), $B$14:S$73, S$74,FALSE),"o")=$D$5,IFERROR(VLOOKUP(VLOOKUP($B47, Dependencies!$B$2:$G$230, 3,FALSE), $B$14:S$73, S$74,FALSE),"o")=$D$5,IFERROR(VLOOKUP(VLOOKUP($B47, Dependencies!$B$2:$G$230, 4,FALSE), $B$14:S$73, S$74,FALSE),"o")=$D$5,IFERROR(VLOOKUP(VLOOKUP($B47, Dependencies!$B$2:$G$230, 5,FALSE), $B$14:S$73, S$74,FALSE),"o")=$D$5,IFERROR(VLOOKUP(VLOOKUP($B47, Dependencies!$B$2:$G$230, 6,FALSE), $B$14:S$73, S$74,FALSE),"o")=$D$5),$D$5,R47)))</f>
        <v>o</v>
      </c>
      <c r="T47" s="94" t="s">
        <v>323</v>
      </c>
      <c r="U47" s="72" t="str">
        <f>IF(T47=$D$4,T47,IF(OR(IFERROR(VLOOKUP(VLOOKUP($B47, Dependencies!$B$2:$G$230, 2,FALSE),$B$14:U$73, U$74,FALSE),"o")=$D$4,IFERROR(VLOOKUP(VLOOKUP($B47, Dependencies!$B$2:$G$230, 3,FALSE),$B$14:U$73, U$74,FALSE),"o")=$D$4,IFERROR(VLOOKUP(VLOOKUP($B47, Dependencies!$B$2:$G$230, 4,FALSE),$B$14:U$73, U$74,FALSE),"o")=$D$4,IFERROR(VLOOKUP(VLOOKUP($B47, Dependencies!$B$2:$G$230, 5,FALSE),$B$14:U$73, U$74,FALSE),"o")=$D$4,IFERROR(VLOOKUP(VLOOKUP($B47, Dependencies!$B$2:$G$230, 6,FALSE),$B$14:U$73, U$74,FALSE),"o")=$D$4),$D$4,IF(OR(IFERROR(VLOOKUP(VLOOKUP($B47, Dependencies!$B$2:$G$230, 2,FALSE), $B$14:U$73, U$74,FALSE),"o")=$D$5,IFERROR(VLOOKUP(VLOOKUP($B47, Dependencies!$B$2:$G$230, 3,FALSE), $B$14:U$73, U$74,FALSE),"o")=$D$5,IFERROR(VLOOKUP(VLOOKUP($B47, Dependencies!$B$2:$G$230, 4,FALSE), $B$14:U$73, U$74,FALSE),"o")=$D$5,IFERROR(VLOOKUP(VLOOKUP($B47, Dependencies!$B$2:$G$230, 5,FALSE), $B$14:U$73, U$74,FALSE),"o")=$D$5,IFERROR(VLOOKUP(VLOOKUP($B47, Dependencies!$B$2:$G$230, 6,FALSE), $B$14:U$73, U$74,FALSE),"o")=$D$5),$D$5,T47)))</f>
        <v>o</v>
      </c>
      <c r="V47" s="94" t="s">
        <v>323</v>
      </c>
      <c r="W47" s="72" t="str">
        <f>IF(V47=$D$4,V47,IF(OR(IFERROR(VLOOKUP(VLOOKUP($B47, Dependencies!$B$2:$G$230, 2,FALSE),$B$14:W$73, W$74,FALSE),"o")=$D$4,IFERROR(VLOOKUP(VLOOKUP($B47, Dependencies!$B$2:$G$230, 3,FALSE),$B$14:W$73, W$74,FALSE),"o")=$D$4,IFERROR(VLOOKUP(VLOOKUP($B47, Dependencies!$B$2:$G$230, 4,FALSE),$B$14:W$73, W$74,FALSE),"o")=$D$4,IFERROR(VLOOKUP(VLOOKUP($B47, Dependencies!$B$2:$G$230, 5,FALSE),$B$14:W$73, W$74,FALSE),"o")=$D$4,IFERROR(VLOOKUP(VLOOKUP($B47, Dependencies!$B$2:$G$230, 6,FALSE),$B$14:W$73, W$74,FALSE),"o")=$D$4),$D$4,IF(OR(IFERROR(VLOOKUP(VLOOKUP($B47, Dependencies!$B$2:$G$230, 2,FALSE), $B$14:W$73, W$74,FALSE),"o")=$D$5,IFERROR(VLOOKUP(VLOOKUP($B47, Dependencies!$B$2:$G$230, 3,FALSE), $B$14:W$73, W$74,FALSE),"o")=$D$5,IFERROR(VLOOKUP(VLOOKUP($B47, Dependencies!$B$2:$G$230, 4,FALSE), $B$14:W$73, W$74,FALSE),"o")=$D$5,IFERROR(VLOOKUP(VLOOKUP($B47, Dependencies!$B$2:$G$230, 5,FALSE), $B$14:W$73, W$74,FALSE),"o")=$D$5,IFERROR(VLOOKUP(VLOOKUP($B47, Dependencies!$B$2:$G$230, 6,FALSE), $B$14:W$73, W$74,FALSE),"o")=$D$5),$D$5,V47)))</f>
        <v>o</v>
      </c>
      <c r="X47" s="94" t="s">
        <v>323</v>
      </c>
      <c r="Y47" s="72" t="str">
        <f>IF(X47=$D$4,X47,IF(OR(IFERROR(VLOOKUP(VLOOKUP($B47, Dependencies!$B$2:$G$230, 2,FALSE),$B$14:Y$73, Y$74,FALSE),"o")=$D$4,IFERROR(VLOOKUP(VLOOKUP($B47, Dependencies!$B$2:$G$230, 3,FALSE),$B$14:Y$73, Y$74,FALSE),"o")=$D$4,IFERROR(VLOOKUP(VLOOKUP($B47, Dependencies!$B$2:$G$230, 4,FALSE),$B$14:Y$73, Y$74,FALSE),"o")=$D$4,IFERROR(VLOOKUP(VLOOKUP($B47, Dependencies!$B$2:$G$230, 5,FALSE),$B$14:Y$73, Y$74,FALSE),"o")=$D$4,IFERROR(VLOOKUP(VLOOKUP($B47, Dependencies!$B$2:$G$230, 6,FALSE),$B$14:Y$73, Y$74,FALSE),"o")=$D$4),$D$4,IF(OR(IFERROR(VLOOKUP(VLOOKUP($B47, Dependencies!$B$2:$G$230, 2,FALSE), $B$14:Y$73, Y$74,FALSE),"o")=$D$5,IFERROR(VLOOKUP(VLOOKUP($B47, Dependencies!$B$2:$G$230, 3,FALSE), $B$14:Y$73, Y$74,FALSE),"o")=$D$5,IFERROR(VLOOKUP(VLOOKUP($B47, Dependencies!$B$2:$G$230, 4,FALSE), $B$14:Y$73, Y$74,FALSE),"o")=$D$5,IFERROR(VLOOKUP(VLOOKUP($B47, Dependencies!$B$2:$G$230, 5,FALSE), $B$14:Y$73, Y$74,FALSE),"o")=$D$5,IFERROR(VLOOKUP(VLOOKUP($B47, Dependencies!$B$2:$G$230, 6,FALSE), $B$14:Y$73, Y$74,FALSE),"o")=$D$5),$D$5,X47)))</f>
        <v>o</v>
      </c>
      <c r="Z47" s="94" t="s">
        <v>323</v>
      </c>
      <c r="AA47" s="72" t="str">
        <f>IF(Z47=$D$4,Z47,IF(OR(IFERROR(VLOOKUP(VLOOKUP($B47, Dependencies!$B$2:$G$230, 2,FALSE),$B$14:AA$73, AA$74,FALSE),"o")=$D$4,IFERROR(VLOOKUP(VLOOKUP($B47, Dependencies!$B$2:$G$230, 3,FALSE),$B$14:AA$73, AA$74,FALSE),"o")=$D$4,IFERROR(VLOOKUP(VLOOKUP($B47, Dependencies!$B$2:$G$230, 4,FALSE),$B$14:AA$73, AA$74,FALSE),"o")=$D$4,IFERROR(VLOOKUP(VLOOKUP($B47, Dependencies!$B$2:$G$230, 5,FALSE),$B$14:AA$73, AA$74,FALSE),"o")=$D$4,IFERROR(VLOOKUP(VLOOKUP($B47, Dependencies!$B$2:$G$230, 6,FALSE),$B$14:AA$73, AA$74,FALSE),"o")=$D$4),$D$4,IF(OR(IFERROR(VLOOKUP(VLOOKUP($B47, Dependencies!$B$2:$G$230, 2,FALSE), $B$14:AA$73, AA$74,FALSE),"o")=$D$5,IFERROR(VLOOKUP(VLOOKUP($B47, Dependencies!$B$2:$G$230, 3,FALSE), $B$14:AA$73, AA$74,FALSE),"o")=$D$5,IFERROR(VLOOKUP(VLOOKUP($B47, Dependencies!$B$2:$G$230, 4,FALSE), $B$14:AA$73, AA$74,FALSE),"o")=$D$5,IFERROR(VLOOKUP(VLOOKUP($B47, Dependencies!$B$2:$G$230, 5,FALSE), $B$14:AA$73, AA$74,FALSE),"o")=$D$5,IFERROR(VLOOKUP(VLOOKUP($B47, Dependencies!$B$2:$G$230, 6,FALSE), $B$14:AA$73, AA$74,FALSE),"o")=$D$5),$D$5,Z47)))</f>
        <v>o</v>
      </c>
      <c r="AB47" s="94" t="s">
        <v>323</v>
      </c>
      <c r="AC47" s="72" t="str">
        <f>IF(AB47=$D$4,AB47,IF(OR(IFERROR(VLOOKUP(VLOOKUP($B47, Dependencies!$B$2:$G$230, 2,FALSE),$B$14:AC$73, AC$74,FALSE),"o")=$D$4,IFERROR(VLOOKUP(VLOOKUP($B47, Dependencies!$B$2:$G$230, 3,FALSE),$B$14:AC$73, AC$74,FALSE),"o")=$D$4,IFERROR(VLOOKUP(VLOOKUP($B47, Dependencies!$B$2:$G$230, 4,FALSE),$B$14:AC$73, AC$74,FALSE),"o")=$D$4,IFERROR(VLOOKUP(VLOOKUP($B47, Dependencies!$B$2:$G$230, 5,FALSE),$B$14:AC$73, AC$74,FALSE),"o")=$D$4,IFERROR(VLOOKUP(VLOOKUP($B47, Dependencies!$B$2:$G$230, 6,FALSE),$B$14:AC$73, AC$74,FALSE),"o")=$D$4),$D$4,IF(OR(IFERROR(VLOOKUP(VLOOKUP($B47, Dependencies!$B$2:$G$230, 2,FALSE), $B$14:AC$73, AC$74,FALSE),"o")=$D$5,IFERROR(VLOOKUP(VLOOKUP($B47, Dependencies!$B$2:$G$230, 3,FALSE), $B$14:AC$73, AC$74,FALSE),"o")=$D$5,IFERROR(VLOOKUP(VLOOKUP($B47, Dependencies!$B$2:$G$230, 4,FALSE), $B$14:AC$73, AC$74,FALSE),"o")=$D$5,IFERROR(VLOOKUP(VLOOKUP($B47, Dependencies!$B$2:$G$230, 5,FALSE), $B$14:AC$73, AC$74,FALSE),"o")=$D$5,IFERROR(VLOOKUP(VLOOKUP($B47, Dependencies!$B$2:$G$230, 6,FALSE), $B$14:AC$73, AC$74,FALSE),"o")=$D$5),$D$5,AB47)))</f>
        <v>o</v>
      </c>
      <c r="AD47" s="94" t="s">
        <v>323</v>
      </c>
      <c r="AE47" s="72" t="str">
        <f>IF(AD47=$D$4,AD47,IF(OR(IFERROR(VLOOKUP(VLOOKUP($B47, Dependencies!$B$2:$G$230, 2,FALSE),$B$14:AE$73, AE$74,FALSE),"o")=$D$4,IFERROR(VLOOKUP(VLOOKUP($B47, Dependencies!$B$2:$G$230, 3,FALSE),$B$14:AE$73, AE$74,FALSE),"o")=$D$4,IFERROR(VLOOKUP(VLOOKUP($B47, Dependencies!$B$2:$G$230, 4,FALSE),$B$14:AE$73, AE$74,FALSE),"o")=$D$4,IFERROR(VLOOKUP(VLOOKUP($B47, Dependencies!$B$2:$G$230, 5,FALSE),$B$14:AE$73, AE$74,FALSE),"o")=$D$4,IFERROR(VLOOKUP(VLOOKUP($B47, Dependencies!$B$2:$G$230, 6,FALSE),$B$14:AE$73, AE$74,FALSE),"o")=$D$4),$D$4,IF(OR(IFERROR(VLOOKUP(VLOOKUP($B47, Dependencies!$B$2:$G$230, 2,FALSE), $B$14:AE$73, AE$74,FALSE),"o")=$D$5,IFERROR(VLOOKUP(VLOOKUP($B47, Dependencies!$B$2:$G$230, 3,FALSE), $B$14:AE$73, AE$74,FALSE),"o")=$D$5,IFERROR(VLOOKUP(VLOOKUP($B47, Dependencies!$B$2:$G$230, 4,FALSE), $B$14:AE$73, AE$74,FALSE),"o")=$D$5,IFERROR(VLOOKUP(VLOOKUP($B47, Dependencies!$B$2:$G$230, 5,FALSE), $B$14:AE$73, AE$74,FALSE),"o")=$D$5,IFERROR(VLOOKUP(VLOOKUP($B47, Dependencies!$B$2:$G$230, 6,FALSE), $B$14:AE$73, AE$74,FALSE),"o")=$D$5),$D$5,AD47)))</f>
        <v>o</v>
      </c>
      <c r="AF47" s="94" t="s">
        <v>323</v>
      </c>
      <c r="AG47" s="72" t="str">
        <f>IF(AF47=$D$4,AF47,IF(OR(IFERROR(VLOOKUP(VLOOKUP($B47, Dependencies!$B$2:$G$230, 2,FALSE),$B$14:AG$73, AG$74,FALSE),"o")=$D$4,IFERROR(VLOOKUP(VLOOKUP($B47, Dependencies!$B$2:$G$230, 3,FALSE),$B$14:AG$73, AG$74,FALSE),"o")=$D$4,IFERROR(VLOOKUP(VLOOKUP($B47, Dependencies!$B$2:$G$230, 4,FALSE),$B$14:AG$73, AG$74,FALSE),"o")=$D$4,IFERROR(VLOOKUP(VLOOKUP($B47, Dependencies!$B$2:$G$230, 5,FALSE),$B$14:AG$73, AG$74,FALSE),"o")=$D$4,IFERROR(VLOOKUP(VLOOKUP($B47, Dependencies!$B$2:$G$230, 6,FALSE),$B$14:AG$73, AG$74,FALSE),"o")=$D$4),$D$4,IF(OR(IFERROR(VLOOKUP(VLOOKUP($B47, Dependencies!$B$2:$G$230, 2,FALSE), $B$14:AG$73, AG$74,FALSE),"o")=$D$5,IFERROR(VLOOKUP(VLOOKUP($B47, Dependencies!$B$2:$G$230, 3,FALSE), $B$14:AG$73, AG$74,FALSE),"o")=$D$5,IFERROR(VLOOKUP(VLOOKUP($B47, Dependencies!$B$2:$G$230, 4,FALSE), $B$14:AG$73, AG$74,FALSE),"o")=$D$5,IFERROR(VLOOKUP(VLOOKUP($B47, Dependencies!$B$2:$G$230, 5,FALSE), $B$14:AG$73, AG$74,FALSE),"o")=$D$5,IFERROR(VLOOKUP(VLOOKUP($B47, Dependencies!$B$2:$G$230, 6,FALSE), $B$14:AG$73, AG$74,FALSE),"o")=$D$5),$D$5,AF47)))</f>
        <v>o</v>
      </c>
      <c r="AH47" s="94" t="s">
        <v>323</v>
      </c>
      <c r="AI47" s="72" t="str">
        <f>IF(AH47=$D$4,AH47,IF(OR(IFERROR(VLOOKUP(VLOOKUP($B47, Dependencies!$B$2:$G$230, 2,FALSE),$B$14:AI$73, AI$74,FALSE),"o")=$D$4,IFERROR(VLOOKUP(VLOOKUP($B47, Dependencies!$B$2:$G$230, 3,FALSE),$B$14:AI$73, AI$74,FALSE),"o")=$D$4,IFERROR(VLOOKUP(VLOOKUP($B47, Dependencies!$B$2:$G$230, 4,FALSE),$B$14:AI$73, AI$74,FALSE),"o")=$D$4,IFERROR(VLOOKUP(VLOOKUP($B47, Dependencies!$B$2:$G$230, 5,FALSE),$B$14:AI$73, AI$74,FALSE),"o")=$D$4,IFERROR(VLOOKUP(VLOOKUP($B47, Dependencies!$B$2:$G$230, 6,FALSE),$B$14:AI$73, AI$74,FALSE),"o")=$D$4),$D$4,IF(OR(IFERROR(VLOOKUP(VLOOKUP($B47, Dependencies!$B$2:$G$230, 2,FALSE), $B$14:AI$73, AI$74,FALSE),"o")=$D$5,IFERROR(VLOOKUP(VLOOKUP($B47, Dependencies!$B$2:$G$230, 3,FALSE), $B$14:AI$73, AI$74,FALSE),"o")=$D$5,IFERROR(VLOOKUP(VLOOKUP($B47, Dependencies!$B$2:$G$230, 4,FALSE), $B$14:AI$73, AI$74,FALSE),"o")=$D$5,IFERROR(VLOOKUP(VLOOKUP($B47, Dependencies!$B$2:$G$230, 5,FALSE), $B$14:AI$73, AI$74,FALSE),"o")=$D$5,IFERROR(VLOOKUP(VLOOKUP($B47, Dependencies!$B$2:$G$230, 6,FALSE), $B$14:AI$73, AI$74,FALSE),"o")=$D$5),$D$5,AH47)))</f>
        <v>o</v>
      </c>
      <c r="AJ47" s="94" t="s">
        <v>323</v>
      </c>
      <c r="AK47" s="72" t="str">
        <f>IF(AJ47=$D$4,AJ47,IF(OR(IFERROR(VLOOKUP(VLOOKUP($B47, Dependencies!$B$2:$G$230, 2,FALSE),$B$14:AK$73, AK$74,FALSE),"o")=$D$4,IFERROR(VLOOKUP(VLOOKUP($B47, Dependencies!$B$2:$G$230, 3,FALSE),$B$14:AK$73, AK$74,FALSE),"o")=$D$4,IFERROR(VLOOKUP(VLOOKUP($B47, Dependencies!$B$2:$G$230, 4,FALSE),$B$14:AK$73, AK$74,FALSE),"o")=$D$4,IFERROR(VLOOKUP(VLOOKUP($B47, Dependencies!$B$2:$G$230, 5,FALSE),$B$14:AK$73, AK$74,FALSE),"o")=$D$4,IFERROR(VLOOKUP(VLOOKUP($B47, Dependencies!$B$2:$G$230, 6,FALSE),$B$14:AK$73, AK$74,FALSE),"o")=$D$4),$D$4,IF(OR(IFERROR(VLOOKUP(VLOOKUP($B47, Dependencies!$B$2:$G$230, 2,FALSE), $B$14:AK$73, AK$74,FALSE),"o")=$D$5,IFERROR(VLOOKUP(VLOOKUP($B47, Dependencies!$B$2:$G$230, 3,FALSE), $B$14:AK$73, AK$74,FALSE),"o")=$D$5,IFERROR(VLOOKUP(VLOOKUP($B47, Dependencies!$B$2:$G$230, 4,FALSE), $B$14:AK$73, AK$74,FALSE),"o")=$D$5,IFERROR(VLOOKUP(VLOOKUP($B47, Dependencies!$B$2:$G$230, 5,FALSE), $B$14:AK$73, AK$74,FALSE),"o")=$D$5,IFERROR(VLOOKUP(VLOOKUP($B47, Dependencies!$B$2:$G$230, 6,FALSE), $B$14:AK$73, AK$74,FALSE),"o")=$D$5),$D$5,AJ47)))</f>
        <v>o</v>
      </c>
      <c r="AL47" s="94" t="s">
        <v>323</v>
      </c>
      <c r="AM47" s="72" t="str">
        <f>IF(AL47=$D$4,AL47,IF(OR(IFERROR(VLOOKUP(VLOOKUP($B47, Dependencies!$B$2:$G$230, 2,FALSE),$B$14:AM$73, AM$74,FALSE),"o")=$D$4,IFERROR(VLOOKUP(VLOOKUP($B47, Dependencies!$B$2:$G$230, 3,FALSE),$B$14:AM$73, AM$74,FALSE),"o")=$D$4,IFERROR(VLOOKUP(VLOOKUP($B47, Dependencies!$B$2:$G$230, 4,FALSE),$B$14:AM$73, AM$74,FALSE),"o")=$D$4,IFERROR(VLOOKUP(VLOOKUP($B47, Dependencies!$B$2:$G$230, 5,FALSE),$B$14:AM$73, AM$74,FALSE),"o")=$D$4,IFERROR(VLOOKUP(VLOOKUP($B47, Dependencies!$B$2:$G$230, 6,FALSE),$B$14:AM$73, AM$74,FALSE),"o")=$D$4),$D$4,IF(OR(IFERROR(VLOOKUP(VLOOKUP($B47, Dependencies!$B$2:$G$230, 2,FALSE), $B$14:AM$73, AM$74,FALSE),"o")=$D$5,IFERROR(VLOOKUP(VLOOKUP($B47, Dependencies!$B$2:$G$230, 3,FALSE), $B$14:AM$73, AM$74,FALSE),"o")=$D$5,IFERROR(VLOOKUP(VLOOKUP($B47, Dependencies!$B$2:$G$230, 4,FALSE), $B$14:AM$73, AM$74,FALSE),"o")=$D$5,IFERROR(VLOOKUP(VLOOKUP($B47, Dependencies!$B$2:$G$230, 5,FALSE), $B$14:AM$73, AM$74,FALSE),"o")=$D$5,IFERROR(VLOOKUP(VLOOKUP($B47, Dependencies!$B$2:$G$230, 6,FALSE), $B$14:AM$73, AM$74,FALSE),"o")=$D$5),$D$5,AL47)))</f>
        <v>o</v>
      </c>
      <c r="AN47" s="94" t="s">
        <v>323</v>
      </c>
      <c r="AO47" s="72" t="str">
        <f>IF(AN47=$D$4,AN47,IF(OR(IFERROR(VLOOKUP(VLOOKUP($B47, Dependencies!$B$2:$G$230, 2,FALSE),$B$14:AO$73, AO$74,FALSE),"o")=$D$4,IFERROR(VLOOKUP(VLOOKUP($B47, Dependencies!$B$2:$G$230, 3,FALSE),$B$14:AO$73, AO$74,FALSE),"o")=$D$4,IFERROR(VLOOKUP(VLOOKUP($B47, Dependencies!$B$2:$G$230, 4,FALSE),$B$14:AO$73, AO$74,FALSE),"o")=$D$4,IFERROR(VLOOKUP(VLOOKUP($B47, Dependencies!$B$2:$G$230, 5,FALSE),$B$14:AO$73, AO$74,FALSE),"o")=$D$4,IFERROR(VLOOKUP(VLOOKUP($B47, Dependencies!$B$2:$G$230, 6,FALSE),$B$14:AO$73, AO$74,FALSE),"o")=$D$4),$D$4,IF(OR(IFERROR(VLOOKUP(VLOOKUP($B47, Dependencies!$B$2:$G$230, 2,FALSE), $B$14:AO$73, AO$74,FALSE),"o")=$D$5,IFERROR(VLOOKUP(VLOOKUP($B47, Dependencies!$B$2:$G$230, 3,FALSE), $B$14:AO$73, AO$74,FALSE),"o")=$D$5,IFERROR(VLOOKUP(VLOOKUP($B47, Dependencies!$B$2:$G$230, 4,FALSE), $B$14:AO$73, AO$74,FALSE),"o")=$D$5,IFERROR(VLOOKUP(VLOOKUP($B47, Dependencies!$B$2:$G$230, 5,FALSE), $B$14:AO$73, AO$74,FALSE),"o")=$D$5,IFERROR(VLOOKUP(VLOOKUP($B47, Dependencies!$B$2:$G$230, 6,FALSE), $B$14:AO$73, AO$74,FALSE),"o")=$D$5),$D$5,AN47)))</f>
        <v>o</v>
      </c>
      <c r="AP47" s="94" t="s">
        <v>323</v>
      </c>
      <c r="AQ47" s="72" t="str">
        <f>IF(AP47=$D$4,AP47,IF(OR(IFERROR(VLOOKUP(VLOOKUP($B47, Dependencies!$B$2:$G$230, 2,FALSE),$B$14:AQ$73, AQ$74,FALSE),"o")=$D$4,IFERROR(VLOOKUP(VLOOKUP($B47, Dependencies!$B$2:$G$230, 3,FALSE),$B$14:AQ$73, AQ$74,FALSE),"o")=$D$4,IFERROR(VLOOKUP(VLOOKUP($B47, Dependencies!$B$2:$G$230, 4,FALSE),$B$14:AQ$73, AQ$74,FALSE),"o")=$D$4,IFERROR(VLOOKUP(VLOOKUP($B47, Dependencies!$B$2:$G$230, 5,FALSE),$B$14:AQ$73, AQ$74,FALSE),"o")=$D$4,IFERROR(VLOOKUP(VLOOKUP($B47, Dependencies!$B$2:$G$230, 6,FALSE),$B$14:AQ$73, AQ$74,FALSE),"o")=$D$4),$D$4,IF(OR(IFERROR(VLOOKUP(VLOOKUP($B47, Dependencies!$B$2:$G$230, 2,FALSE), $B$14:AQ$73, AQ$74,FALSE),"o")=$D$5,IFERROR(VLOOKUP(VLOOKUP($B47, Dependencies!$B$2:$G$230, 3,FALSE), $B$14:AQ$73, AQ$74,FALSE),"o")=$D$5,IFERROR(VLOOKUP(VLOOKUP($B47, Dependencies!$B$2:$G$230, 4,FALSE), $B$14:AQ$73, AQ$74,FALSE),"o")=$D$5,IFERROR(VLOOKUP(VLOOKUP($B47, Dependencies!$B$2:$G$230, 5,FALSE), $B$14:AQ$73, AQ$74,FALSE),"o")=$D$5,IFERROR(VLOOKUP(VLOOKUP($B47, Dependencies!$B$2:$G$230, 6,FALSE), $B$14:AQ$73, AQ$74,FALSE),"o")=$D$5),$D$5,AP47)))</f>
        <v>o</v>
      </c>
      <c r="AR47" s="94" t="s">
        <v>323</v>
      </c>
      <c r="AS47" s="71" t="str">
        <f>IF(AR47=$D$4,AR47,IF(OR(IFERROR(VLOOKUP(VLOOKUP($B47, Dependencies!$B$2:$G$230, 2,FALSE),$B$14:AS$73, AS$74,FALSE),"o")=$D$4,IFERROR(VLOOKUP(VLOOKUP($B47, Dependencies!$B$2:$G$230, 3,FALSE),$B$14:AS$73, AS$74,FALSE),"o")=$D$4,IFERROR(VLOOKUP(VLOOKUP($B47, Dependencies!$B$2:$G$230, 4,FALSE),$B$14:AS$73, AS$74,FALSE),"o")=$D$4,IFERROR(VLOOKUP(VLOOKUP($B47, Dependencies!$B$2:$G$230, 5,FALSE),$B$14:AS$73, AS$74,FALSE),"o")=$D$4,IFERROR(VLOOKUP(VLOOKUP($B47, Dependencies!$B$2:$G$230, 6,FALSE),$B$14:AS$73, AS$74,FALSE),"o")=$D$4),$D$4,IF(OR(IFERROR(VLOOKUP(VLOOKUP($B47, Dependencies!$B$2:$G$230, 2,FALSE), $B$14:AS$73, AS$74,FALSE),"o")=$D$5,IFERROR(VLOOKUP(VLOOKUP($B47, Dependencies!$B$2:$G$230, 3,FALSE), $B$14:AS$73, AS$74,FALSE),"o")=$D$5,IFERROR(VLOOKUP(VLOOKUP($B47, Dependencies!$B$2:$G$230, 4,FALSE), $B$14:AS$73, AS$74,FALSE),"o")=$D$5,IFERROR(VLOOKUP(VLOOKUP($B47, Dependencies!$B$2:$G$230, 5,FALSE), $B$14:AS$73, AS$74,FALSE),"o")=$D$5,IFERROR(VLOOKUP(VLOOKUP($B47, Dependencies!$B$2:$G$230, 6,FALSE), $B$14:AS$73, AS$74,FALSE),"o")=$D$5),$D$5,AR47)))</f>
        <v>o</v>
      </c>
    </row>
    <row r="48" spans="1:45" x14ac:dyDescent="0.2">
      <c r="A48" s="40"/>
      <c r="B48" s="73" t="str">
        <f>MLEOsv2!A36</f>
        <v>MLEO_10_05</v>
      </c>
      <c r="C48" s="73">
        <f>MLEOsv2!C36</f>
        <v>4</v>
      </c>
      <c r="D48" s="42" t="str">
        <f>MLEOsv2!G36</f>
        <v>identify generalization associations between participating classes.</v>
      </c>
      <c r="E48" s="51" t="b">
        <f>MLEOsv2!H36</f>
        <v>1</v>
      </c>
      <c r="F48" s="93" t="s">
        <v>320</v>
      </c>
      <c r="G48" s="70" t="str">
        <f>IF(F48=$D$4,F48,IF(OR(IFERROR(VLOOKUP(VLOOKUP($B48, Dependencies!$B$2:$G$230, 2,FALSE),$B$14:G$73, G$74,FALSE),"o")=$D$4,IFERROR(VLOOKUP(VLOOKUP($B48, Dependencies!$B$2:$G$230, 3,FALSE),$B$14:G$73, G$74,FALSE),"o")=$D$4,IFERROR(VLOOKUP(VLOOKUP($B48, Dependencies!$B$2:$G$230, 4,FALSE),$B$14:G$73, G$74,FALSE),"o")=$D$4,IFERROR(VLOOKUP(VLOOKUP($B48, Dependencies!$B$2:$G$230, 5,FALSE),$B$14:G$73, G$74,FALSE),"o")=$D$4,IFERROR(VLOOKUP(VLOOKUP($B48, Dependencies!$B$2:$G$230, 6,FALSE),$B$14:G$73, G$74,FALSE),"o")=$D$4),$D$4,IF(OR(IFERROR(VLOOKUP(VLOOKUP($B48, Dependencies!$B$2:$G$230, 2,FALSE), $B$14:G$73, G$74,FALSE),"o")=$D$5,IFERROR(VLOOKUP(VLOOKUP($B48, Dependencies!$B$2:$G$230, 3,FALSE), $B$14:G$73, G$74,FALSE),"o")=$D$5,IFERROR(VLOOKUP(VLOOKUP($B48, Dependencies!$B$2:$G$230, 4,FALSE), $B$14:G$73, G$74,FALSE),"o")=$D$5,IFERROR(VLOOKUP(VLOOKUP($B48, Dependencies!$B$2:$G$230, 5,FALSE), $B$14:G$73, G$74,FALSE),"o")=$D$5,IFERROR(VLOOKUP(VLOOKUP($B48, Dependencies!$B$2:$G$230, 6,FALSE), $B$14:G$73, G$74,FALSE),"o")=$D$5),$D$5,F48)))</f>
        <v>r</v>
      </c>
      <c r="H48" s="93" t="s">
        <v>321</v>
      </c>
      <c r="I48" s="70" t="str">
        <f>IF(H48=$D$4,H48,IF(OR(IFERROR(VLOOKUP(VLOOKUP($B48, Dependencies!$B$2:$G$230, 2,FALSE),$B$14:I$73, I$74,FALSE),"o")=$D$4,IFERROR(VLOOKUP(VLOOKUP($B48, Dependencies!$B$2:$G$230, 3,FALSE),$B$14:I$73, I$74,FALSE),"o")=$D$4,IFERROR(VLOOKUP(VLOOKUP($B48, Dependencies!$B$2:$G$230, 4,FALSE),$B$14:I$73, I$74,FALSE),"o")=$D$4,IFERROR(VLOOKUP(VLOOKUP($B48, Dependencies!$B$2:$G$230, 5,FALSE),$B$14:I$73, I$74,FALSE),"o")=$D$4,IFERROR(VLOOKUP(VLOOKUP($B48, Dependencies!$B$2:$G$230, 6,FALSE),$B$14:I$73, I$74,FALSE),"o")=$D$4),$D$4,IF(OR(IFERROR(VLOOKUP(VLOOKUP($B48, Dependencies!$B$2:$G$230, 2,FALSE), $B$14:I$73, I$74,FALSE),"o")=$D$5,IFERROR(VLOOKUP(VLOOKUP($B48, Dependencies!$B$2:$G$230, 3,FALSE), $B$14:I$73, I$74,FALSE),"o")=$D$5,IFERROR(VLOOKUP(VLOOKUP($B48, Dependencies!$B$2:$G$230, 4,FALSE), $B$14:I$73, I$74,FALSE),"o")=$D$5,IFERROR(VLOOKUP(VLOOKUP($B48, Dependencies!$B$2:$G$230, 5,FALSE), $B$14:I$73, I$74,FALSE),"o")=$D$5,IFERROR(VLOOKUP(VLOOKUP($B48, Dependencies!$B$2:$G$230, 6,FALSE), $B$14:I$73, I$74,FALSE),"o")=$D$5),$D$5,H48)))</f>
        <v>pr</v>
      </c>
      <c r="J48" s="93" t="s">
        <v>320</v>
      </c>
      <c r="K48" s="70" t="str">
        <f>IF(J48=$D$4,J48,IF(OR(IFERROR(VLOOKUP(VLOOKUP($B48, Dependencies!$B$2:$G$230, 2,FALSE),$B$14:K$73, K$74,FALSE),"o")=$D$4,IFERROR(VLOOKUP(VLOOKUP($B48, Dependencies!$B$2:$G$230, 3,FALSE),$B$14:K$73, K$74,FALSE),"o")=$D$4,IFERROR(VLOOKUP(VLOOKUP($B48, Dependencies!$B$2:$G$230, 4,FALSE),$B$14:K$73, K$74,FALSE),"o")=$D$4,IFERROR(VLOOKUP(VLOOKUP($B48, Dependencies!$B$2:$G$230, 5,FALSE),$B$14:K$73, K$74,FALSE),"o")=$D$4,IFERROR(VLOOKUP(VLOOKUP($B48, Dependencies!$B$2:$G$230, 6,FALSE),$B$14:K$73, K$74,FALSE),"o")=$D$4),$D$4,IF(OR(IFERROR(VLOOKUP(VLOOKUP($B48, Dependencies!$B$2:$G$230, 2,FALSE), $B$14:K$73, K$74,FALSE),"o")=$D$5,IFERROR(VLOOKUP(VLOOKUP($B48, Dependencies!$B$2:$G$230, 3,FALSE), $B$14:K$73, K$74,FALSE),"o")=$D$5,IFERROR(VLOOKUP(VLOOKUP($B48, Dependencies!$B$2:$G$230, 4,FALSE), $B$14:K$73, K$74,FALSE),"o")=$D$5,IFERROR(VLOOKUP(VLOOKUP($B48, Dependencies!$B$2:$G$230, 5,FALSE), $B$14:K$73, K$74,FALSE),"o")=$D$5,IFERROR(VLOOKUP(VLOOKUP($B48, Dependencies!$B$2:$G$230, 6,FALSE), $B$14:K$73, K$74,FALSE),"o")=$D$5),$D$5,J48)))</f>
        <v>r</v>
      </c>
      <c r="L48" s="93" t="s">
        <v>323</v>
      </c>
      <c r="M48" s="70" t="str">
        <f>IF(L48=$D$4,L48,IF(OR(IFERROR(VLOOKUP(VLOOKUP($B48, Dependencies!$B$2:$G$230, 2,FALSE),$B$14:M$73, M$74,FALSE),"o")=$D$4,IFERROR(VLOOKUP(VLOOKUP($B48, Dependencies!$B$2:$G$230, 3,FALSE),$B$14:M$73, M$74,FALSE),"o")=$D$4,IFERROR(VLOOKUP(VLOOKUP($B48, Dependencies!$B$2:$G$230, 4,FALSE),$B$14:M$73, M$74,FALSE),"o")=$D$4,IFERROR(VLOOKUP(VLOOKUP($B48, Dependencies!$B$2:$G$230, 5,FALSE),$B$14:M$73, M$74,FALSE),"o")=$D$4,IFERROR(VLOOKUP(VLOOKUP($B48, Dependencies!$B$2:$G$230, 6,FALSE),$B$14:M$73, M$74,FALSE),"o")=$D$4),$D$4,IF(OR(IFERROR(VLOOKUP(VLOOKUP($B48, Dependencies!$B$2:$G$230, 2,FALSE), $B$14:M$73, M$74,FALSE),"o")=$D$5,IFERROR(VLOOKUP(VLOOKUP($B48, Dependencies!$B$2:$G$230, 3,FALSE), $B$14:M$73, M$74,FALSE),"o")=$D$5,IFERROR(VLOOKUP(VLOOKUP($B48, Dependencies!$B$2:$G$230, 4,FALSE), $B$14:M$73, M$74,FALSE),"o")=$D$5,IFERROR(VLOOKUP(VLOOKUP($B48, Dependencies!$B$2:$G$230, 5,FALSE), $B$14:M$73, M$74,FALSE),"o")=$D$5,IFERROR(VLOOKUP(VLOOKUP($B48, Dependencies!$B$2:$G$230, 6,FALSE), $B$14:M$73, M$74,FALSE),"o")=$D$5),$D$5,L48)))</f>
        <v>o</v>
      </c>
      <c r="N48" s="93" t="s">
        <v>323</v>
      </c>
      <c r="O48" s="70" t="str">
        <f>IF(N48=$D$4,N48,IF(OR(IFERROR(VLOOKUP(VLOOKUP($B48, Dependencies!$B$2:$G$230, 2,FALSE),$B$14:O$73, O$74,FALSE),"o")=$D$4,IFERROR(VLOOKUP(VLOOKUP($B48, Dependencies!$B$2:$G$230, 3,FALSE),$B$14:O$73, O$74,FALSE),"o")=$D$4,IFERROR(VLOOKUP(VLOOKUP($B48, Dependencies!$B$2:$G$230, 4,FALSE),$B$14:O$73, O$74,FALSE),"o")=$D$4,IFERROR(VLOOKUP(VLOOKUP($B48, Dependencies!$B$2:$G$230, 5,FALSE),$B$14:O$73, O$74,FALSE),"o")=$D$4,IFERROR(VLOOKUP(VLOOKUP($B48, Dependencies!$B$2:$G$230, 6,FALSE),$B$14:O$73, O$74,FALSE),"o")=$D$4),$D$4,IF(OR(IFERROR(VLOOKUP(VLOOKUP($B48, Dependencies!$B$2:$G$230, 2,FALSE), $B$14:O$73, O$74,FALSE),"o")=$D$5,IFERROR(VLOOKUP(VLOOKUP($B48, Dependencies!$B$2:$G$230, 3,FALSE), $B$14:O$73, O$74,FALSE),"o")=$D$5,IFERROR(VLOOKUP(VLOOKUP($B48, Dependencies!$B$2:$G$230, 4,FALSE), $B$14:O$73, O$74,FALSE),"o")=$D$5,IFERROR(VLOOKUP(VLOOKUP($B48, Dependencies!$B$2:$G$230, 5,FALSE), $B$14:O$73, O$74,FALSE),"o")=$D$5,IFERROR(VLOOKUP(VLOOKUP($B48, Dependencies!$B$2:$G$230, 6,FALSE), $B$14:O$73, O$74,FALSE),"o")=$D$5),$D$5,N48)))</f>
        <v>o</v>
      </c>
      <c r="P48" s="93" t="s">
        <v>323</v>
      </c>
      <c r="Q48" s="70" t="str">
        <f>IF(P48=$D$4,P48,IF(OR(IFERROR(VLOOKUP(VLOOKUP($B48, Dependencies!$B$2:$G$230, 2,FALSE),$B$14:Q$73, Q$74,FALSE),"o")=$D$4,IFERROR(VLOOKUP(VLOOKUP($B48, Dependencies!$B$2:$G$230, 3,FALSE),$B$14:Q$73, Q$74,FALSE),"o")=$D$4,IFERROR(VLOOKUP(VLOOKUP($B48, Dependencies!$B$2:$G$230, 4,FALSE),$B$14:Q$73, Q$74,FALSE),"o")=$D$4,IFERROR(VLOOKUP(VLOOKUP($B48, Dependencies!$B$2:$G$230, 5,FALSE),$B$14:Q$73, Q$74,FALSE),"o")=$D$4,IFERROR(VLOOKUP(VLOOKUP($B48, Dependencies!$B$2:$G$230, 6,FALSE),$B$14:Q$73, Q$74,FALSE),"o")=$D$4),$D$4,IF(OR(IFERROR(VLOOKUP(VLOOKUP($B48, Dependencies!$B$2:$G$230, 2,FALSE), $B$14:Q$73, Q$74,FALSE),"o")=$D$5,IFERROR(VLOOKUP(VLOOKUP($B48, Dependencies!$B$2:$G$230, 3,FALSE), $B$14:Q$73, Q$74,FALSE),"o")=$D$5,IFERROR(VLOOKUP(VLOOKUP($B48, Dependencies!$B$2:$G$230, 4,FALSE), $B$14:Q$73, Q$74,FALSE),"o")=$D$5,IFERROR(VLOOKUP(VLOOKUP($B48, Dependencies!$B$2:$G$230, 5,FALSE), $B$14:Q$73, Q$74,FALSE),"o")=$D$5,IFERROR(VLOOKUP(VLOOKUP($B48, Dependencies!$B$2:$G$230, 6,FALSE), $B$14:Q$73, Q$74,FALSE),"o")=$D$5),$D$5,P48)))</f>
        <v>o</v>
      </c>
      <c r="R48" s="93" t="s">
        <v>323</v>
      </c>
      <c r="S48" s="70" t="str">
        <f>IF(R48=$D$4,R48,IF(OR(IFERROR(VLOOKUP(VLOOKUP($B48, Dependencies!$B$2:$G$230, 2,FALSE),$B$14:S$73, S$74,FALSE),"o")=$D$4,IFERROR(VLOOKUP(VLOOKUP($B48, Dependencies!$B$2:$G$230, 3,FALSE),$B$14:S$73, S$74,FALSE),"o")=$D$4,IFERROR(VLOOKUP(VLOOKUP($B48, Dependencies!$B$2:$G$230, 4,FALSE),$B$14:S$73, S$74,FALSE),"o")=$D$4,IFERROR(VLOOKUP(VLOOKUP($B48, Dependencies!$B$2:$G$230, 5,FALSE),$B$14:S$73, S$74,FALSE),"o")=$D$4,IFERROR(VLOOKUP(VLOOKUP($B48, Dependencies!$B$2:$G$230, 6,FALSE),$B$14:S$73, S$74,FALSE),"o")=$D$4),$D$4,IF(OR(IFERROR(VLOOKUP(VLOOKUP($B48, Dependencies!$B$2:$G$230, 2,FALSE), $B$14:S$73, S$74,FALSE),"o")=$D$5,IFERROR(VLOOKUP(VLOOKUP($B48, Dependencies!$B$2:$G$230, 3,FALSE), $B$14:S$73, S$74,FALSE),"o")=$D$5,IFERROR(VLOOKUP(VLOOKUP($B48, Dependencies!$B$2:$G$230, 4,FALSE), $B$14:S$73, S$74,FALSE),"o")=$D$5,IFERROR(VLOOKUP(VLOOKUP($B48, Dependencies!$B$2:$G$230, 5,FALSE), $B$14:S$73, S$74,FALSE),"o")=$D$5,IFERROR(VLOOKUP(VLOOKUP($B48, Dependencies!$B$2:$G$230, 6,FALSE), $B$14:S$73, S$74,FALSE),"o")=$D$5),$D$5,R48)))</f>
        <v>o</v>
      </c>
      <c r="T48" s="93" t="s">
        <v>323</v>
      </c>
      <c r="U48" s="70" t="str">
        <f>IF(T48=$D$4,T48,IF(OR(IFERROR(VLOOKUP(VLOOKUP($B48, Dependencies!$B$2:$G$230, 2,FALSE),$B$14:U$73, U$74,FALSE),"o")=$D$4,IFERROR(VLOOKUP(VLOOKUP($B48, Dependencies!$B$2:$G$230, 3,FALSE),$B$14:U$73, U$74,FALSE),"o")=$D$4,IFERROR(VLOOKUP(VLOOKUP($B48, Dependencies!$B$2:$G$230, 4,FALSE),$B$14:U$73, U$74,FALSE),"o")=$D$4,IFERROR(VLOOKUP(VLOOKUP($B48, Dependencies!$B$2:$G$230, 5,FALSE),$B$14:U$73, U$74,FALSE),"o")=$D$4,IFERROR(VLOOKUP(VLOOKUP($B48, Dependencies!$B$2:$G$230, 6,FALSE),$B$14:U$73, U$74,FALSE),"o")=$D$4),$D$4,IF(OR(IFERROR(VLOOKUP(VLOOKUP($B48, Dependencies!$B$2:$G$230, 2,FALSE), $B$14:U$73, U$74,FALSE),"o")=$D$5,IFERROR(VLOOKUP(VLOOKUP($B48, Dependencies!$B$2:$G$230, 3,FALSE), $B$14:U$73, U$74,FALSE),"o")=$D$5,IFERROR(VLOOKUP(VLOOKUP($B48, Dependencies!$B$2:$G$230, 4,FALSE), $B$14:U$73, U$74,FALSE),"o")=$D$5,IFERROR(VLOOKUP(VLOOKUP($B48, Dependencies!$B$2:$G$230, 5,FALSE), $B$14:U$73, U$74,FALSE),"o")=$D$5,IFERROR(VLOOKUP(VLOOKUP($B48, Dependencies!$B$2:$G$230, 6,FALSE), $B$14:U$73, U$74,FALSE),"o")=$D$5),$D$5,T48)))</f>
        <v>o</v>
      </c>
      <c r="V48" s="93" t="s">
        <v>323</v>
      </c>
      <c r="W48" s="70" t="str">
        <f>IF(V48=$D$4,V48,IF(OR(IFERROR(VLOOKUP(VLOOKUP($B48, Dependencies!$B$2:$G$230, 2,FALSE),$B$14:W$73, W$74,FALSE),"o")=$D$4,IFERROR(VLOOKUP(VLOOKUP($B48, Dependencies!$B$2:$G$230, 3,FALSE),$B$14:W$73, W$74,FALSE),"o")=$D$4,IFERROR(VLOOKUP(VLOOKUP($B48, Dependencies!$B$2:$G$230, 4,FALSE),$B$14:W$73, W$74,FALSE),"o")=$D$4,IFERROR(VLOOKUP(VLOOKUP($B48, Dependencies!$B$2:$G$230, 5,FALSE),$B$14:W$73, W$74,FALSE),"o")=$D$4,IFERROR(VLOOKUP(VLOOKUP($B48, Dependencies!$B$2:$G$230, 6,FALSE),$B$14:W$73, W$74,FALSE),"o")=$D$4),$D$4,IF(OR(IFERROR(VLOOKUP(VLOOKUP($B48, Dependencies!$B$2:$G$230, 2,FALSE), $B$14:W$73, W$74,FALSE),"o")=$D$5,IFERROR(VLOOKUP(VLOOKUP($B48, Dependencies!$B$2:$G$230, 3,FALSE), $B$14:W$73, W$74,FALSE),"o")=$D$5,IFERROR(VLOOKUP(VLOOKUP($B48, Dependencies!$B$2:$G$230, 4,FALSE), $B$14:W$73, W$74,FALSE),"o")=$D$5,IFERROR(VLOOKUP(VLOOKUP($B48, Dependencies!$B$2:$G$230, 5,FALSE), $B$14:W$73, W$74,FALSE),"o")=$D$5,IFERROR(VLOOKUP(VLOOKUP($B48, Dependencies!$B$2:$G$230, 6,FALSE), $B$14:W$73, W$74,FALSE),"o")=$D$5),$D$5,V48)))</f>
        <v>o</v>
      </c>
      <c r="X48" s="93" t="s">
        <v>323</v>
      </c>
      <c r="Y48" s="70" t="str">
        <f>IF(X48=$D$4,X48,IF(OR(IFERROR(VLOOKUP(VLOOKUP($B48, Dependencies!$B$2:$G$230, 2,FALSE),$B$14:Y$73, Y$74,FALSE),"o")=$D$4,IFERROR(VLOOKUP(VLOOKUP($B48, Dependencies!$B$2:$G$230, 3,FALSE),$B$14:Y$73, Y$74,FALSE),"o")=$D$4,IFERROR(VLOOKUP(VLOOKUP($B48, Dependencies!$B$2:$G$230, 4,FALSE),$B$14:Y$73, Y$74,FALSE),"o")=$D$4,IFERROR(VLOOKUP(VLOOKUP($B48, Dependencies!$B$2:$G$230, 5,FALSE),$B$14:Y$73, Y$74,FALSE),"o")=$D$4,IFERROR(VLOOKUP(VLOOKUP($B48, Dependencies!$B$2:$G$230, 6,FALSE),$B$14:Y$73, Y$74,FALSE),"o")=$D$4),$D$4,IF(OR(IFERROR(VLOOKUP(VLOOKUP($B48, Dependencies!$B$2:$G$230, 2,FALSE), $B$14:Y$73, Y$74,FALSE),"o")=$D$5,IFERROR(VLOOKUP(VLOOKUP($B48, Dependencies!$B$2:$G$230, 3,FALSE), $B$14:Y$73, Y$74,FALSE),"o")=$D$5,IFERROR(VLOOKUP(VLOOKUP($B48, Dependencies!$B$2:$G$230, 4,FALSE), $B$14:Y$73, Y$74,FALSE),"o")=$D$5,IFERROR(VLOOKUP(VLOOKUP($B48, Dependencies!$B$2:$G$230, 5,FALSE), $B$14:Y$73, Y$74,FALSE),"o")=$D$5,IFERROR(VLOOKUP(VLOOKUP($B48, Dependencies!$B$2:$G$230, 6,FALSE), $B$14:Y$73, Y$74,FALSE),"o")=$D$5),$D$5,X48)))</f>
        <v>o</v>
      </c>
      <c r="Z48" s="93" t="s">
        <v>323</v>
      </c>
      <c r="AA48" s="70" t="str">
        <f>IF(Z48=$D$4,Z48,IF(OR(IFERROR(VLOOKUP(VLOOKUP($B48, Dependencies!$B$2:$G$230, 2,FALSE),$B$14:AA$73, AA$74,FALSE),"o")=$D$4,IFERROR(VLOOKUP(VLOOKUP($B48, Dependencies!$B$2:$G$230, 3,FALSE),$B$14:AA$73, AA$74,FALSE),"o")=$D$4,IFERROR(VLOOKUP(VLOOKUP($B48, Dependencies!$B$2:$G$230, 4,FALSE),$B$14:AA$73, AA$74,FALSE),"o")=$D$4,IFERROR(VLOOKUP(VLOOKUP($B48, Dependencies!$B$2:$G$230, 5,FALSE),$B$14:AA$73, AA$74,FALSE),"o")=$D$4,IFERROR(VLOOKUP(VLOOKUP($B48, Dependencies!$B$2:$G$230, 6,FALSE),$B$14:AA$73, AA$74,FALSE),"o")=$D$4),$D$4,IF(OR(IFERROR(VLOOKUP(VLOOKUP($B48, Dependencies!$B$2:$G$230, 2,FALSE), $B$14:AA$73, AA$74,FALSE),"o")=$D$5,IFERROR(VLOOKUP(VLOOKUP($B48, Dependencies!$B$2:$G$230, 3,FALSE), $B$14:AA$73, AA$74,FALSE),"o")=$D$5,IFERROR(VLOOKUP(VLOOKUP($B48, Dependencies!$B$2:$G$230, 4,FALSE), $B$14:AA$73, AA$74,FALSE),"o")=$D$5,IFERROR(VLOOKUP(VLOOKUP($B48, Dependencies!$B$2:$G$230, 5,FALSE), $B$14:AA$73, AA$74,FALSE),"o")=$D$5,IFERROR(VLOOKUP(VLOOKUP($B48, Dependencies!$B$2:$G$230, 6,FALSE), $B$14:AA$73, AA$74,FALSE),"o")=$D$5),$D$5,Z48)))</f>
        <v>o</v>
      </c>
      <c r="AB48" s="93" t="s">
        <v>323</v>
      </c>
      <c r="AC48" s="70" t="str">
        <f>IF(AB48=$D$4,AB48,IF(OR(IFERROR(VLOOKUP(VLOOKUP($B48, Dependencies!$B$2:$G$230, 2,FALSE),$B$14:AC$73, AC$74,FALSE),"o")=$D$4,IFERROR(VLOOKUP(VLOOKUP($B48, Dependencies!$B$2:$G$230, 3,FALSE),$B$14:AC$73, AC$74,FALSE),"o")=$D$4,IFERROR(VLOOKUP(VLOOKUP($B48, Dependencies!$B$2:$G$230, 4,FALSE),$B$14:AC$73, AC$74,FALSE),"o")=$D$4,IFERROR(VLOOKUP(VLOOKUP($B48, Dependencies!$B$2:$G$230, 5,FALSE),$B$14:AC$73, AC$74,FALSE),"o")=$D$4,IFERROR(VLOOKUP(VLOOKUP($B48, Dependencies!$B$2:$G$230, 6,FALSE),$B$14:AC$73, AC$74,FALSE),"o")=$D$4),$D$4,IF(OR(IFERROR(VLOOKUP(VLOOKUP($B48, Dependencies!$B$2:$G$230, 2,FALSE), $B$14:AC$73, AC$74,FALSE),"o")=$D$5,IFERROR(VLOOKUP(VLOOKUP($B48, Dependencies!$B$2:$G$230, 3,FALSE), $B$14:AC$73, AC$74,FALSE),"o")=$D$5,IFERROR(VLOOKUP(VLOOKUP($B48, Dependencies!$B$2:$G$230, 4,FALSE), $B$14:AC$73, AC$74,FALSE),"o")=$D$5,IFERROR(VLOOKUP(VLOOKUP($B48, Dependencies!$B$2:$G$230, 5,FALSE), $B$14:AC$73, AC$74,FALSE),"o")=$D$5,IFERROR(VLOOKUP(VLOOKUP($B48, Dependencies!$B$2:$G$230, 6,FALSE), $B$14:AC$73, AC$74,FALSE),"o")=$D$5),$D$5,AB48)))</f>
        <v>o</v>
      </c>
      <c r="AD48" s="93" t="s">
        <v>323</v>
      </c>
      <c r="AE48" s="70" t="str">
        <f>IF(AD48=$D$4,AD48,IF(OR(IFERROR(VLOOKUP(VLOOKUP($B48, Dependencies!$B$2:$G$230, 2,FALSE),$B$14:AE$73, AE$74,FALSE),"o")=$D$4,IFERROR(VLOOKUP(VLOOKUP($B48, Dependencies!$B$2:$G$230, 3,FALSE),$B$14:AE$73, AE$74,FALSE),"o")=$D$4,IFERROR(VLOOKUP(VLOOKUP($B48, Dependencies!$B$2:$G$230, 4,FALSE),$B$14:AE$73, AE$74,FALSE),"o")=$D$4,IFERROR(VLOOKUP(VLOOKUP($B48, Dependencies!$B$2:$G$230, 5,FALSE),$B$14:AE$73, AE$74,FALSE),"o")=$D$4,IFERROR(VLOOKUP(VLOOKUP($B48, Dependencies!$B$2:$G$230, 6,FALSE),$B$14:AE$73, AE$74,FALSE),"o")=$D$4),$D$4,IF(OR(IFERROR(VLOOKUP(VLOOKUP($B48, Dependencies!$B$2:$G$230, 2,FALSE), $B$14:AE$73, AE$74,FALSE),"o")=$D$5,IFERROR(VLOOKUP(VLOOKUP($B48, Dependencies!$B$2:$G$230, 3,FALSE), $B$14:AE$73, AE$74,FALSE),"o")=$D$5,IFERROR(VLOOKUP(VLOOKUP($B48, Dependencies!$B$2:$G$230, 4,FALSE), $B$14:AE$73, AE$74,FALSE),"o")=$D$5,IFERROR(VLOOKUP(VLOOKUP($B48, Dependencies!$B$2:$G$230, 5,FALSE), $B$14:AE$73, AE$74,FALSE),"o")=$D$5,IFERROR(VLOOKUP(VLOOKUP($B48, Dependencies!$B$2:$G$230, 6,FALSE), $B$14:AE$73, AE$74,FALSE),"o")=$D$5),$D$5,AD48)))</f>
        <v>o</v>
      </c>
      <c r="AF48" s="93" t="s">
        <v>323</v>
      </c>
      <c r="AG48" s="70" t="str">
        <f>IF(AF48=$D$4,AF48,IF(OR(IFERROR(VLOOKUP(VLOOKUP($B48, Dependencies!$B$2:$G$230, 2,FALSE),$B$14:AG$73, AG$74,FALSE),"o")=$D$4,IFERROR(VLOOKUP(VLOOKUP($B48, Dependencies!$B$2:$G$230, 3,FALSE),$B$14:AG$73, AG$74,FALSE),"o")=$D$4,IFERROR(VLOOKUP(VLOOKUP($B48, Dependencies!$B$2:$G$230, 4,FALSE),$B$14:AG$73, AG$74,FALSE),"o")=$D$4,IFERROR(VLOOKUP(VLOOKUP($B48, Dependencies!$B$2:$G$230, 5,FALSE),$B$14:AG$73, AG$74,FALSE),"o")=$D$4,IFERROR(VLOOKUP(VLOOKUP($B48, Dependencies!$B$2:$G$230, 6,FALSE),$B$14:AG$73, AG$74,FALSE),"o")=$D$4),$D$4,IF(OR(IFERROR(VLOOKUP(VLOOKUP($B48, Dependencies!$B$2:$G$230, 2,FALSE), $B$14:AG$73, AG$74,FALSE),"o")=$D$5,IFERROR(VLOOKUP(VLOOKUP($B48, Dependencies!$B$2:$G$230, 3,FALSE), $B$14:AG$73, AG$74,FALSE),"o")=$D$5,IFERROR(VLOOKUP(VLOOKUP($B48, Dependencies!$B$2:$G$230, 4,FALSE), $B$14:AG$73, AG$74,FALSE),"o")=$D$5,IFERROR(VLOOKUP(VLOOKUP($B48, Dependencies!$B$2:$G$230, 5,FALSE), $B$14:AG$73, AG$74,FALSE),"o")=$D$5,IFERROR(VLOOKUP(VLOOKUP($B48, Dependencies!$B$2:$G$230, 6,FALSE), $B$14:AG$73, AG$74,FALSE),"o")=$D$5),$D$5,AF48)))</f>
        <v>o</v>
      </c>
      <c r="AH48" s="93" t="s">
        <v>323</v>
      </c>
      <c r="AI48" s="70" t="str">
        <f>IF(AH48=$D$4,AH48,IF(OR(IFERROR(VLOOKUP(VLOOKUP($B48, Dependencies!$B$2:$G$230, 2,FALSE),$B$14:AI$73, AI$74,FALSE),"o")=$D$4,IFERROR(VLOOKUP(VLOOKUP($B48, Dependencies!$B$2:$G$230, 3,FALSE),$B$14:AI$73, AI$74,FALSE),"o")=$D$4,IFERROR(VLOOKUP(VLOOKUP($B48, Dependencies!$B$2:$G$230, 4,FALSE),$B$14:AI$73, AI$74,FALSE),"o")=$D$4,IFERROR(VLOOKUP(VLOOKUP($B48, Dependencies!$B$2:$G$230, 5,FALSE),$B$14:AI$73, AI$74,FALSE),"o")=$D$4,IFERROR(VLOOKUP(VLOOKUP($B48, Dependencies!$B$2:$G$230, 6,FALSE),$B$14:AI$73, AI$74,FALSE),"o")=$D$4),$D$4,IF(OR(IFERROR(VLOOKUP(VLOOKUP($B48, Dependencies!$B$2:$G$230, 2,FALSE), $B$14:AI$73, AI$74,FALSE),"o")=$D$5,IFERROR(VLOOKUP(VLOOKUP($B48, Dependencies!$B$2:$G$230, 3,FALSE), $B$14:AI$73, AI$74,FALSE),"o")=$D$5,IFERROR(VLOOKUP(VLOOKUP($B48, Dependencies!$B$2:$G$230, 4,FALSE), $B$14:AI$73, AI$74,FALSE),"o")=$D$5,IFERROR(VLOOKUP(VLOOKUP($B48, Dependencies!$B$2:$G$230, 5,FALSE), $B$14:AI$73, AI$74,FALSE),"o")=$D$5,IFERROR(VLOOKUP(VLOOKUP($B48, Dependencies!$B$2:$G$230, 6,FALSE), $B$14:AI$73, AI$74,FALSE),"o")=$D$5),$D$5,AH48)))</f>
        <v>o</v>
      </c>
      <c r="AJ48" s="93" t="s">
        <v>323</v>
      </c>
      <c r="AK48" s="70" t="str">
        <f>IF(AJ48=$D$4,AJ48,IF(OR(IFERROR(VLOOKUP(VLOOKUP($B48, Dependencies!$B$2:$G$230, 2,FALSE),$B$14:AK$73, AK$74,FALSE),"o")=$D$4,IFERROR(VLOOKUP(VLOOKUP($B48, Dependencies!$B$2:$G$230, 3,FALSE),$B$14:AK$73, AK$74,FALSE),"o")=$D$4,IFERROR(VLOOKUP(VLOOKUP($B48, Dependencies!$B$2:$G$230, 4,FALSE),$B$14:AK$73, AK$74,FALSE),"o")=$D$4,IFERROR(VLOOKUP(VLOOKUP($B48, Dependencies!$B$2:$G$230, 5,FALSE),$B$14:AK$73, AK$74,FALSE),"o")=$D$4,IFERROR(VLOOKUP(VLOOKUP($B48, Dependencies!$B$2:$G$230, 6,FALSE),$B$14:AK$73, AK$74,FALSE),"o")=$D$4),$D$4,IF(OR(IFERROR(VLOOKUP(VLOOKUP($B48, Dependencies!$B$2:$G$230, 2,FALSE), $B$14:AK$73, AK$74,FALSE),"o")=$D$5,IFERROR(VLOOKUP(VLOOKUP($B48, Dependencies!$B$2:$G$230, 3,FALSE), $B$14:AK$73, AK$74,FALSE),"o")=$D$5,IFERROR(VLOOKUP(VLOOKUP($B48, Dependencies!$B$2:$G$230, 4,FALSE), $B$14:AK$73, AK$74,FALSE),"o")=$D$5,IFERROR(VLOOKUP(VLOOKUP($B48, Dependencies!$B$2:$G$230, 5,FALSE), $B$14:AK$73, AK$74,FALSE),"o")=$D$5,IFERROR(VLOOKUP(VLOOKUP($B48, Dependencies!$B$2:$G$230, 6,FALSE), $B$14:AK$73, AK$74,FALSE),"o")=$D$5),$D$5,AJ48)))</f>
        <v>o</v>
      </c>
      <c r="AL48" s="93" t="s">
        <v>323</v>
      </c>
      <c r="AM48" s="70" t="str">
        <f>IF(AL48=$D$4,AL48,IF(OR(IFERROR(VLOOKUP(VLOOKUP($B48, Dependencies!$B$2:$G$230, 2,FALSE),$B$14:AM$73, AM$74,FALSE),"o")=$D$4,IFERROR(VLOOKUP(VLOOKUP($B48, Dependencies!$B$2:$G$230, 3,FALSE),$B$14:AM$73, AM$74,FALSE),"o")=$D$4,IFERROR(VLOOKUP(VLOOKUP($B48, Dependencies!$B$2:$G$230, 4,FALSE),$B$14:AM$73, AM$74,FALSE),"o")=$D$4,IFERROR(VLOOKUP(VLOOKUP($B48, Dependencies!$B$2:$G$230, 5,FALSE),$B$14:AM$73, AM$74,FALSE),"o")=$D$4,IFERROR(VLOOKUP(VLOOKUP($B48, Dependencies!$B$2:$G$230, 6,FALSE),$B$14:AM$73, AM$74,FALSE),"o")=$D$4),$D$4,IF(OR(IFERROR(VLOOKUP(VLOOKUP($B48, Dependencies!$B$2:$G$230, 2,FALSE), $B$14:AM$73, AM$74,FALSE),"o")=$D$5,IFERROR(VLOOKUP(VLOOKUP($B48, Dependencies!$B$2:$G$230, 3,FALSE), $B$14:AM$73, AM$74,FALSE),"o")=$D$5,IFERROR(VLOOKUP(VLOOKUP($B48, Dependencies!$B$2:$G$230, 4,FALSE), $B$14:AM$73, AM$74,FALSE),"o")=$D$5,IFERROR(VLOOKUP(VLOOKUP($B48, Dependencies!$B$2:$G$230, 5,FALSE), $B$14:AM$73, AM$74,FALSE),"o")=$D$5,IFERROR(VLOOKUP(VLOOKUP($B48, Dependencies!$B$2:$G$230, 6,FALSE), $B$14:AM$73, AM$74,FALSE),"o")=$D$5),$D$5,AL48)))</f>
        <v>o</v>
      </c>
      <c r="AN48" s="93" t="s">
        <v>323</v>
      </c>
      <c r="AO48" s="70" t="str">
        <f>IF(AN48=$D$4,AN48,IF(OR(IFERROR(VLOOKUP(VLOOKUP($B48, Dependencies!$B$2:$G$230, 2,FALSE),$B$14:AO$73, AO$74,FALSE),"o")=$D$4,IFERROR(VLOOKUP(VLOOKUP($B48, Dependencies!$B$2:$G$230, 3,FALSE),$B$14:AO$73, AO$74,FALSE),"o")=$D$4,IFERROR(VLOOKUP(VLOOKUP($B48, Dependencies!$B$2:$G$230, 4,FALSE),$B$14:AO$73, AO$74,FALSE),"o")=$D$4,IFERROR(VLOOKUP(VLOOKUP($B48, Dependencies!$B$2:$G$230, 5,FALSE),$B$14:AO$73, AO$74,FALSE),"o")=$D$4,IFERROR(VLOOKUP(VLOOKUP($B48, Dependencies!$B$2:$G$230, 6,FALSE),$B$14:AO$73, AO$74,FALSE),"o")=$D$4),$D$4,IF(OR(IFERROR(VLOOKUP(VLOOKUP($B48, Dependencies!$B$2:$G$230, 2,FALSE), $B$14:AO$73, AO$74,FALSE),"o")=$D$5,IFERROR(VLOOKUP(VLOOKUP($B48, Dependencies!$B$2:$G$230, 3,FALSE), $B$14:AO$73, AO$74,FALSE),"o")=$D$5,IFERROR(VLOOKUP(VLOOKUP($B48, Dependencies!$B$2:$G$230, 4,FALSE), $B$14:AO$73, AO$74,FALSE),"o")=$D$5,IFERROR(VLOOKUP(VLOOKUP($B48, Dependencies!$B$2:$G$230, 5,FALSE), $B$14:AO$73, AO$74,FALSE),"o")=$D$5,IFERROR(VLOOKUP(VLOOKUP($B48, Dependencies!$B$2:$G$230, 6,FALSE), $B$14:AO$73, AO$74,FALSE),"o")=$D$5),$D$5,AN48)))</f>
        <v>o</v>
      </c>
      <c r="AP48" s="93" t="s">
        <v>323</v>
      </c>
      <c r="AQ48" s="70" t="str">
        <f>IF(AP48=$D$4,AP48,IF(OR(IFERROR(VLOOKUP(VLOOKUP($B48, Dependencies!$B$2:$G$230, 2,FALSE),$B$14:AQ$73, AQ$74,FALSE),"o")=$D$4,IFERROR(VLOOKUP(VLOOKUP($B48, Dependencies!$B$2:$G$230, 3,FALSE),$B$14:AQ$73, AQ$74,FALSE),"o")=$D$4,IFERROR(VLOOKUP(VLOOKUP($B48, Dependencies!$B$2:$G$230, 4,FALSE),$B$14:AQ$73, AQ$74,FALSE),"o")=$D$4,IFERROR(VLOOKUP(VLOOKUP($B48, Dependencies!$B$2:$G$230, 5,FALSE),$B$14:AQ$73, AQ$74,FALSE),"o")=$D$4,IFERROR(VLOOKUP(VLOOKUP($B48, Dependencies!$B$2:$G$230, 6,FALSE),$B$14:AQ$73, AQ$74,FALSE),"o")=$D$4),$D$4,IF(OR(IFERROR(VLOOKUP(VLOOKUP($B48, Dependencies!$B$2:$G$230, 2,FALSE), $B$14:AQ$73, AQ$74,FALSE),"o")=$D$5,IFERROR(VLOOKUP(VLOOKUP($B48, Dependencies!$B$2:$G$230, 3,FALSE), $B$14:AQ$73, AQ$74,FALSE),"o")=$D$5,IFERROR(VLOOKUP(VLOOKUP($B48, Dependencies!$B$2:$G$230, 4,FALSE), $B$14:AQ$73, AQ$74,FALSE),"o")=$D$5,IFERROR(VLOOKUP(VLOOKUP($B48, Dependencies!$B$2:$G$230, 5,FALSE), $B$14:AQ$73, AQ$74,FALSE),"o")=$D$5,IFERROR(VLOOKUP(VLOOKUP($B48, Dependencies!$B$2:$G$230, 6,FALSE), $B$14:AQ$73, AQ$74,FALSE),"o")=$D$5),$D$5,AP48)))</f>
        <v>o</v>
      </c>
      <c r="AR48" s="93" t="s">
        <v>323</v>
      </c>
      <c r="AS48" s="69" t="str">
        <f>IF(AR48=$D$4,AR48,IF(OR(IFERROR(VLOOKUP(VLOOKUP($B48, Dependencies!$B$2:$G$230, 2,FALSE),$B$14:AS$73, AS$74,FALSE),"o")=$D$4,IFERROR(VLOOKUP(VLOOKUP($B48, Dependencies!$B$2:$G$230, 3,FALSE),$B$14:AS$73, AS$74,FALSE),"o")=$D$4,IFERROR(VLOOKUP(VLOOKUP($B48, Dependencies!$B$2:$G$230, 4,FALSE),$B$14:AS$73, AS$74,FALSE),"o")=$D$4,IFERROR(VLOOKUP(VLOOKUP($B48, Dependencies!$B$2:$G$230, 5,FALSE),$B$14:AS$73, AS$74,FALSE),"o")=$D$4,IFERROR(VLOOKUP(VLOOKUP($B48, Dependencies!$B$2:$G$230, 6,FALSE),$B$14:AS$73, AS$74,FALSE),"o")=$D$4),$D$4,IF(OR(IFERROR(VLOOKUP(VLOOKUP($B48, Dependencies!$B$2:$G$230, 2,FALSE), $B$14:AS$73, AS$74,FALSE),"o")=$D$5,IFERROR(VLOOKUP(VLOOKUP($B48, Dependencies!$B$2:$G$230, 3,FALSE), $B$14:AS$73, AS$74,FALSE),"o")=$D$5,IFERROR(VLOOKUP(VLOOKUP($B48, Dependencies!$B$2:$G$230, 4,FALSE), $B$14:AS$73, AS$74,FALSE),"o")=$D$5,IFERROR(VLOOKUP(VLOOKUP($B48, Dependencies!$B$2:$G$230, 5,FALSE), $B$14:AS$73, AS$74,FALSE),"o")=$D$5,IFERROR(VLOOKUP(VLOOKUP($B48, Dependencies!$B$2:$G$230, 6,FALSE), $B$14:AS$73, AS$74,FALSE),"o")=$D$5),$D$5,AR48)))</f>
        <v>o</v>
      </c>
    </row>
    <row r="49" spans="1:45" x14ac:dyDescent="0.2">
      <c r="A49" s="40"/>
      <c r="B49" s="74" t="str">
        <f>MLEOsv2!A37</f>
        <v>MLEO_01_15</v>
      </c>
      <c r="C49" s="74">
        <f>MLEOsv2!C37</f>
        <v>5</v>
      </c>
      <c r="D49" s="44" t="str">
        <f>MLEOsv2!G37</f>
        <v>use the java LocalDate class.</v>
      </c>
      <c r="E49" s="68" t="b">
        <f>MLEOsv2!H37</f>
        <v>0</v>
      </c>
      <c r="F49" s="94" t="s">
        <v>320</v>
      </c>
      <c r="G49" s="72" t="str">
        <f>IF(F49=$D$4,F49,IF(OR(IFERROR(VLOOKUP(VLOOKUP($B49, Dependencies!$B$2:$G$230, 2,FALSE),$B$14:G$73, G$74,FALSE),"o")=$D$4,IFERROR(VLOOKUP(VLOOKUP($B49, Dependencies!$B$2:$G$230, 3,FALSE),$B$14:G$73, G$74,FALSE),"o")=$D$4,IFERROR(VLOOKUP(VLOOKUP($B49, Dependencies!$B$2:$G$230, 4,FALSE),$B$14:G$73, G$74,FALSE),"o")=$D$4,IFERROR(VLOOKUP(VLOOKUP($B49, Dependencies!$B$2:$G$230, 5,FALSE),$B$14:G$73, G$74,FALSE),"o")=$D$4,IFERROR(VLOOKUP(VLOOKUP($B49, Dependencies!$B$2:$G$230, 6,FALSE),$B$14:G$73, G$74,FALSE),"o")=$D$4),$D$4,IF(OR(IFERROR(VLOOKUP(VLOOKUP($B49, Dependencies!$B$2:$G$230, 2,FALSE), $B$14:G$73, G$74,FALSE),"o")=$D$5,IFERROR(VLOOKUP(VLOOKUP($B49, Dependencies!$B$2:$G$230, 3,FALSE), $B$14:G$73, G$74,FALSE),"o")=$D$5,IFERROR(VLOOKUP(VLOOKUP($B49, Dependencies!$B$2:$G$230, 4,FALSE), $B$14:G$73, G$74,FALSE),"o")=$D$5,IFERROR(VLOOKUP(VLOOKUP($B49, Dependencies!$B$2:$G$230, 5,FALSE), $B$14:G$73, G$74,FALSE),"o")=$D$5,IFERROR(VLOOKUP(VLOOKUP($B49, Dependencies!$B$2:$G$230, 6,FALSE), $B$14:G$73, G$74,FALSE),"o")=$D$5),$D$5,F49)))</f>
        <v>r</v>
      </c>
      <c r="H49" s="94" t="s">
        <v>321</v>
      </c>
      <c r="I49" s="72" t="str">
        <f>IF(H49=$D$4,H49,IF(OR(IFERROR(VLOOKUP(VLOOKUP($B49, Dependencies!$B$2:$G$230, 2,FALSE),$B$14:I$73, I$74,FALSE),"o")=$D$4,IFERROR(VLOOKUP(VLOOKUP($B49, Dependencies!$B$2:$G$230, 3,FALSE),$B$14:I$73, I$74,FALSE),"o")=$D$4,IFERROR(VLOOKUP(VLOOKUP($B49, Dependencies!$B$2:$G$230, 4,FALSE),$B$14:I$73, I$74,FALSE),"o")=$D$4,IFERROR(VLOOKUP(VLOOKUP($B49, Dependencies!$B$2:$G$230, 5,FALSE),$B$14:I$73, I$74,FALSE),"o")=$D$4,IFERROR(VLOOKUP(VLOOKUP($B49, Dependencies!$B$2:$G$230, 6,FALSE),$B$14:I$73, I$74,FALSE),"o")=$D$4),$D$4,IF(OR(IFERROR(VLOOKUP(VLOOKUP($B49, Dependencies!$B$2:$G$230, 2,FALSE), $B$14:I$73, I$74,FALSE),"o")=$D$5,IFERROR(VLOOKUP(VLOOKUP($B49, Dependencies!$B$2:$G$230, 3,FALSE), $B$14:I$73, I$74,FALSE),"o")=$D$5,IFERROR(VLOOKUP(VLOOKUP($B49, Dependencies!$B$2:$G$230, 4,FALSE), $B$14:I$73, I$74,FALSE),"o")=$D$5,IFERROR(VLOOKUP(VLOOKUP($B49, Dependencies!$B$2:$G$230, 5,FALSE), $B$14:I$73, I$74,FALSE),"o")=$D$5,IFERROR(VLOOKUP(VLOOKUP($B49, Dependencies!$B$2:$G$230, 6,FALSE), $B$14:I$73, I$74,FALSE),"o")=$D$5),$D$5,H49)))</f>
        <v>pr</v>
      </c>
      <c r="J49" s="94" t="s">
        <v>320</v>
      </c>
      <c r="K49" s="72" t="str">
        <f>IF(J49=$D$4,J49,IF(OR(IFERROR(VLOOKUP(VLOOKUP($B49, Dependencies!$B$2:$G$230, 2,FALSE),$B$14:K$73, K$74,FALSE),"o")=$D$4,IFERROR(VLOOKUP(VLOOKUP($B49, Dependencies!$B$2:$G$230, 3,FALSE),$B$14:K$73, K$74,FALSE),"o")=$D$4,IFERROR(VLOOKUP(VLOOKUP($B49, Dependencies!$B$2:$G$230, 4,FALSE),$B$14:K$73, K$74,FALSE),"o")=$D$4,IFERROR(VLOOKUP(VLOOKUP($B49, Dependencies!$B$2:$G$230, 5,FALSE),$B$14:K$73, K$74,FALSE),"o")=$D$4,IFERROR(VLOOKUP(VLOOKUP($B49, Dependencies!$B$2:$G$230, 6,FALSE),$B$14:K$73, K$74,FALSE),"o")=$D$4),$D$4,IF(OR(IFERROR(VLOOKUP(VLOOKUP($B49, Dependencies!$B$2:$G$230, 2,FALSE), $B$14:K$73, K$74,FALSE),"o")=$D$5,IFERROR(VLOOKUP(VLOOKUP($B49, Dependencies!$B$2:$G$230, 3,FALSE), $B$14:K$73, K$74,FALSE),"o")=$D$5,IFERROR(VLOOKUP(VLOOKUP($B49, Dependencies!$B$2:$G$230, 4,FALSE), $B$14:K$73, K$74,FALSE),"o")=$D$5,IFERROR(VLOOKUP(VLOOKUP($B49, Dependencies!$B$2:$G$230, 5,FALSE), $B$14:K$73, K$74,FALSE),"o")=$D$5,IFERROR(VLOOKUP(VLOOKUP($B49, Dependencies!$B$2:$G$230, 6,FALSE), $B$14:K$73, K$74,FALSE),"o")=$D$5),$D$5,J49)))</f>
        <v>r</v>
      </c>
      <c r="L49" s="94" t="s">
        <v>323</v>
      </c>
      <c r="M49" s="72" t="str">
        <f>IF(L49=$D$4,L49,IF(OR(IFERROR(VLOOKUP(VLOOKUP($B49, Dependencies!$B$2:$G$230, 2,FALSE),$B$14:M$73, M$74,FALSE),"o")=$D$4,IFERROR(VLOOKUP(VLOOKUP($B49, Dependencies!$B$2:$G$230, 3,FALSE),$B$14:M$73, M$74,FALSE),"o")=$D$4,IFERROR(VLOOKUP(VLOOKUP($B49, Dependencies!$B$2:$G$230, 4,FALSE),$B$14:M$73, M$74,FALSE),"o")=$D$4,IFERROR(VLOOKUP(VLOOKUP($B49, Dependencies!$B$2:$G$230, 5,FALSE),$B$14:M$73, M$74,FALSE),"o")=$D$4,IFERROR(VLOOKUP(VLOOKUP($B49, Dependencies!$B$2:$G$230, 6,FALSE),$B$14:M$73, M$74,FALSE),"o")=$D$4),$D$4,IF(OR(IFERROR(VLOOKUP(VLOOKUP($B49, Dependencies!$B$2:$G$230, 2,FALSE), $B$14:M$73, M$74,FALSE),"o")=$D$5,IFERROR(VLOOKUP(VLOOKUP($B49, Dependencies!$B$2:$G$230, 3,FALSE), $B$14:M$73, M$74,FALSE),"o")=$D$5,IFERROR(VLOOKUP(VLOOKUP($B49, Dependencies!$B$2:$G$230, 4,FALSE), $B$14:M$73, M$74,FALSE),"o")=$D$5,IFERROR(VLOOKUP(VLOOKUP($B49, Dependencies!$B$2:$G$230, 5,FALSE), $B$14:M$73, M$74,FALSE),"o")=$D$5,IFERROR(VLOOKUP(VLOOKUP($B49, Dependencies!$B$2:$G$230, 6,FALSE), $B$14:M$73, M$74,FALSE),"o")=$D$5),$D$5,L49)))</f>
        <v>o</v>
      </c>
      <c r="N49" s="94" t="s">
        <v>323</v>
      </c>
      <c r="O49" s="72" t="str">
        <f>IF(N49=$D$4,N49,IF(OR(IFERROR(VLOOKUP(VLOOKUP($B49, Dependencies!$B$2:$G$230, 2,FALSE),$B$14:O$73, O$74,FALSE),"o")=$D$4,IFERROR(VLOOKUP(VLOOKUP($B49, Dependencies!$B$2:$G$230, 3,FALSE),$B$14:O$73, O$74,FALSE),"o")=$D$4,IFERROR(VLOOKUP(VLOOKUP($B49, Dependencies!$B$2:$G$230, 4,FALSE),$B$14:O$73, O$74,FALSE),"o")=$D$4,IFERROR(VLOOKUP(VLOOKUP($B49, Dependencies!$B$2:$G$230, 5,FALSE),$B$14:O$73, O$74,FALSE),"o")=$D$4,IFERROR(VLOOKUP(VLOOKUP($B49, Dependencies!$B$2:$G$230, 6,FALSE),$B$14:O$73, O$74,FALSE),"o")=$D$4),$D$4,IF(OR(IFERROR(VLOOKUP(VLOOKUP($B49, Dependencies!$B$2:$G$230, 2,FALSE), $B$14:O$73, O$74,FALSE),"o")=$D$5,IFERROR(VLOOKUP(VLOOKUP($B49, Dependencies!$B$2:$G$230, 3,FALSE), $B$14:O$73, O$74,FALSE),"o")=$D$5,IFERROR(VLOOKUP(VLOOKUP($B49, Dependencies!$B$2:$G$230, 4,FALSE), $B$14:O$73, O$74,FALSE),"o")=$D$5,IFERROR(VLOOKUP(VLOOKUP($B49, Dependencies!$B$2:$G$230, 5,FALSE), $B$14:O$73, O$74,FALSE),"o")=$D$5,IFERROR(VLOOKUP(VLOOKUP($B49, Dependencies!$B$2:$G$230, 6,FALSE), $B$14:O$73, O$74,FALSE),"o")=$D$5),$D$5,N49)))</f>
        <v>o</v>
      </c>
      <c r="P49" s="94" t="s">
        <v>323</v>
      </c>
      <c r="Q49" s="72" t="str">
        <f>IF(P49=$D$4,P49,IF(OR(IFERROR(VLOOKUP(VLOOKUP($B49, Dependencies!$B$2:$G$230, 2,FALSE),$B$14:Q$73, Q$74,FALSE),"o")=$D$4,IFERROR(VLOOKUP(VLOOKUP($B49, Dependencies!$B$2:$G$230, 3,FALSE),$B$14:Q$73, Q$74,FALSE),"o")=$D$4,IFERROR(VLOOKUP(VLOOKUP($B49, Dependencies!$B$2:$G$230, 4,FALSE),$B$14:Q$73, Q$74,FALSE),"o")=$D$4,IFERROR(VLOOKUP(VLOOKUP($B49, Dependencies!$B$2:$G$230, 5,FALSE),$B$14:Q$73, Q$74,FALSE),"o")=$D$4,IFERROR(VLOOKUP(VLOOKUP($B49, Dependencies!$B$2:$G$230, 6,FALSE),$B$14:Q$73, Q$74,FALSE),"o")=$D$4),$D$4,IF(OR(IFERROR(VLOOKUP(VLOOKUP($B49, Dependencies!$B$2:$G$230, 2,FALSE), $B$14:Q$73, Q$74,FALSE),"o")=$D$5,IFERROR(VLOOKUP(VLOOKUP($B49, Dependencies!$B$2:$G$230, 3,FALSE), $B$14:Q$73, Q$74,FALSE),"o")=$D$5,IFERROR(VLOOKUP(VLOOKUP($B49, Dependencies!$B$2:$G$230, 4,FALSE), $B$14:Q$73, Q$74,FALSE),"o")=$D$5,IFERROR(VLOOKUP(VLOOKUP($B49, Dependencies!$B$2:$G$230, 5,FALSE), $B$14:Q$73, Q$74,FALSE),"o")=$D$5,IFERROR(VLOOKUP(VLOOKUP($B49, Dependencies!$B$2:$G$230, 6,FALSE), $B$14:Q$73, Q$74,FALSE),"o")=$D$5),$D$5,P49)))</f>
        <v>o</v>
      </c>
      <c r="R49" s="94" t="s">
        <v>323</v>
      </c>
      <c r="S49" s="72" t="str">
        <f>IF(R49=$D$4,R49,IF(OR(IFERROR(VLOOKUP(VLOOKUP($B49, Dependencies!$B$2:$G$230, 2,FALSE),$B$14:S$73, S$74,FALSE),"o")=$D$4,IFERROR(VLOOKUP(VLOOKUP($B49, Dependencies!$B$2:$G$230, 3,FALSE),$B$14:S$73, S$74,FALSE),"o")=$D$4,IFERROR(VLOOKUP(VLOOKUP($B49, Dependencies!$B$2:$G$230, 4,FALSE),$B$14:S$73, S$74,FALSE),"o")=$D$4,IFERROR(VLOOKUP(VLOOKUP($B49, Dependencies!$B$2:$G$230, 5,FALSE),$B$14:S$73, S$74,FALSE),"o")=$D$4,IFERROR(VLOOKUP(VLOOKUP($B49, Dependencies!$B$2:$G$230, 6,FALSE),$B$14:S$73, S$74,FALSE),"o")=$D$4),$D$4,IF(OR(IFERROR(VLOOKUP(VLOOKUP($B49, Dependencies!$B$2:$G$230, 2,FALSE), $B$14:S$73, S$74,FALSE),"o")=$D$5,IFERROR(VLOOKUP(VLOOKUP($B49, Dependencies!$B$2:$G$230, 3,FALSE), $B$14:S$73, S$74,FALSE),"o")=$D$5,IFERROR(VLOOKUP(VLOOKUP($B49, Dependencies!$B$2:$G$230, 4,FALSE), $B$14:S$73, S$74,FALSE),"o")=$D$5,IFERROR(VLOOKUP(VLOOKUP($B49, Dependencies!$B$2:$G$230, 5,FALSE), $B$14:S$73, S$74,FALSE),"o")=$D$5,IFERROR(VLOOKUP(VLOOKUP($B49, Dependencies!$B$2:$G$230, 6,FALSE), $B$14:S$73, S$74,FALSE),"o")=$D$5),$D$5,R49)))</f>
        <v>o</v>
      </c>
      <c r="T49" s="94" t="s">
        <v>323</v>
      </c>
      <c r="U49" s="72" t="str">
        <f>IF(T49=$D$4,T49,IF(OR(IFERROR(VLOOKUP(VLOOKUP($B49, Dependencies!$B$2:$G$230, 2,FALSE),$B$14:U$73, U$74,FALSE),"o")=$D$4,IFERROR(VLOOKUP(VLOOKUP($B49, Dependencies!$B$2:$G$230, 3,FALSE),$B$14:U$73, U$74,FALSE),"o")=$D$4,IFERROR(VLOOKUP(VLOOKUP($B49, Dependencies!$B$2:$G$230, 4,FALSE),$B$14:U$73, U$74,FALSE),"o")=$D$4,IFERROR(VLOOKUP(VLOOKUP($B49, Dependencies!$B$2:$G$230, 5,FALSE),$B$14:U$73, U$74,FALSE),"o")=$D$4,IFERROR(VLOOKUP(VLOOKUP($B49, Dependencies!$B$2:$G$230, 6,FALSE),$B$14:U$73, U$74,FALSE),"o")=$D$4),$D$4,IF(OR(IFERROR(VLOOKUP(VLOOKUP($B49, Dependencies!$B$2:$G$230, 2,FALSE), $B$14:U$73, U$74,FALSE),"o")=$D$5,IFERROR(VLOOKUP(VLOOKUP($B49, Dependencies!$B$2:$G$230, 3,FALSE), $B$14:U$73, U$74,FALSE),"o")=$D$5,IFERROR(VLOOKUP(VLOOKUP($B49, Dependencies!$B$2:$G$230, 4,FALSE), $B$14:U$73, U$74,FALSE),"o")=$D$5,IFERROR(VLOOKUP(VLOOKUP($B49, Dependencies!$B$2:$G$230, 5,FALSE), $B$14:U$73, U$74,FALSE),"o")=$D$5,IFERROR(VLOOKUP(VLOOKUP($B49, Dependencies!$B$2:$G$230, 6,FALSE), $B$14:U$73, U$74,FALSE),"o")=$D$5),$D$5,T49)))</f>
        <v>o</v>
      </c>
      <c r="V49" s="94" t="s">
        <v>323</v>
      </c>
      <c r="W49" s="72" t="str">
        <f>IF(V49=$D$4,V49,IF(OR(IFERROR(VLOOKUP(VLOOKUP($B49, Dependencies!$B$2:$G$230, 2,FALSE),$B$14:W$73, W$74,FALSE),"o")=$D$4,IFERROR(VLOOKUP(VLOOKUP($B49, Dependencies!$B$2:$G$230, 3,FALSE),$B$14:W$73, W$74,FALSE),"o")=$D$4,IFERROR(VLOOKUP(VLOOKUP($B49, Dependencies!$B$2:$G$230, 4,FALSE),$B$14:W$73, W$74,FALSE),"o")=$D$4,IFERROR(VLOOKUP(VLOOKUP($B49, Dependencies!$B$2:$G$230, 5,FALSE),$B$14:W$73, W$74,FALSE),"o")=$D$4,IFERROR(VLOOKUP(VLOOKUP($B49, Dependencies!$B$2:$G$230, 6,FALSE),$B$14:W$73, W$74,FALSE),"o")=$D$4),$D$4,IF(OR(IFERROR(VLOOKUP(VLOOKUP($B49, Dependencies!$B$2:$G$230, 2,FALSE), $B$14:W$73, W$74,FALSE),"o")=$D$5,IFERROR(VLOOKUP(VLOOKUP($B49, Dependencies!$B$2:$G$230, 3,FALSE), $B$14:W$73, W$74,FALSE),"o")=$D$5,IFERROR(VLOOKUP(VLOOKUP($B49, Dependencies!$B$2:$G$230, 4,FALSE), $B$14:W$73, W$74,FALSE),"o")=$D$5,IFERROR(VLOOKUP(VLOOKUP($B49, Dependencies!$B$2:$G$230, 5,FALSE), $B$14:W$73, W$74,FALSE),"o")=$D$5,IFERROR(VLOOKUP(VLOOKUP($B49, Dependencies!$B$2:$G$230, 6,FALSE), $B$14:W$73, W$74,FALSE),"o")=$D$5),$D$5,V49)))</f>
        <v>o</v>
      </c>
      <c r="X49" s="94" t="s">
        <v>323</v>
      </c>
      <c r="Y49" s="72" t="str">
        <f>IF(X49=$D$4,X49,IF(OR(IFERROR(VLOOKUP(VLOOKUP($B49, Dependencies!$B$2:$G$230, 2,FALSE),$B$14:Y$73, Y$74,FALSE),"o")=$D$4,IFERROR(VLOOKUP(VLOOKUP($B49, Dependencies!$B$2:$G$230, 3,FALSE),$B$14:Y$73, Y$74,FALSE),"o")=$D$4,IFERROR(VLOOKUP(VLOOKUP($B49, Dependencies!$B$2:$G$230, 4,FALSE),$B$14:Y$73, Y$74,FALSE),"o")=$D$4,IFERROR(VLOOKUP(VLOOKUP($B49, Dependencies!$B$2:$G$230, 5,FALSE),$B$14:Y$73, Y$74,FALSE),"o")=$D$4,IFERROR(VLOOKUP(VLOOKUP($B49, Dependencies!$B$2:$G$230, 6,FALSE),$B$14:Y$73, Y$74,FALSE),"o")=$D$4),$D$4,IF(OR(IFERROR(VLOOKUP(VLOOKUP($B49, Dependencies!$B$2:$G$230, 2,FALSE), $B$14:Y$73, Y$74,FALSE),"o")=$D$5,IFERROR(VLOOKUP(VLOOKUP($B49, Dependencies!$B$2:$G$230, 3,FALSE), $B$14:Y$73, Y$74,FALSE),"o")=$D$5,IFERROR(VLOOKUP(VLOOKUP($B49, Dependencies!$B$2:$G$230, 4,FALSE), $B$14:Y$73, Y$74,FALSE),"o")=$D$5,IFERROR(VLOOKUP(VLOOKUP($B49, Dependencies!$B$2:$G$230, 5,FALSE), $B$14:Y$73, Y$74,FALSE),"o")=$D$5,IFERROR(VLOOKUP(VLOOKUP($B49, Dependencies!$B$2:$G$230, 6,FALSE), $B$14:Y$73, Y$74,FALSE),"o")=$D$5),$D$5,X49)))</f>
        <v>o</v>
      </c>
      <c r="Z49" s="94" t="s">
        <v>323</v>
      </c>
      <c r="AA49" s="72" t="str">
        <f>IF(Z49=$D$4,Z49,IF(OR(IFERROR(VLOOKUP(VLOOKUP($B49, Dependencies!$B$2:$G$230, 2,FALSE),$B$14:AA$73, AA$74,FALSE),"o")=$D$4,IFERROR(VLOOKUP(VLOOKUP($B49, Dependencies!$B$2:$G$230, 3,FALSE),$B$14:AA$73, AA$74,FALSE),"o")=$D$4,IFERROR(VLOOKUP(VLOOKUP($B49, Dependencies!$B$2:$G$230, 4,FALSE),$B$14:AA$73, AA$74,FALSE),"o")=$D$4,IFERROR(VLOOKUP(VLOOKUP($B49, Dependencies!$B$2:$G$230, 5,FALSE),$B$14:AA$73, AA$74,FALSE),"o")=$D$4,IFERROR(VLOOKUP(VLOOKUP($B49, Dependencies!$B$2:$G$230, 6,FALSE),$B$14:AA$73, AA$74,FALSE),"o")=$D$4),$D$4,IF(OR(IFERROR(VLOOKUP(VLOOKUP($B49, Dependencies!$B$2:$G$230, 2,FALSE), $B$14:AA$73, AA$74,FALSE),"o")=$D$5,IFERROR(VLOOKUP(VLOOKUP($B49, Dependencies!$B$2:$G$230, 3,FALSE), $B$14:AA$73, AA$74,FALSE),"o")=$D$5,IFERROR(VLOOKUP(VLOOKUP($B49, Dependencies!$B$2:$G$230, 4,FALSE), $B$14:AA$73, AA$74,FALSE),"o")=$D$5,IFERROR(VLOOKUP(VLOOKUP($B49, Dependencies!$B$2:$G$230, 5,FALSE), $B$14:AA$73, AA$74,FALSE),"o")=$D$5,IFERROR(VLOOKUP(VLOOKUP($B49, Dependencies!$B$2:$G$230, 6,FALSE), $B$14:AA$73, AA$74,FALSE),"o")=$D$5),$D$5,Z49)))</f>
        <v>o</v>
      </c>
      <c r="AB49" s="94" t="s">
        <v>323</v>
      </c>
      <c r="AC49" s="72" t="str">
        <f>IF(AB49=$D$4,AB49,IF(OR(IFERROR(VLOOKUP(VLOOKUP($B49, Dependencies!$B$2:$G$230, 2,FALSE),$B$14:AC$73, AC$74,FALSE),"o")=$D$4,IFERROR(VLOOKUP(VLOOKUP($B49, Dependencies!$B$2:$G$230, 3,FALSE),$B$14:AC$73, AC$74,FALSE),"o")=$D$4,IFERROR(VLOOKUP(VLOOKUP($B49, Dependencies!$B$2:$G$230, 4,FALSE),$B$14:AC$73, AC$74,FALSE),"o")=$D$4,IFERROR(VLOOKUP(VLOOKUP($B49, Dependencies!$B$2:$G$230, 5,FALSE),$B$14:AC$73, AC$74,FALSE),"o")=$D$4,IFERROR(VLOOKUP(VLOOKUP($B49, Dependencies!$B$2:$G$230, 6,FALSE),$B$14:AC$73, AC$74,FALSE),"o")=$D$4),$D$4,IF(OR(IFERROR(VLOOKUP(VLOOKUP($B49, Dependencies!$B$2:$G$230, 2,FALSE), $B$14:AC$73, AC$74,FALSE),"o")=$D$5,IFERROR(VLOOKUP(VLOOKUP($B49, Dependencies!$B$2:$G$230, 3,FALSE), $B$14:AC$73, AC$74,FALSE),"o")=$D$5,IFERROR(VLOOKUP(VLOOKUP($B49, Dependencies!$B$2:$G$230, 4,FALSE), $B$14:AC$73, AC$74,FALSE),"o")=$D$5,IFERROR(VLOOKUP(VLOOKUP($B49, Dependencies!$B$2:$G$230, 5,FALSE), $B$14:AC$73, AC$74,FALSE),"o")=$D$5,IFERROR(VLOOKUP(VLOOKUP($B49, Dependencies!$B$2:$G$230, 6,FALSE), $B$14:AC$73, AC$74,FALSE),"o")=$D$5),$D$5,AB49)))</f>
        <v>o</v>
      </c>
      <c r="AD49" s="94" t="s">
        <v>323</v>
      </c>
      <c r="AE49" s="72" t="str">
        <f>IF(AD49=$D$4,AD49,IF(OR(IFERROR(VLOOKUP(VLOOKUP($B49, Dependencies!$B$2:$G$230, 2,FALSE),$B$14:AE$73, AE$74,FALSE),"o")=$D$4,IFERROR(VLOOKUP(VLOOKUP($B49, Dependencies!$B$2:$G$230, 3,FALSE),$B$14:AE$73, AE$74,FALSE),"o")=$D$4,IFERROR(VLOOKUP(VLOOKUP($B49, Dependencies!$B$2:$G$230, 4,FALSE),$B$14:AE$73, AE$74,FALSE),"o")=$D$4,IFERROR(VLOOKUP(VLOOKUP($B49, Dependencies!$B$2:$G$230, 5,FALSE),$B$14:AE$73, AE$74,FALSE),"o")=$D$4,IFERROR(VLOOKUP(VLOOKUP($B49, Dependencies!$B$2:$G$230, 6,FALSE),$B$14:AE$73, AE$74,FALSE),"o")=$D$4),$D$4,IF(OR(IFERROR(VLOOKUP(VLOOKUP($B49, Dependencies!$B$2:$G$230, 2,FALSE), $B$14:AE$73, AE$74,FALSE),"o")=$D$5,IFERROR(VLOOKUP(VLOOKUP($B49, Dependencies!$B$2:$G$230, 3,FALSE), $B$14:AE$73, AE$74,FALSE),"o")=$D$5,IFERROR(VLOOKUP(VLOOKUP($B49, Dependencies!$B$2:$G$230, 4,FALSE), $B$14:AE$73, AE$74,FALSE),"o")=$D$5,IFERROR(VLOOKUP(VLOOKUP($B49, Dependencies!$B$2:$G$230, 5,FALSE), $B$14:AE$73, AE$74,FALSE),"o")=$D$5,IFERROR(VLOOKUP(VLOOKUP($B49, Dependencies!$B$2:$G$230, 6,FALSE), $B$14:AE$73, AE$74,FALSE),"o")=$D$5),$D$5,AD49)))</f>
        <v>o</v>
      </c>
      <c r="AF49" s="94" t="s">
        <v>323</v>
      </c>
      <c r="AG49" s="72" t="str">
        <f>IF(AF49=$D$4,AF49,IF(OR(IFERROR(VLOOKUP(VLOOKUP($B49, Dependencies!$B$2:$G$230, 2,FALSE),$B$14:AG$73, AG$74,FALSE),"o")=$D$4,IFERROR(VLOOKUP(VLOOKUP($B49, Dependencies!$B$2:$G$230, 3,FALSE),$B$14:AG$73, AG$74,FALSE),"o")=$D$4,IFERROR(VLOOKUP(VLOOKUP($B49, Dependencies!$B$2:$G$230, 4,FALSE),$B$14:AG$73, AG$74,FALSE),"o")=$D$4,IFERROR(VLOOKUP(VLOOKUP($B49, Dependencies!$B$2:$G$230, 5,FALSE),$B$14:AG$73, AG$74,FALSE),"o")=$D$4,IFERROR(VLOOKUP(VLOOKUP($B49, Dependencies!$B$2:$G$230, 6,FALSE),$B$14:AG$73, AG$74,FALSE),"o")=$D$4),$D$4,IF(OR(IFERROR(VLOOKUP(VLOOKUP($B49, Dependencies!$B$2:$G$230, 2,FALSE), $B$14:AG$73, AG$74,FALSE),"o")=$D$5,IFERROR(VLOOKUP(VLOOKUP($B49, Dependencies!$B$2:$G$230, 3,FALSE), $B$14:AG$73, AG$74,FALSE),"o")=$D$5,IFERROR(VLOOKUP(VLOOKUP($B49, Dependencies!$B$2:$G$230, 4,FALSE), $B$14:AG$73, AG$74,FALSE),"o")=$D$5,IFERROR(VLOOKUP(VLOOKUP($B49, Dependencies!$B$2:$G$230, 5,FALSE), $B$14:AG$73, AG$74,FALSE),"o")=$D$5,IFERROR(VLOOKUP(VLOOKUP($B49, Dependencies!$B$2:$G$230, 6,FALSE), $B$14:AG$73, AG$74,FALSE),"o")=$D$5),$D$5,AF49)))</f>
        <v>o</v>
      </c>
      <c r="AH49" s="94" t="s">
        <v>323</v>
      </c>
      <c r="AI49" s="72" t="str">
        <f>IF(AH49=$D$4,AH49,IF(OR(IFERROR(VLOOKUP(VLOOKUP($B49, Dependencies!$B$2:$G$230, 2,FALSE),$B$14:AI$73, AI$74,FALSE),"o")=$D$4,IFERROR(VLOOKUP(VLOOKUP($B49, Dependencies!$B$2:$G$230, 3,FALSE),$B$14:AI$73, AI$74,FALSE),"o")=$D$4,IFERROR(VLOOKUP(VLOOKUP($B49, Dependencies!$B$2:$G$230, 4,FALSE),$B$14:AI$73, AI$74,FALSE),"o")=$D$4,IFERROR(VLOOKUP(VLOOKUP($B49, Dependencies!$B$2:$G$230, 5,FALSE),$B$14:AI$73, AI$74,FALSE),"o")=$D$4,IFERROR(VLOOKUP(VLOOKUP($B49, Dependencies!$B$2:$G$230, 6,FALSE),$B$14:AI$73, AI$74,FALSE),"o")=$D$4),$D$4,IF(OR(IFERROR(VLOOKUP(VLOOKUP($B49, Dependencies!$B$2:$G$230, 2,FALSE), $B$14:AI$73, AI$74,FALSE),"o")=$D$5,IFERROR(VLOOKUP(VLOOKUP($B49, Dependencies!$B$2:$G$230, 3,FALSE), $B$14:AI$73, AI$74,FALSE),"o")=$D$5,IFERROR(VLOOKUP(VLOOKUP($B49, Dependencies!$B$2:$G$230, 4,FALSE), $B$14:AI$73, AI$74,FALSE),"o")=$D$5,IFERROR(VLOOKUP(VLOOKUP($B49, Dependencies!$B$2:$G$230, 5,FALSE), $B$14:AI$73, AI$74,FALSE),"o")=$D$5,IFERROR(VLOOKUP(VLOOKUP($B49, Dependencies!$B$2:$G$230, 6,FALSE), $B$14:AI$73, AI$74,FALSE),"o")=$D$5),$D$5,AH49)))</f>
        <v>o</v>
      </c>
      <c r="AJ49" s="94" t="s">
        <v>323</v>
      </c>
      <c r="AK49" s="72" t="str">
        <f>IF(AJ49=$D$4,AJ49,IF(OR(IFERROR(VLOOKUP(VLOOKUP($B49, Dependencies!$B$2:$G$230, 2,FALSE),$B$14:AK$73, AK$74,FALSE),"o")=$D$4,IFERROR(VLOOKUP(VLOOKUP($B49, Dependencies!$B$2:$G$230, 3,FALSE),$B$14:AK$73, AK$74,FALSE),"o")=$D$4,IFERROR(VLOOKUP(VLOOKUP($B49, Dependencies!$B$2:$G$230, 4,FALSE),$B$14:AK$73, AK$74,FALSE),"o")=$D$4,IFERROR(VLOOKUP(VLOOKUP($B49, Dependencies!$B$2:$G$230, 5,FALSE),$B$14:AK$73, AK$74,FALSE),"o")=$D$4,IFERROR(VLOOKUP(VLOOKUP($B49, Dependencies!$B$2:$G$230, 6,FALSE),$B$14:AK$73, AK$74,FALSE),"o")=$D$4),$D$4,IF(OR(IFERROR(VLOOKUP(VLOOKUP($B49, Dependencies!$B$2:$G$230, 2,FALSE), $B$14:AK$73, AK$74,FALSE),"o")=$D$5,IFERROR(VLOOKUP(VLOOKUP($B49, Dependencies!$B$2:$G$230, 3,FALSE), $B$14:AK$73, AK$74,FALSE),"o")=$D$5,IFERROR(VLOOKUP(VLOOKUP($B49, Dependencies!$B$2:$G$230, 4,FALSE), $B$14:AK$73, AK$74,FALSE),"o")=$D$5,IFERROR(VLOOKUP(VLOOKUP($B49, Dependencies!$B$2:$G$230, 5,FALSE), $B$14:AK$73, AK$74,FALSE),"o")=$D$5,IFERROR(VLOOKUP(VLOOKUP($B49, Dependencies!$B$2:$G$230, 6,FALSE), $B$14:AK$73, AK$74,FALSE),"o")=$D$5),$D$5,AJ49)))</f>
        <v>o</v>
      </c>
      <c r="AL49" s="94" t="s">
        <v>323</v>
      </c>
      <c r="AM49" s="72" t="str">
        <f>IF(AL49=$D$4,AL49,IF(OR(IFERROR(VLOOKUP(VLOOKUP($B49, Dependencies!$B$2:$G$230, 2,FALSE),$B$14:AM$73, AM$74,FALSE),"o")=$D$4,IFERROR(VLOOKUP(VLOOKUP($B49, Dependencies!$B$2:$G$230, 3,FALSE),$B$14:AM$73, AM$74,FALSE),"o")=$D$4,IFERROR(VLOOKUP(VLOOKUP($B49, Dependencies!$B$2:$G$230, 4,FALSE),$B$14:AM$73, AM$74,FALSE),"o")=$D$4,IFERROR(VLOOKUP(VLOOKUP($B49, Dependencies!$B$2:$G$230, 5,FALSE),$B$14:AM$73, AM$74,FALSE),"o")=$D$4,IFERROR(VLOOKUP(VLOOKUP($B49, Dependencies!$B$2:$G$230, 6,FALSE),$B$14:AM$73, AM$74,FALSE),"o")=$D$4),$D$4,IF(OR(IFERROR(VLOOKUP(VLOOKUP($B49, Dependencies!$B$2:$G$230, 2,FALSE), $B$14:AM$73, AM$74,FALSE),"o")=$D$5,IFERROR(VLOOKUP(VLOOKUP($B49, Dependencies!$B$2:$G$230, 3,FALSE), $B$14:AM$73, AM$74,FALSE),"o")=$D$5,IFERROR(VLOOKUP(VLOOKUP($B49, Dependencies!$B$2:$G$230, 4,FALSE), $B$14:AM$73, AM$74,FALSE),"o")=$D$5,IFERROR(VLOOKUP(VLOOKUP($B49, Dependencies!$B$2:$G$230, 5,FALSE), $B$14:AM$73, AM$74,FALSE),"o")=$D$5,IFERROR(VLOOKUP(VLOOKUP($B49, Dependencies!$B$2:$G$230, 6,FALSE), $B$14:AM$73, AM$74,FALSE),"o")=$D$5),$D$5,AL49)))</f>
        <v>o</v>
      </c>
      <c r="AN49" s="94" t="s">
        <v>323</v>
      </c>
      <c r="AO49" s="72" t="str">
        <f>IF(AN49=$D$4,AN49,IF(OR(IFERROR(VLOOKUP(VLOOKUP($B49, Dependencies!$B$2:$G$230, 2,FALSE),$B$14:AO$73, AO$74,FALSE),"o")=$D$4,IFERROR(VLOOKUP(VLOOKUP($B49, Dependencies!$B$2:$G$230, 3,FALSE),$B$14:AO$73, AO$74,FALSE),"o")=$D$4,IFERROR(VLOOKUP(VLOOKUP($B49, Dependencies!$B$2:$G$230, 4,FALSE),$B$14:AO$73, AO$74,FALSE),"o")=$D$4,IFERROR(VLOOKUP(VLOOKUP($B49, Dependencies!$B$2:$G$230, 5,FALSE),$B$14:AO$73, AO$74,FALSE),"o")=$D$4,IFERROR(VLOOKUP(VLOOKUP($B49, Dependencies!$B$2:$G$230, 6,FALSE),$B$14:AO$73, AO$74,FALSE),"o")=$D$4),$D$4,IF(OR(IFERROR(VLOOKUP(VLOOKUP($B49, Dependencies!$B$2:$G$230, 2,FALSE), $B$14:AO$73, AO$74,FALSE),"o")=$D$5,IFERROR(VLOOKUP(VLOOKUP($B49, Dependencies!$B$2:$G$230, 3,FALSE), $B$14:AO$73, AO$74,FALSE),"o")=$D$5,IFERROR(VLOOKUP(VLOOKUP($B49, Dependencies!$B$2:$G$230, 4,FALSE), $B$14:AO$73, AO$74,FALSE),"o")=$D$5,IFERROR(VLOOKUP(VLOOKUP($B49, Dependencies!$B$2:$G$230, 5,FALSE), $B$14:AO$73, AO$74,FALSE),"o")=$D$5,IFERROR(VLOOKUP(VLOOKUP($B49, Dependencies!$B$2:$G$230, 6,FALSE), $B$14:AO$73, AO$74,FALSE),"o")=$D$5),$D$5,AN49)))</f>
        <v>o</v>
      </c>
      <c r="AP49" s="94" t="s">
        <v>323</v>
      </c>
      <c r="AQ49" s="72" t="str">
        <f>IF(AP49=$D$4,AP49,IF(OR(IFERROR(VLOOKUP(VLOOKUP($B49, Dependencies!$B$2:$G$230, 2,FALSE),$B$14:AQ$73, AQ$74,FALSE),"o")=$D$4,IFERROR(VLOOKUP(VLOOKUP($B49, Dependencies!$B$2:$G$230, 3,FALSE),$B$14:AQ$73, AQ$74,FALSE),"o")=$D$4,IFERROR(VLOOKUP(VLOOKUP($B49, Dependencies!$B$2:$G$230, 4,FALSE),$B$14:AQ$73, AQ$74,FALSE),"o")=$D$4,IFERROR(VLOOKUP(VLOOKUP($B49, Dependencies!$B$2:$G$230, 5,FALSE),$B$14:AQ$73, AQ$74,FALSE),"o")=$D$4,IFERROR(VLOOKUP(VLOOKUP($B49, Dependencies!$B$2:$G$230, 6,FALSE),$B$14:AQ$73, AQ$74,FALSE),"o")=$D$4),$D$4,IF(OR(IFERROR(VLOOKUP(VLOOKUP($B49, Dependencies!$B$2:$G$230, 2,FALSE), $B$14:AQ$73, AQ$74,FALSE),"o")=$D$5,IFERROR(VLOOKUP(VLOOKUP($B49, Dependencies!$B$2:$G$230, 3,FALSE), $B$14:AQ$73, AQ$74,FALSE),"o")=$D$5,IFERROR(VLOOKUP(VLOOKUP($B49, Dependencies!$B$2:$G$230, 4,FALSE), $B$14:AQ$73, AQ$74,FALSE),"o")=$D$5,IFERROR(VLOOKUP(VLOOKUP($B49, Dependencies!$B$2:$G$230, 5,FALSE), $B$14:AQ$73, AQ$74,FALSE),"o")=$D$5,IFERROR(VLOOKUP(VLOOKUP($B49, Dependencies!$B$2:$G$230, 6,FALSE), $B$14:AQ$73, AQ$74,FALSE),"o")=$D$5),$D$5,AP49)))</f>
        <v>o</v>
      </c>
      <c r="AR49" s="94" t="s">
        <v>323</v>
      </c>
      <c r="AS49" s="71" t="str">
        <f>IF(AR49=$D$4,AR49,IF(OR(IFERROR(VLOOKUP(VLOOKUP($B49, Dependencies!$B$2:$G$230, 2,FALSE),$B$14:AS$73, AS$74,FALSE),"o")=$D$4,IFERROR(VLOOKUP(VLOOKUP($B49, Dependencies!$B$2:$G$230, 3,FALSE),$B$14:AS$73, AS$74,FALSE),"o")=$D$4,IFERROR(VLOOKUP(VLOOKUP($B49, Dependencies!$B$2:$G$230, 4,FALSE),$B$14:AS$73, AS$74,FALSE),"o")=$D$4,IFERROR(VLOOKUP(VLOOKUP($B49, Dependencies!$B$2:$G$230, 5,FALSE),$B$14:AS$73, AS$74,FALSE),"o")=$D$4,IFERROR(VLOOKUP(VLOOKUP($B49, Dependencies!$B$2:$G$230, 6,FALSE),$B$14:AS$73, AS$74,FALSE),"o")=$D$4),$D$4,IF(OR(IFERROR(VLOOKUP(VLOOKUP($B49, Dependencies!$B$2:$G$230, 2,FALSE), $B$14:AS$73, AS$74,FALSE),"o")=$D$5,IFERROR(VLOOKUP(VLOOKUP($B49, Dependencies!$B$2:$G$230, 3,FALSE), $B$14:AS$73, AS$74,FALSE),"o")=$D$5,IFERROR(VLOOKUP(VLOOKUP($B49, Dependencies!$B$2:$G$230, 4,FALSE), $B$14:AS$73, AS$74,FALSE),"o")=$D$5,IFERROR(VLOOKUP(VLOOKUP($B49, Dependencies!$B$2:$G$230, 5,FALSE), $B$14:AS$73, AS$74,FALSE),"o")=$D$5,IFERROR(VLOOKUP(VLOOKUP($B49, Dependencies!$B$2:$G$230, 6,FALSE), $B$14:AS$73, AS$74,FALSE),"o")=$D$5),$D$5,AR49)))</f>
        <v>o</v>
      </c>
    </row>
    <row r="50" spans="1:45" x14ac:dyDescent="0.2">
      <c r="A50" s="40"/>
      <c r="B50" s="73" t="str">
        <f>MLEOsv2!A38</f>
        <v>MLEO_01_16</v>
      </c>
      <c r="C50" s="73">
        <f>MLEOsv2!C38</f>
        <v>5</v>
      </c>
      <c r="D50" s="42" t="str">
        <f>MLEOsv2!G38</f>
        <v>implement simple methods for comparison of objects of the same class.</v>
      </c>
      <c r="E50" s="51" t="b">
        <f>MLEOsv2!H38</f>
        <v>0</v>
      </c>
      <c r="F50" s="93" t="s">
        <v>320</v>
      </c>
      <c r="G50" s="70" t="str">
        <f>IF(F50=$D$4,F50,IF(OR(IFERROR(VLOOKUP(VLOOKUP($B50, Dependencies!$B$2:$G$230, 2,FALSE),$B$14:G$73, G$74,FALSE),"o")=$D$4,IFERROR(VLOOKUP(VLOOKUP($B50, Dependencies!$B$2:$G$230, 3,FALSE),$B$14:G$73, G$74,FALSE),"o")=$D$4,IFERROR(VLOOKUP(VLOOKUP($B50, Dependencies!$B$2:$G$230, 4,FALSE),$B$14:G$73, G$74,FALSE),"o")=$D$4,IFERROR(VLOOKUP(VLOOKUP($B50, Dependencies!$B$2:$G$230, 5,FALSE),$B$14:G$73, G$74,FALSE),"o")=$D$4,IFERROR(VLOOKUP(VLOOKUP($B50, Dependencies!$B$2:$G$230, 6,FALSE),$B$14:G$73, G$74,FALSE),"o")=$D$4),$D$4,IF(OR(IFERROR(VLOOKUP(VLOOKUP($B50, Dependencies!$B$2:$G$230, 2,FALSE), $B$14:G$73, G$74,FALSE),"o")=$D$5,IFERROR(VLOOKUP(VLOOKUP($B50, Dependencies!$B$2:$G$230, 3,FALSE), $B$14:G$73, G$74,FALSE),"o")=$D$5,IFERROR(VLOOKUP(VLOOKUP($B50, Dependencies!$B$2:$G$230, 4,FALSE), $B$14:G$73, G$74,FALSE),"o")=$D$5,IFERROR(VLOOKUP(VLOOKUP($B50, Dependencies!$B$2:$G$230, 5,FALSE), $B$14:G$73, G$74,FALSE),"o")=$D$5,IFERROR(VLOOKUP(VLOOKUP($B50, Dependencies!$B$2:$G$230, 6,FALSE), $B$14:G$73, G$74,FALSE),"o")=$D$5),$D$5,F50)))</f>
        <v>r</v>
      </c>
      <c r="H50" s="93" t="s">
        <v>321</v>
      </c>
      <c r="I50" s="70" t="str">
        <f>IF(H50=$D$4,H50,IF(OR(IFERROR(VLOOKUP(VLOOKUP($B50, Dependencies!$B$2:$G$230, 2,FALSE),$B$14:I$73, I$74,FALSE),"o")=$D$4,IFERROR(VLOOKUP(VLOOKUP($B50, Dependencies!$B$2:$G$230, 3,FALSE),$B$14:I$73, I$74,FALSE),"o")=$D$4,IFERROR(VLOOKUP(VLOOKUP($B50, Dependencies!$B$2:$G$230, 4,FALSE),$B$14:I$73, I$74,FALSE),"o")=$D$4,IFERROR(VLOOKUP(VLOOKUP($B50, Dependencies!$B$2:$G$230, 5,FALSE),$B$14:I$73, I$74,FALSE),"o")=$D$4,IFERROR(VLOOKUP(VLOOKUP($B50, Dependencies!$B$2:$G$230, 6,FALSE),$B$14:I$73, I$74,FALSE),"o")=$D$4),$D$4,IF(OR(IFERROR(VLOOKUP(VLOOKUP($B50, Dependencies!$B$2:$G$230, 2,FALSE), $B$14:I$73, I$74,FALSE),"o")=$D$5,IFERROR(VLOOKUP(VLOOKUP($B50, Dependencies!$B$2:$G$230, 3,FALSE), $B$14:I$73, I$74,FALSE),"o")=$D$5,IFERROR(VLOOKUP(VLOOKUP($B50, Dependencies!$B$2:$G$230, 4,FALSE), $B$14:I$73, I$74,FALSE),"o")=$D$5,IFERROR(VLOOKUP(VLOOKUP($B50, Dependencies!$B$2:$G$230, 5,FALSE), $B$14:I$73, I$74,FALSE),"o")=$D$5,IFERROR(VLOOKUP(VLOOKUP($B50, Dependencies!$B$2:$G$230, 6,FALSE), $B$14:I$73, I$74,FALSE),"o")=$D$5),$D$5,H50)))</f>
        <v>pr</v>
      </c>
      <c r="J50" s="93" t="s">
        <v>323</v>
      </c>
      <c r="K50" s="70" t="str">
        <f>IF(J50=$D$4,J50,IF(OR(IFERROR(VLOOKUP(VLOOKUP($B50, Dependencies!$B$2:$G$230, 2,FALSE),$B$14:K$73, K$74,FALSE),"o")=$D$4,IFERROR(VLOOKUP(VLOOKUP($B50, Dependencies!$B$2:$G$230, 3,FALSE),$B$14:K$73, K$74,FALSE),"o")=$D$4,IFERROR(VLOOKUP(VLOOKUP($B50, Dependencies!$B$2:$G$230, 4,FALSE),$B$14:K$73, K$74,FALSE),"o")=$D$4,IFERROR(VLOOKUP(VLOOKUP($B50, Dependencies!$B$2:$G$230, 5,FALSE),$B$14:K$73, K$74,FALSE),"o")=$D$4,IFERROR(VLOOKUP(VLOOKUP($B50, Dependencies!$B$2:$G$230, 6,FALSE),$B$14:K$73, K$74,FALSE),"o")=$D$4),$D$4,IF(OR(IFERROR(VLOOKUP(VLOOKUP($B50, Dependencies!$B$2:$G$230, 2,FALSE), $B$14:K$73, K$74,FALSE),"o")=$D$5,IFERROR(VLOOKUP(VLOOKUP($B50, Dependencies!$B$2:$G$230, 3,FALSE), $B$14:K$73, K$74,FALSE),"o")=$D$5,IFERROR(VLOOKUP(VLOOKUP($B50, Dependencies!$B$2:$G$230, 4,FALSE), $B$14:K$73, K$74,FALSE),"o")=$D$5,IFERROR(VLOOKUP(VLOOKUP($B50, Dependencies!$B$2:$G$230, 5,FALSE), $B$14:K$73, K$74,FALSE),"o")=$D$5,IFERROR(VLOOKUP(VLOOKUP($B50, Dependencies!$B$2:$G$230, 6,FALSE), $B$14:K$73, K$74,FALSE),"o")=$D$5),$D$5,J50)))</f>
        <v>o</v>
      </c>
      <c r="L50" s="93" t="s">
        <v>323</v>
      </c>
      <c r="M50" s="70" t="str">
        <f>IF(L50=$D$4,L50,IF(OR(IFERROR(VLOOKUP(VLOOKUP($B50, Dependencies!$B$2:$G$230, 2,FALSE),$B$14:M$73, M$74,FALSE),"o")=$D$4,IFERROR(VLOOKUP(VLOOKUP($B50, Dependencies!$B$2:$G$230, 3,FALSE),$B$14:M$73, M$74,FALSE),"o")=$D$4,IFERROR(VLOOKUP(VLOOKUP($B50, Dependencies!$B$2:$G$230, 4,FALSE),$B$14:M$73, M$74,FALSE),"o")=$D$4,IFERROR(VLOOKUP(VLOOKUP($B50, Dependencies!$B$2:$G$230, 5,FALSE),$B$14:M$73, M$74,FALSE),"o")=$D$4,IFERROR(VLOOKUP(VLOOKUP($B50, Dependencies!$B$2:$G$230, 6,FALSE),$B$14:M$73, M$74,FALSE),"o")=$D$4),$D$4,IF(OR(IFERROR(VLOOKUP(VLOOKUP($B50, Dependencies!$B$2:$G$230, 2,FALSE), $B$14:M$73, M$74,FALSE),"o")=$D$5,IFERROR(VLOOKUP(VLOOKUP($B50, Dependencies!$B$2:$G$230, 3,FALSE), $B$14:M$73, M$74,FALSE),"o")=$D$5,IFERROR(VLOOKUP(VLOOKUP($B50, Dependencies!$B$2:$G$230, 4,FALSE), $B$14:M$73, M$74,FALSE),"o")=$D$5,IFERROR(VLOOKUP(VLOOKUP($B50, Dependencies!$B$2:$G$230, 5,FALSE), $B$14:M$73, M$74,FALSE),"o")=$D$5,IFERROR(VLOOKUP(VLOOKUP($B50, Dependencies!$B$2:$G$230, 6,FALSE), $B$14:M$73, M$74,FALSE),"o")=$D$5),$D$5,L50)))</f>
        <v>o</v>
      </c>
      <c r="N50" s="93" t="s">
        <v>323</v>
      </c>
      <c r="O50" s="70" t="str">
        <f>IF(N50=$D$4,N50,IF(OR(IFERROR(VLOOKUP(VLOOKUP($B50, Dependencies!$B$2:$G$230, 2,FALSE),$B$14:O$73, O$74,FALSE),"o")=$D$4,IFERROR(VLOOKUP(VLOOKUP($B50, Dependencies!$B$2:$G$230, 3,FALSE),$B$14:O$73, O$74,FALSE),"o")=$D$4,IFERROR(VLOOKUP(VLOOKUP($B50, Dependencies!$B$2:$G$230, 4,FALSE),$B$14:O$73, O$74,FALSE),"o")=$D$4,IFERROR(VLOOKUP(VLOOKUP($B50, Dependencies!$B$2:$G$230, 5,FALSE),$B$14:O$73, O$74,FALSE),"o")=$D$4,IFERROR(VLOOKUP(VLOOKUP($B50, Dependencies!$B$2:$G$230, 6,FALSE),$B$14:O$73, O$74,FALSE),"o")=$D$4),$D$4,IF(OR(IFERROR(VLOOKUP(VLOOKUP($B50, Dependencies!$B$2:$G$230, 2,FALSE), $B$14:O$73, O$74,FALSE),"o")=$D$5,IFERROR(VLOOKUP(VLOOKUP($B50, Dependencies!$B$2:$G$230, 3,FALSE), $B$14:O$73, O$74,FALSE),"o")=$D$5,IFERROR(VLOOKUP(VLOOKUP($B50, Dependencies!$B$2:$G$230, 4,FALSE), $B$14:O$73, O$74,FALSE),"o")=$D$5,IFERROR(VLOOKUP(VLOOKUP($B50, Dependencies!$B$2:$G$230, 5,FALSE), $B$14:O$73, O$74,FALSE),"o")=$D$5,IFERROR(VLOOKUP(VLOOKUP($B50, Dependencies!$B$2:$G$230, 6,FALSE), $B$14:O$73, O$74,FALSE),"o")=$D$5),$D$5,N50)))</f>
        <v>o</v>
      </c>
      <c r="P50" s="93" t="s">
        <v>323</v>
      </c>
      <c r="Q50" s="70" t="str">
        <f>IF(P50=$D$4,P50,IF(OR(IFERROR(VLOOKUP(VLOOKUP($B50, Dependencies!$B$2:$G$230, 2,FALSE),$B$14:Q$73, Q$74,FALSE),"o")=$D$4,IFERROR(VLOOKUP(VLOOKUP($B50, Dependencies!$B$2:$G$230, 3,FALSE),$B$14:Q$73, Q$74,FALSE),"o")=$D$4,IFERROR(VLOOKUP(VLOOKUP($B50, Dependencies!$B$2:$G$230, 4,FALSE),$B$14:Q$73, Q$74,FALSE),"o")=$D$4,IFERROR(VLOOKUP(VLOOKUP($B50, Dependencies!$B$2:$G$230, 5,FALSE),$B$14:Q$73, Q$74,FALSE),"o")=$D$4,IFERROR(VLOOKUP(VLOOKUP($B50, Dependencies!$B$2:$G$230, 6,FALSE),$B$14:Q$73, Q$74,FALSE),"o")=$D$4),$D$4,IF(OR(IFERROR(VLOOKUP(VLOOKUP($B50, Dependencies!$B$2:$G$230, 2,FALSE), $B$14:Q$73, Q$74,FALSE),"o")=$D$5,IFERROR(VLOOKUP(VLOOKUP($B50, Dependencies!$B$2:$G$230, 3,FALSE), $B$14:Q$73, Q$74,FALSE),"o")=$D$5,IFERROR(VLOOKUP(VLOOKUP($B50, Dependencies!$B$2:$G$230, 4,FALSE), $B$14:Q$73, Q$74,FALSE),"o")=$D$5,IFERROR(VLOOKUP(VLOOKUP($B50, Dependencies!$B$2:$G$230, 5,FALSE), $B$14:Q$73, Q$74,FALSE),"o")=$D$5,IFERROR(VLOOKUP(VLOOKUP($B50, Dependencies!$B$2:$G$230, 6,FALSE), $B$14:Q$73, Q$74,FALSE),"o")=$D$5),$D$5,P50)))</f>
        <v>o</v>
      </c>
      <c r="R50" s="93" t="s">
        <v>323</v>
      </c>
      <c r="S50" s="70" t="str">
        <f>IF(R50=$D$4,R50,IF(OR(IFERROR(VLOOKUP(VLOOKUP($B50, Dependencies!$B$2:$G$230, 2,FALSE),$B$14:S$73, S$74,FALSE),"o")=$D$4,IFERROR(VLOOKUP(VLOOKUP($B50, Dependencies!$B$2:$G$230, 3,FALSE),$B$14:S$73, S$74,FALSE),"o")=$D$4,IFERROR(VLOOKUP(VLOOKUP($B50, Dependencies!$B$2:$G$230, 4,FALSE),$B$14:S$73, S$74,FALSE),"o")=$D$4,IFERROR(VLOOKUP(VLOOKUP($B50, Dependencies!$B$2:$G$230, 5,FALSE),$B$14:S$73, S$74,FALSE),"o")=$D$4,IFERROR(VLOOKUP(VLOOKUP($B50, Dependencies!$B$2:$G$230, 6,FALSE),$B$14:S$73, S$74,FALSE),"o")=$D$4),$D$4,IF(OR(IFERROR(VLOOKUP(VLOOKUP($B50, Dependencies!$B$2:$G$230, 2,FALSE), $B$14:S$73, S$74,FALSE),"o")=$D$5,IFERROR(VLOOKUP(VLOOKUP($B50, Dependencies!$B$2:$G$230, 3,FALSE), $B$14:S$73, S$74,FALSE),"o")=$D$5,IFERROR(VLOOKUP(VLOOKUP($B50, Dependencies!$B$2:$G$230, 4,FALSE), $B$14:S$73, S$74,FALSE),"o")=$D$5,IFERROR(VLOOKUP(VLOOKUP($B50, Dependencies!$B$2:$G$230, 5,FALSE), $B$14:S$73, S$74,FALSE),"o")=$D$5,IFERROR(VLOOKUP(VLOOKUP($B50, Dependencies!$B$2:$G$230, 6,FALSE), $B$14:S$73, S$74,FALSE),"o")=$D$5),$D$5,R50)))</f>
        <v>o</v>
      </c>
      <c r="T50" s="93" t="s">
        <v>323</v>
      </c>
      <c r="U50" s="70" t="str">
        <f>IF(T50=$D$4,T50,IF(OR(IFERROR(VLOOKUP(VLOOKUP($B50, Dependencies!$B$2:$G$230, 2,FALSE),$B$14:U$73, U$74,FALSE),"o")=$D$4,IFERROR(VLOOKUP(VLOOKUP($B50, Dependencies!$B$2:$G$230, 3,FALSE),$B$14:U$73, U$74,FALSE),"o")=$D$4,IFERROR(VLOOKUP(VLOOKUP($B50, Dependencies!$B$2:$G$230, 4,FALSE),$B$14:U$73, U$74,FALSE),"o")=$D$4,IFERROR(VLOOKUP(VLOOKUP($B50, Dependencies!$B$2:$G$230, 5,FALSE),$B$14:U$73, U$74,FALSE),"o")=$D$4,IFERROR(VLOOKUP(VLOOKUP($B50, Dependencies!$B$2:$G$230, 6,FALSE),$B$14:U$73, U$74,FALSE),"o")=$D$4),$D$4,IF(OR(IFERROR(VLOOKUP(VLOOKUP($B50, Dependencies!$B$2:$G$230, 2,FALSE), $B$14:U$73, U$74,FALSE),"o")=$D$5,IFERROR(VLOOKUP(VLOOKUP($B50, Dependencies!$B$2:$G$230, 3,FALSE), $B$14:U$73, U$74,FALSE),"o")=$D$5,IFERROR(VLOOKUP(VLOOKUP($B50, Dependencies!$B$2:$G$230, 4,FALSE), $B$14:U$73, U$74,FALSE),"o")=$D$5,IFERROR(VLOOKUP(VLOOKUP($B50, Dependencies!$B$2:$G$230, 5,FALSE), $B$14:U$73, U$74,FALSE),"o")=$D$5,IFERROR(VLOOKUP(VLOOKUP($B50, Dependencies!$B$2:$G$230, 6,FALSE), $B$14:U$73, U$74,FALSE),"o")=$D$5),$D$5,T50)))</f>
        <v>o</v>
      </c>
      <c r="V50" s="93" t="s">
        <v>323</v>
      </c>
      <c r="W50" s="70" t="str">
        <f>IF(V50=$D$4,V50,IF(OR(IFERROR(VLOOKUP(VLOOKUP($B50, Dependencies!$B$2:$G$230, 2,FALSE),$B$14:W$73, W$74,FALSE),"o")=$D$4,IFERROR(VLOOKUP(VLOOKUP($B50, Dependencies!$B$2:$G$230, 3,FALSE),$B$14:W$73, W$74,FALSE),"o")=$D$4,IFERROR(VLOOKUP(VLOOKUP($B50, Dependencies!$B$2:$G$230, 4,FALSE),$B$14:W$73, W$74,FALSE),"o")=$D$4,IFERROR(VLOOKUP(VLOOKUP($B50, Dependencies!$B$2:$G$230, 5,FALSE),$B$14:W$73, W$74,FALSE),"o")=$D$4,IFERROR(VLOOKUP(VLOOKUP($B50, Dependencies!$B$2:$G$230, 6,FALSE),$B$14:W$73, W$74,FALSE),"o")=$D$4),$D$4,IF(OR(IFERROR(VLOOKUP(VLOOKUP($B50, Dependencies!$B$2:$G$230, 2,FALSE), $B$14:W$73, W$74,FALSE),"o")=$D$5,IFERROR(VLOOKUP(VLOOKUP($B50, Dependencies!$B$2:$G$230, 3,FALSE), $B$14:W$73, W$74,FALSE),"o")=$D$5,IFERROR(VLOOKUP(VLOOKUP($B50, Dependencies!$B$2:$G$230, 4,FALSE), $B$14:W$73, W$74,FALSE),"o")=$D$5,IFERROR(VLOOKUP(VLOOKUP($B50, Dependencies!$B$2:$G$230, 5,FALSE), $B$14:W$73, W$74,FALSE),"o")=$D$5,IFERROR(VLOOKUP(VLOOKUP($B50, Dependencies!$B$2:$G$230, 6,FALSE), $B$14:W$73, W$74,FALSE),"o")=$D$5),$D$5,V50)))</f>
        <v>o</v>
      </c>
      <c r="X50" s="93" t="s">
        <v>323</v>
      </c>
      <c r="Y50" s="70" t="str">
        <f>IF(X50=$D$4,X50,IF(OR(IFERROR(VLOOKUP(VLOOKUP($B50, Dependencies!$B$2:$G$230, 2,FALSE),$B$14:Y$73, Y$74,FALSE),"o")=$D$4,IFERROR(VLOOKUP(VLOOKUP($B50, Dependencies!$B$2:$G$230, 3,FALSE),$B$14:Y$73, Y$74,FALSE),"o")=$D$4,IFERROR(VLOOKUP(VLOOKUP($B50, Dependencies!$B$2:$G$230, 4,FALSE),$B$14:Y$73, Y$74,FALSE),"o")=$D$4,IFERROR(VLOOKUP(VLOOKUP($B50, Dependencies!$B$2:$G$230, 5,FALSE),$B$14:Y$73, Y$74,FALSE),"o")=$D$4,IFERROR(VLOOKUP(VLOOKUP($B50, Dependencies!$B$2:$G$230, 6,FALSE),$B$14:Y$73, Y$74,FALSE),"o")=$D$4),$D$4,IF(OR(IFERROR(VLOOKUP(VLOOKUP($B50, Dependencies!$B$2:$G$230, 2,FALSE), $B$14:Y$73, Y$74,FALSE),"o")=$D$5,IFERROR(VLOOKUP(VLOOKUP($B50, Dependencies!$B$2:$G$230, 3,FALSE), $B$14:Y$73, Y$74,FALSE),"o")=$D$5,IFERROR(VLOOKUP(VLOOKUP($B50, Dependencies!$B$2:$G$230, 4,FALSE), $B$14:Y$73, Y$74,FALSE),"o")=$D$5,IFERROR(VLOOKUP(VLOOKUP($B50, Dependencies!$B$2:$G$230, 5,FALSE), $B$14:Y$73, Y$74,FALSE),"o")=$D$5,IFERROR(VLOOKUP(VLOOKUP($B50, Dependencies!$B$2:$G$230, 6,FALSE), $B$14:Y$73, Y$74,FALSE),"o")=$D$5),$D$5,X50)))</f>
        <v>o</v>
      </c>
      <c r="Z50" s="93" t="s">
        <v>323</v>
      </c>
      <c r="AA50" s="70" t="str">
        <f>IF(Z50=$D$4,Z50,IF(OR(IFERROR(VLOOKUP(VLOOKUP($B50, Dependencies!$B$2:$G$230, 2,FALSE),$B$14:AA$73, AA$74,FALSE),"o")=$D$4,IFERROR(VLOOKUP(VLOOKUP($B50, Dependencies!$B$2:$G$230, 3,FALSE),$B$14:AA$73, AA$74,FALSE),"o")=$D$4,IFERROR(VLOOKUP(VLOOKUP($B50, Dependencies!$B$2:$G$230, 4,FALSE),$B$14:AA$73, AA$74,FALSE),"o")=$D$4,IFERROR(VLOOKUP(VLOOKUP($B50, Dependencies!$B$2:$G$230, 5,FALSE),$B$14:AA$73, AA$74,FALSE),"o")=$D$4,IFERROR(VLOOKUP(VLOOKUP($B50, Dependencies!$B$2:$G$230, 6,FALSE),$B$14:AA$73, AA$74,FALSE),"o")=$D$4),$D$4,IF(OR(IFERROR(VLOOKUP(VLOOKUP($B50, Dependencies!$B$2:$G$230, 2,FALSE), $B$14:AA$73, AA$74,FALSE),"o")=$D$5,IFERROR(VLOOKUP(VLOOKUP($B50, Dependencies!$B$2:$G$230, 3,FALSE), $B$14:AA$73, AA$74,FALSE),"o")=$D$5,IFERROR(VLOOKUP(VLOOKUP($B50, Dependencies!$B$2:$G$230, 4,FALSE), $B$14:AA$73, AA$74,FALSE),"o")=$D$5,IFERROR(VLOOKUP(VLOOKUP($B50, Dependencies!$B$2:$G$230, 5,FALSE), $B$14:AA$73, AA$74,FALSE),"o")=$D$5,IFERROR(VLOOKUP(VLOOKUP($B50, Dependencies!$B$2:$G$230, 6,FALSE), $B$14:AA$73, AA$74,FALSE),"o")=$D$5),$D$5,Z50)))</f>
        <v>o</v>
      </c>
      <c r="AB50" s="93" t="s">
        <v>323</v>
      </c>
      <c r="AC50" s="70" t="str">
        <f>IF(AB50=$D$4,AB50,IF(OR(IFERROR(VLOOKUP(VLOOKUP($B50, Dependencies!$B$2:$G$230, 2,FALSE),$B$14:AC$73, AC$74,FALSE),"o")=$D$4,IFERROR(VLOOKUP(VLOOKUP($B50, Dependencies!$B$2:$G$230, 3,FALSE),$B$14:AC$73, AC$74,FALSE),"o")=$D$4,IFERROR(VLOOKUP(VLOOKUP($B50, Dependencies!$B$2:$G$230, 4,FALSE),$B$14:AC$73, AC$74,FALSE),"o")=$D$4,IFERROR(VLOOKUP(VLOOKUP($B50, Dependencies!$B$2:$G$230, 5,FALSE),$B$14:AC$73, AC$74,FALSE),"o")=$D$4,IFERROR(VLOOKUP(VLOOKUP($B50, Dependencies!$B$2:$G$230, 6,FALSE),$B$14:AC$73, AC$74,FALSE),"o")=$D$4),$D$4,IF(OR(IFERROR(VLOOKUP(VLOOKUP($B50, Dependencies!$B$2:$G$230, 2,FALSE), $B$14:AC$73, AC$74,FALSE),"o")=$D$5,IFERROR(VLOOKUP(VLOOKUP($B50, Dependencies!$B$2:$G$230, 3,FALSE), $B$14:AC$73, AC$74,FALSE),"o")=$D$5,IFERROR(VLOOKUP(VLOOKUP($B50, Dependencies!$B$2:$G$230, 4,FALSE), $B$14:AC$73, AC$74,FALSE),"o")=$D$5,IFERROR(VLOOKUP(VLOOKUP($B50, Dependencies!$B$2:$G$230, 5,FALSE), $B$14:AC$73, AC$74,FALSE),"o")=$D$5,IFERROR(VLOOKUP(VLOOKUP($B50, Dependencies!$B$2:$G$230, 6,FALSE), $B$14:AC$73, AC$74,FALSE),"o")=$D$5),$D$5,AB50)))</f>
        <v>o</v>
      </c>
      <c r="AD50" s="93" t="s">
        <v>323</v>
      </c>
      <c r="AE50" s="70" t="str">
        <f>IF(AD50=$D$4,AD50,IF(OR(IFERROR(VLOOKUP(VLOOKUP($B50, Dependencies!$B$2:$G$230, 2,FALSE),$B$14:AE$73, AE$74,FALSE),"o")=$D$4,IFERROR(VLOOKUP(VLOOKUP($B50, Dependencies!$B$2:$G$230, 3,FALSE),$B$14:AE$73, AE$74,FALSE),"o")=$D$4,IFERROR(VLOOKUP(VLOOKUP($B50, Dependencies!$B$2:$G$230, 4,FALSE),$B$14:AE$73, AE$74,FALSE),"o")=$D$4,IFERROR(VLOOKUP(VLOOKUP($B50, Dependencies!$B$2:$G$230, 5,FALSE),$B$14:AE$73, AE$74,FALSE),"o")=$D$4,IFERROR(VLOOKUP(VLOOKUP($B50, Dependencies!$B$2:$G$230, 6,FALSE),$B$14:AE$73, AE$74,FALSE),"o")=$D$4),$D$4,IF(OR(IFERROR(VLOOKUP(VLOOKUP($B50, Dependencies!$B$2:$G$230, 2,FALSE), $B$14:AE$73, AE$74,FALSE),"o")=$D$5,IFERROR(VLOOKUP(VLOOKUP($B50, Dependencies!$B$2:$G$230, 3,FALSE), $B$14:AE$73, AE$74,FALSE),"o")=$D$5,IFERROR(VLOOKUP(VLOOKUP($B50, Dependencies!$B$2:$G$230, 4,FALSE), $B$14:AE$73, AE$74,FALSE),"o")=$D$5,IFERROR(VLOOKUP(VLOOKUP($B50, Dependencies!$B$2:$G$230, 5,FALSE), $B$14:AE$73, AE$74,FALSE),"o")=$D$5,IFERROR(VLOOKUP(VLOOKUP($B50, Dependencies!$B$2:$G$230, 6,FALSE), $B$14:AE$73, AE$74,FALSE),"o")=$D$5),$D$5,AD50)))</f>
        <v>o</v>
      </c>
      <c r="AF50" s="93" t="s">
        <v>323</v>
      </c>
      <c r="AG50" s="70" t="str">
        <f>IF(AF50=$D$4,AF50,IF(OR(IFERROR(VLOOKUP(VLOOKUP($B50, Dependencies!$B$2:$G$230, 2,FALSE),$B$14:AG$73, AG$74,FALSE),"o")=$D$4,IFERROR(VLOOKUP(VLOOKUP($B50, Dependencies!$B$2:$G$230, 3,FALSE),$B$14:AG$73, AG$74,FALSE),"o")=$D$4,IFERROR(VLOOKUP(VLOOKUP($B50, Dependencies!$B$2:$G$230, 4,FALSE),$B$14:AG$73, AG$74,FALSE),"o")=$D$4,IFERROR(VLOOKUP(VLOOKUP($B50, Dependencies!$B$2:$G$230, 5,FALSE),$B$14:AG$73, AG$74,FALSE),"o")=$D$4,IFERROR(VLOOKUP(VLOOKUP($B50, Dependencies!$B$2:$G$230, 6,FALSE),$B$14:AG$73, AG$74,FALSE),"o")=$D$4),$D$4,IF(OR(IFERROR(VLOOKUP(VLOOKUP($B50, Dependencies!$B$2:$G$230, 2,FALSE), $B$14:AG$73, AG$74,FALSE),"o")=$D$5,IFERROR(VLOOKUP(VLOOKUP($B50, Dependencies!$B$2:$G$230, 3,FALSE), $B$14:AG$73, AG$74,FALSE),"o")=$D$5,IFERROR(VLOOKUP(VLOOKUP($B50, Dependencies!$B$2:$G$230, 4,FALSE), $B$14:AG$73, AG$74,FALSE),"o")=$D$5,IFERROR(VLOOKUP(VLOOKUP($B50, Dependencies!$B$2:$G$230, 5,FALSE), $B$14:AG$73, AG$74,FALSE),"o")=$D$5,IFERROR(VLOOKUP(VLOOKUP($B50, Dependencies!$B$2:$G$230, 6,FALSE), $B$14:AG$73, AG$74,FALSE),"o")=$D$5),$D$5,AF50)))</f>
        <v>o</v>
      </c>
      <c r="AH50" s="93" t="s">
        <v>323</v>
      </c>
      <c r="AI50" s="70" t="str">
        <f>IF(AH50=$D$4,AH50,IF(OR(IFERROR(VLOOKUP(VLOOKUP($B50, Dependencies!$B$2:$G$230, 2,FALSE),$B$14:AI$73, AI$74,FALSE),"o")=$D$4,IFERROR(VLOOKUP(VLOOKUP($B50, Dependencies!$B$2:$G$230, 3,FALSE),$B$14:AI$73, AI$74,FALSE),"o")=$D$4,IFERROR(VLOOKUP(VLOOKUP($B50, Dependencies!$B$2:$G$230, 4,FALSE),$B$14:AI$73, AI$74,FALSE),"o")=$D$4,IFERROR(VLOOKUP(VLOOKUP($B50, Dependencies!$B$2:$G$230, 5,FALSE),$B$14:AI$73, AI$74,FALSE),"o")=$D$4,IFERROR(VLOOKUP(VLOOKUP($B50, Dependencies!$B$2:$G$230, 6,FALSE),$B$14:AI$73, AI$74,FALSE),"o")=$D$4),$D$4,IF(OR(IFERROR(VLOOKUP(VLOOKUP($B50, Dependencies!$B$2:$G$230, 2,FALSE), $B$14:AI$73, AI$74,FALSE),"o")=$D$5,IFERROR(VLOOKUP(VLOOKUP($B50, Dependencies!$B$2:$G$230, 3,FALSE), $B$14:AI$73, AI$74,FALSE),"o")=$D$5,IFERROR(VLOOKUP(VLOOKUP($B50, Dependencies!$B$2:$G$230, 4,FALSE), $B$14:AI$73, AI$74,FALSE),"o")=$D$5,IFERROR(VLOOKUP(VLOOKUP($B50, Dependencies!$B$2:$G$230, 5,FALSE), $B$14:AI$73, AI$74,FALSE),"o")=$D$5,IFERROR(VLOOKUP(VLOOKUP($B50, Dependencies!$B$2:$G$230, 6,FALSE), $B$14:AI$73, AI$74,FALSE),"o")=$D$5),$D$5,AH50)))</f>
        <v>o</v>
      </c>
      <c r="AJ50" s="93" t="s">
        <v>323</v>
      </c>
      <c r="AK50" s="70" t="str">
        <f>IF(AJ50=$D$4,AJ50,IF(OR(IFERROR(VLOOKUP(VLOOKUP($B50, Dependencies!$B$2:$G$230, 2,FALSE),$B$14:AK$73, AK$74,FALSE),"o")=$D$4,IFERROR(VLOOKUP(VLOOKUP($B50, Dependencies!$B$2:$G$230, 3,FALSE),$B$14:AK$73, AK$74,FALSE),"o")=$D$4,IFERROR(VLOOKUP(VLOOKUP($B50, Dependencies!$B$2:$G$230, 4,FALSE),$B$14:AK$73, AK$74,FALSE),"o")=$D$4,IFERROR(VLOOKUP(VLOOKUP($B50, Dependencies!$B$2:$G$230, 5,FALSE),$B$14:AK$73, AK$74,FALSE),"o")=$D$4,IFERROR(VLOOKUP(VLOOKUP($B50, Dependencies!$B$2:$G$230, 6,FALSE),$B$14:AK$73, AK$74,FALSE),"o")=$D$4),$D$4,IF(OR(IFERROR(VLOOKUP(VLOOKUP($B50, Dependencies!$B$2:$G$230, 2,FALSE), $B$14:AK$73, AK$74,FALSE),"o")=$D$5,IFERROR(VLOOKUP(VLOOKUP($B50, Dependencies!$B$2:$G$230, 3,FALSE), $B$14:AK$73, AK$74,FALSE),"o")=$D$5,IFERROR(VLOOKUP(VLOOKUP($B50, Dependencies!$B$2:$G$230, 4,FALSE), $B$14:AK$73, AK$74,FALSE),"o")=$D$5,IFERROR(VLOOKUP(VLOOKUP($B50, Dependencies!$B$2:$G$230, 5,FALSE), $B$14:AK$73, AK$74,FALSE),"o")=$D$5,IFERROR(VLOOKUP(VLOOKUP($B50, Dependencies!$B$2:$G$230, 6,FALSE), $B$14:AK$73, AK$74,FALSE),"o")=$D$5),$D$5,AJ50)))</f>
        <v>o</v>
      </c>
      <c r="AL50" s="93" t="s">
        <v>323</v>
      </c>
      <c r="AM50" s="70" t="str">
        <f>IF(AL50=$D$4,AL50,IF(OR(IFERROR(VLOOKUP(VLOOKUP($B50, Dependencies!$B$2:$G$230, 2,FALSE),$B$14:AM$73, AM$74,FALSE),"o")=$D$4,IFERROR(VLOOKUP(VLOOKUP($B50, Dependencies!$B$2:$G$230, 3,FALSE),$B$14:AM$73, AM$74,FALSE),"o")=$D$4,IFERROR(VLOOKUP(VLOOKUP($B50, Dependencies!$B$2:$G$230, 4,FALSE),$B$14:AM$73, AM$74,FALSE),"o")=$D$4,IFERROR(VLOOKUP(VLOOKUP($B50, Dependencies!$B$2:$G$230, 5,FALSE),$B$14:AM$73, AM$74,FALSE),"o")=$D$4,IFERROR(VLOOKUP(VLOOKUP($B50, Dependencies!$B$2:$G$230, 6,FALSE),$B$14:AM$73, AM$74,FALSE),"o")=$D$4),$D$4,IF(OR(IFERROR(VLOOKUP(VLOOKUP($B50, Dependencies!$B$2:$G$230, 2,FALSE), $B$14:AM$73, AM$74,FALSE),"o")=$D$5,IFERROR(VLOOKUP(VLOOKUP($B50, Dependencies!$B$2:$G$230, 3,FALSE), $B$14:AM$73, AM$74,FALSE),"o")=$D$5,IFERROR(VLOOKUP(VLOOKUP($B50, Dependencies!$B$2:$G$230, 4,FALSE), $B$14:AM$73, AM$74,FALSE),"o")=$D$5,IFERROR(VLOOKUP(VLOOKUP($B50, Dependencies!$B$2:$G$230, 5,FALSE), $B$14:AM$73, AM$74,FALSE),"o")=$D$5,IFERROR(VLOOKUP(VLOOKUP($B50, Dependencies!$B$2:$G$230, 6,FALSE), $B$14:AM$73, AM$74,FALSE),"o")=$D$5),$D$5,AL50)))</f>
        <v>o</v>
      </c>
      <c r="AN50" s="93" t="s">
        <v>323</v>
      </c>
      <c r="AO50" s="70" t="str">
        <f>IF(AN50=$D$4,AN50,IF(OR(IFERROR(VLOOKUP(VLOOKUP($B50, Dependencies!$B$2:$G$230, 2,FALSE),$B$14:AO$73, AO$74,FALSE),"o")=$D$4,IFERROR(VLOOKUP(VLOOKUP($B50, Dependencies!$B$2:$G$230, 3,FALSE),$B$14:AO$73, AO$74,FALSE),"o")=$D$4,IFERROR(VLOOKUP(VLOOKUP($B50, Dependencies!$B$2:$G$230, 4,FALSE),$B$14:AO$73, AO$74,FALSE),"o")=$D$4,IFERROR(VLOOKUP(VLOOKUP($B50, Dependencies!$B$2:$G$230, 5,FALSE),$B$14:AO$73, AO$74,FALSE),"o")=$D$4,IFERROR(VLOOKUP(VLOOKUP($B50, Dependencies!$B$2:$G$230, 6,FALSE),$B$14:AO$73, AO$74,FALSE),"o")=$D$4),$D$4,IF(OR(IFERROR(VLOOKUP(VLOOKUP($B50, Dependencies!$B$2:$G$230, 2,FALSE), $B$14:AO$73, AO$74,FALSE),"o")=$D$5,IFERROR(VLOOKUP(VLOOKUP($B50, Dependencies!$B$2:$G$230, 3,FALSE), $B$14:AO$73, AO$74,FALSE),"o")=$D$5,IFERROR(VLOOKUP(VLOOKUP($B50, Dependencies!$B$2:$G$230, 4,FALSE), $B$14:AO$73, AO$74,FALSE),"o")=$D$5,IFERROR(VLOOKUP(VLOOKUP($B50, Dependencies!$B$2:$G$230, 5,FALSE), $B$14:AO$73, AO$74,FALSE),"o")=$D$5,IFERROR(VLOOKUP(VLOOKUP($B50, Dependencies!$B$2:$G$230, 6,FALSE), $B$14:AO$73, AO$74,FALSE),"o")=$D$5),$D$5,AN50)))</f>
        <v>o</v>
      </c>
      <c r="AP50" s="93" t="s">
        <v>323</v>
      </c>
      <c r="AQ50" s="70" t="str">
        <f>IF(AP50=$D$4,AP50,IF(OR(IFERROR(VLOOKUP(VLOOKUP($B50, Dependencies!$B$2:$G$230, 2,FALSE),$B$14:AQ$73, AQ$74,FALSE),"o")=$D$4,IFERROR(VLOOKUP(VLOOKUP($B50, Dependencies!$B$2:$G$230, 3,FALSE),$B$14:AQ$73, AQ$74,FALSE),"o")=$D$4,IFERROR(VLOOKUP(VLOOKUP($B50, Dependencies!$B$2:$G$230, 4,FALSE),$B$14:AQ$73, AQ$74,FALSE),"o")=$D$4,IFERROR(VLOOKUP(VLOOKUP($B50, Dependencies!$B$2:$G$230, 5,FALSE),$B$14:AQ$73, AQ$74,FALSE),"o")=$D$4,IFERROR(VLOOKUP(VLOOKUP($B50, Dependencies!$B$2:$G$230, 6,FALSE),$B$14:AQ$73, AQ$74,FALSE),"o")=$D$4),$D$4,IF(OR(IFERROR(VLOOKUP(VLOOKUP($B50, Dependencies!$B$2:$G$230, 2,FALSE), $B$14:AQ$73, AQ$74,FALSE),"o")=$D$5,IFERROR(VLOOKUP(VLOOKUP($B50, Dependencies!$B$2:$G$230, 3,FALSE), $B$14:AQ$73, AQ$74,FALSE),"o")=$D$5,IFERROR(VLOOKUP(VLOOKUP($B50, Dependencies!$B$2:$G$230, 4,FALSE), $B$14:AQ$73, AQ$74,FALSE),"o")=$D$5,IFERROR(VLOOKUP(VLOOKUP($B50, Dependencies!$B$2:$G$230, 5,FALSE), $B$14:AQ$73, AQ$74,FALSE),"o")=$D$5,IFERROR(VLOOKUP(VLOOKUP($B50, Dependencies!$B$2:$G$230, 6,FALSE), $B$14:AQ$73, AQ$74,FALSE),"o")=$D$5),$D$5,AP50)))</f>
        <v>o</v>
      </c>
      <c r="AR50" s="93" t="s">
        <v>323</v>
      </c>
      <c r="AS50" s="69" t="str">
        <f>IF(AR50=$D$4,AR50,IF(OR(IFERROR(VLOOKUP(VLOOKUP($B50, Dependencies!$B$2:$G$230, 2,FALSE),$B$14:AS$73, AS$74,FALSE),"o")=$D$4,IFERROR(VLOOKUP(VLOOKUP($B50, Dependencies!$B$2:$G$230, 3,FALSE),$B$14:AS$73, AS$74,FALSE),"o")=$D$4,IFERROR(VLOOKUP(VLOOKUP($B50, Dependencies!$B$2:$G$230, 4,FALSE),$B$14:AS$73, AS$74,FALSE),"o")=$D$4,IFERROR(VLOOKUP(VLOOKUP($B50, Dependencies!$B$2:$G$230, 5,FALSE),$B$14:AS$73, AS$74,FALSE),"o")=$D$4,IFERROR(VLOOKUP(VLOOKUP($B50, Dependencies!$B$2:$G$230, 6,FALSE),$B$14:AS$73, AS$74,FALSE),"o")=$D$4),$D$4,IF(OR(IFERROR(VLOOKUP(VLOOKUP($B50, Dependencies!$B$2:$G$230, 2,FALSE), $B$14:AS$73, AS$74,FALSE),"o")=$D$5,IFERROR(VLOOKUP(VLOOKUP($B50, Dependencies!$B$2:$G$230, 3,FALSE), $B$14:AS$73, AS$74,FALSE),"o")=$D$5,IFERROR(VLOOKUP(VLOOKUP($B50, Dependencies!$B$2:$G$230, 4,FALSE), $B$14:AS$73, AS$74,FALSE),"o")=$D$5,IFERROR(VLOOKUP(VLOOKUP($B50, Dependencies!$B$2:$G$230, 5,FALSE), $B$14:AS$73, AS$74,FALSE),"o")=$D$5,IFERROR(VLOOKUP(VLOOKUP($B50, Dependencies!$B$2:$G$230, 6,FALSE), $B$14:AS$73, AS$74,FALSE),"o")=$D$5),$D$5,AR50)))</f>
        <v>o</v>
      </c>
    </row>
    <row r="51" spans="1:45" x14ac:dyDescent="0.2">
      <c r="A51" s="40"/>
      <c r="B51" s="74" t="str">
        <f>MLEOsv2!A39</f>
        <v>MLEO_04_01</v>
      </c>
      <c r="C51" s="74">
        <f>MLEOsv2!C39</f>
        <v>5</v>
      </c>
      <c r="D51" s="44" t="str">
        <f>MLEOsv2!G39</f>
        <v>implement abstract classes.</v>
      </c>
      <c r="E51" s="68" t="b">
        <f>MLEOsv2!H39</f>
        <v>1</v>
      </c>
      <c r="F51" s="94" t="s">
        <v>320</v>
      </c>
      <c r="G51" s="72" t="str">
        <f>IF(F51=$D$4,F51,IF(OR(IFERROR(VLOOKUP(VLOOKUP($B51, Dependencies!$B$2:$G$230, 2,FALSE),$B$14:G$73, G$74,FALSE),"o")=$D$4,IFERROR(VLOOKUP(VLOOKUP($B51, Dependencies!$B$2:$G$230, 3,FALSE),$B$14:G$73, G$74,FALSE),"o")=$D$4,IFERROR(VLOOKUP(VLOOKUP($B51, Dependencies!$B$2:$G$230, 4,FALSE),$B$14:G$73, G$74,FALSE),"o")=$D$4,IFERROR(VLOOKUP(VLOOKUP($B51, Dependencies!$B$2:$G$230, 5,FALSE),$B$14:G$73, G$74,FALSE),"o")=$D$4,IFERROR(VLOOKUP(VLOOKUP($B51, Dependencies!$B$2:$G$230, 6,FALSE),$B$14:G$73, G$74,FALSE),"o")=$D$4),$D$4,IF(OR(IFERROR(VLOOKUP(VLOOKUP($B51, Dependencies!$B$2:$G$230, 2,FALSE), $B$14:G$73, G$74,FALSE),"o")=$D$5,IFERROR(VLOOKUP(VLOOKUP($B51, Dependencies!$B$2:$G$230, 3,FALSE), $B$14:G$73, G$74,FALSE),"o")=$D$5,IFERROR(VLOOKUP(VLOOKUP($B51, Dependencies!$B$2:$G$230, 4,FALSE), $B$14:G$73, G$74,FALSE),"o")=$D$5,IFERROR(VLOOKUP(VLOOKUP($B51, Dependencies!$B$2:$G$230, 5,FALSE), $B$14:G$73, G$74,FALSE),"o")=$D$5,IFERROR(VLOOKUP(VLOOKUP($B51, Dependencies!$B$2:$G$230, 6,FALSE), $B$14:G$73, G$74,FALSE),"o")=$D$5),$D$5,F51)))</f>
        <v>r</v>
      </c>
      <c r="H51" s="94" t="s">
        <v>321</v>
      </c>
      <c r="I51" s="72" t="str">
        <f>IF(H51=$D$4,H51,IF(OR(IFERROR(VLOOKUP(VLOOKUP($B51, Dependencies!$B$2:$G$230, 2,FALSE),$B$14:I$73, I$74,FALSE),"o")=$D$4,IFERROR(VLOOKUP(VLOOKUP($B51, Dependencies!$B$2:$G$230, 3,FALSE),$B$14:I$73, I$74,FALSE),"o")=$D$4,IFERROR(VLOOKUP(VLOOKUP($B51, Dependencies!$B$2:$G$230, 4,FALSE),$B$14:I$73, I$74,FALSE),"o")=$D$4,IFERROR(VLOOKUP(VLOOKUP($B51, Dependencies!$B$2:$G$230, 5,FALSE),$B$14:I$73, I$74,FALSE),"o")=$D$4,IFERROR(VLOOKUP(VLOOKUP($B51, Dependencies!$B$2:$G$230, 6,FALSE),$B$14:I$73, I$74,FALSE),"o")=$D$4),$D$4,IF(OR(IFERROR(VLOOKUP(VLOOKUP($B51, Dependencies!$B$2:$G$230, 2,FALSE), $B$14:I$73, I$74,FALSE),"o")=$D$5,IFERROR(VLOOKUP(VLOOKUP($B51, Dependencies!$B$2:$G$230, 3,FALSE), $B$14:I$73, I$74,FALSE),"o")=$D$5,IFERROR(VLOOKUP(VLOOKUP($B51, Dependencies!$B$2:$G$230, 4,FALSE), $B$14:I$73, I$74,FALSE),"o")=$D$5,IFERROR(VLOOKUP(VLOOKUP($B51, Dependencies!$B$2:$G$230, 5,FALSE), $B$14:I$73, I$74,FALSE),"o")=$D$5,IFERROR(VLOOKUP(VLOOKUP($B51, Dependencies!$B$2:$G$230, 6,FALSE), $B$14:I$73, I$74,FALSE),"o")=$D$5),$D$5,H51)))</f>
        <v>pr</v>
      </c>
      <c r="J51" s="94" t="s">
        <v>321</v>
      </c>
      <c r="K51" s="72" t="str">
        <f>IF(J51=$D$4,J51,IF(OR(IFERROR(VLOOKUP(VLOOKUP($B51, Dependencies!$B$2:$G$230, 2,FALSE),$B$14:K$73, K$74,FALSE),"o")=$D$4,IFERROR(VLOOKUP(VLOOKUP($B51, Dependencies!$B$2:$G$230, 3,FALSE),$B$14:K$73, K$74,FALSE),"o")=$D$4,IFERROR(VLOOKUP(VLOOKUP($B51, Dependencies!$B$2:$G$230, 4,FALSE),$B$14:K$73, K$74,FALSE),"o")=$D$4,IFERROR(VLOOKUP(VLOOKUP($B51, Dependencies!$B$2:$G$230, 5,FALSE),$B$14:K$73, K$74,FALSE),"o")=$D$4,IFERROR(VLOOKUP(VLOOKUP($B51, Dependencies!$B$2:$G$230, 6,FALSE),$B$14:K$73, K$74,FALSE),"o")=$D$4),$D$4,IF(OR(IFERROR(VLOOKUP(VLOOKUP($B51, Dependencies!$B$2:$G$230, 2,FALSE), $B$14:K$73, K$74,FALSE),"o")=$D$5,IFERROR(VLOOKUP(VLOOKUP($B51, Dependencies!$B$2:$G$230, 3,FALSE), $B$14:K$73, K$74,FALSE),"o")=$D$5,IFERROR(VLOOKUP(VLOOKUP($B51, Dependencies!$B$2:$G$230, 4,FALSE), $B$14:K$73, K$74,FALSE),"o")=$D$5,IFERROR(VLOOKUP(VLOOKUP($B51, Dependencies!$B$2:$G$230, 5,FALSE), $B$14:K$73, K$74,FALSE),"o")=$D$5,IFERROR(VLOOKUP(VLOOKUP($B51, Dependencies!$B$2:$G$230, 6,FALSE), $B$14:K$73, K$74,FALSE),"o")=$D$5),$D$5,J51)))</f>
        <v>pr</v>
      </c>
      <c r="L51" s="94" t="s">
        <v>323</v>
      </c>
      <c r="M51" s="72" t="str">
        <f>IF(L51=$D$4,L51,IF(OR(IFERROR(VLOOKUP(VLOOKUP($B51, Dependencies!$B$2:$G$230, 2,FALSE),$B$14:M$73, M$74,FALSE),"o")=$D$4,IFERROR(VLOOKUP(VLOOKUP($B51, Dependencies!$B$2:$G$230, 3,FALSE),$B$14:M$73, M$74,FALSE),"o")=$D$4,IFERROR(VLOOKUP(VLOOKUP($B51, Dependencies!$B$2:$G$230, 4,FALSE),$B$14:M$73, M$74,FALSE),"o")=$D$4,IFERROR(VLOOKUP(VLOOKUP($B51, Dependencies!$B$2:$G$230, 5,FALSE),$B$14:M$73, M$74,FALSE),"o")=$D$4,IFERROR(VLOOKUP(VLOOKUP($B51, Dependencies!$B$2:$G$230, 6,FALSE),$B$14:M$73, M$74,FALSE),"o")=$D$4),$D$4,IF(OR(IFERROR(VLOOKUP(VLOOKUP($B51, Dependencies!$B$2:$G$230, 2,FALSE), $B$14:M$73, M$74,FALSE),"o")=$D$5,IFERROR(VLOOKUP(VLOOKUP($B51, Dependencies!$B$2:$G$230, 3,FALSE), $B$14:M$73, M$74,FALSE),"o")=$D$5,IFERROR(VLOOKUP(VLOOKUP($B51, Dependencies!$B$2:$G$230, 4,FALSE), $B$14:M$73, M$74,FALSE),"o")=$D$5,IFERROR(VLOOKUP(VLOOKUP($B51, Dependencies!$B$2:$G$230, 5,FALSE), $B$14:M$73, M$74,FALSE),"o")=$D$5,IFERROR(VLOOKUP(VLOOKUP($B51, Dependencies!$B$2:$G$230, 6,FALSE), $B$14:M$73, M$74,FALSE),"o")=$D$5),$D$5,L51)))</f>
        <v>o</v>
      </c>
      <c r="N51" s="94" t="s">
        <v>323</v>
      </c>
      <c r="O51" s="72" t="str">
        <f>IF(N51=$D$4,N51,IF(OR(IFERROR(VLOOKUP(VLOOKUP($B51, Dependencies!$B$2:$G$230, 2,FALSE),$B$14:O$73, O$74,FALSE),"o")=$D$4,IFERROR(VLOOKUP(VLOOKUP($B51, Dependencies!$B$2:$G$230, 3,FALSE),$B$14:O$73, O$74,FALSE),"o")=$D$4,IFERROR(VLOOKUP(VLOOKUP($B51, Dependencies!$B$2:$G$230, 4,FALSE),$B$14:O$73, O$74,FALSE),"o")=$D$4,IFERROR(VLOOKUP(VLOOKUP($B51, Dependencies!$B$2:$G$230, 5,FALSE),$B$14:O$73, O$74,FALSE),"o")=$D$4,IFERROR(VLOOKUP(VLOOKUP($B51, Dependencies!$B$2:$G$230, 6,FALSE),$B$14:O$73, O$74,FALSE),"o")=$D$4),$D$4,IF(OR(IFERROR(VLOOKUP(VLOOKUP($B51, Dependencies!$B$2:$G$230, 2,FALSE), $B$14:O$73, O$74,FALSE),"o")=$D$5,IFERROR(VLOOKUP(VLOOKUP($B51, Dependencies!$B$2:$G$230, 3,FALSE), $B$14:O$73, O$74,FALSE),"o")=$D$5,IFERROR(VLOOKUP(VLOOKUP($B51, Dependencies!$B$2:$G$230, 4,FALSE), $B$14:O$73, O$74,FALSE),"o")=$D$5,IFERROR(VLOOKUP(VLOOKUP($B51, Dependencies!$B$2:$G$230, 5,FALSE), $B$14:O$73, O$74,FALSE),"o")=$D$5,IFERROR(VLOOKUP(VLOOKUP($B51, Dependencies!$B$2:$G$230, 6,FALSE), $B$14:O$73, O$74,FALSE),"o")=$D$5),$D$5,N51)))</f>
        <v>o</v>
      </c>
      <c r="P51" s="94" t="s">
        <v>323</v>
      </c>
      <c r="Q51" s="72" t="str">
        <f>IF(P51=$D$4,P51,IF(OR(IFERROR(VLOOKUP(VLOOKUP($B51, Dependencies!$B$2:$G$230, 2,FALSE),$B$14:Q$73, Q$74,FALSE),"o")=$D$4,IFERROR(VLOOKUP(VLOOKUP($B51, Dependencies!$B$2:$G$230, 3,FALSE),$B$14:Q$73, Q$74,FALSE),"o")=$D$4,IFERROR(VLOOKUP(VLOOKUP($B51, Dependencies!$B$2:$G$230, 4,FALSE),$B$14:Q$73, Q$74,FALSE),"o")=$D$4,IFERROR(VLOOKUP(VLOOKUP($B51, Dependencies!$B$2:$G$230, 5,FALSE),$B$14:Q$73, Q$74,FALSE),"o")=$D$4,IFERROR(VLOOKUP(VLOOKUP($B51, Dependencies!$B$2:$G$230, 6,FALSE),$B$14:Q$73, Q$74,FALSE),"o")=$D$4),$D$4,IF(OR(IFERROR(VLOOKUP(VLOOKUP($B51, Dependencies!$B$2:$G$230, 2,FALSE), $B$14:Q$73, Q$74,FALSE),"o")=$D$5,IFERROR(VLOOKUP(VLOOKUP($B51, Dependencies!$B$2:$G$230, 3,FALSE), $B$14:Q$73, Q$74,FALSE),"o")=$D$5,IFERROR(VLOOKUP(VLOOKUP($B51, Dependencies!$B$2:$G$230, 4,FALSE), $B$14:Q$73, Q$74,FALSE),"o")=$D$5,IFERROR(VLOOKUP(VLOOKUP($B51, Dependencies!$B$2:$G$230, 5,FALSE), $B$14:Q$73, Q$74,FALSE),"o")=$D$5,IFERROR(VLOOKUP(VLOOKUP($B51, Dependencies!$B$2:$G$230, 6,FALSE), $B$14:Q$73, Q$74,FALSE),"o")=$D$5),$D$5,P51)))</f>
        <v>o</v>
      </c>
      <c r="R51" s="94" t="s">
        <v>323</v>
      </c>
      <c r="S51" s="72" t="str">
        <f>IF(R51=$D$4,R51,IF(OR(IFERROR(VLOOKUP(VLOOKUP($B51, Dependencies!$B$2:$G$230, 2,FALSE),$B$14:S$73, S$74,FALSE),"o")=$D$4,IFERROR(VLOOKUP(VLOOKUP($B51, Dependencies!$B$2:$G$230, 3,FALSE),$B$14:S$73, S$74,FALSE),"o")=$D$4,IFERROR(VLOOKUP(VLOOKUP($B51, Dependencies!$B$2:$G$230, 4,FALSE),$B$14:S$73, S$74,FALSE),"o")=$D$4,IFERROR(VLOOKUP(VLOOKUP($B51, Dependencies!$B$2:$G$230, 5,FALSE),$B$14:S$73, S$74,FALSE),"o")=$D$4,IFERROR(VLOOKUP(VLOOKUP($B51, Dependencies!$B$2:$G$230, 6,FALSE),$B$14:S$73, S$74,FALSE),"o")=$D$4),$D$4,IF(OR(IFERROR(VLOOKUP(VLOOKUP($B51, Dependencies!$B$2:$G$230, 2,FALSE), $B$14:S$73, S$74,FALSE),"o")=$D$5,IFERROR(VLOOKUP(VLOOKUP($B51, Dependencies!$B$2:$G$230, 3,FALSE), $B$14:S$73, S$74,FALSE),"o")=$D$5,IFERROR(VLOOKUP(VLOOKUP($B51, Dependencies!$B$2:$G$230, 4,FALSE), $B$14:S$73, S$74,FALSE),"o")=$D$5,IFERROR(VLOOKUP(VLOOKUP($B51, Dependencies!$B$2:$G$230, 5,FALSE), $B$14:S$73, S$74,FALSE),"o")=$D$5,IFERROR(VLOOKUP(VLOOKUP($B51, Dependencies!$B$2:$G$230, 6,FALSE), $B$14:S$73, S$74,FALSE),"o")=$D$5),$D$5,R51)))</f>
        <v>o</v>
      </c>
      <c r="T51" s="94" t="s">
        <v>323</v>
      </c>
      <c r="U51" s="72" t="str">
        <f>IF(T51=$D$4,T51,IF(OR(IFERROR(VLOOKUP(VLOOKUP($B51, Dependencies!$B$2:$G$230, 2,FALSE),$B$14:U$73, U$74,FALSE),"o")=$D$4,IFERROR(VLOOKUP(VLOOKUP($B51, Dependencies!$B$2:$G$230, 3,FALSE),$B$14:U$73, U$74,FALSE),"o")=$D$4,IFERROR(VLOOKUP(VLOOKUP($B51, Dependencies!$B$2:$G$230, 4,FALSE),$B$14:U$73, U$74,FALSE),"o")=$D$4,IFERROR(VLOOKUP(VLOOKUP($B51, Dependencies!$B$2:$G$230, 5,FALSE),$B$14:U$73, U$74,FALSE),"o")=$D$4,IFERROR(VLOOKUP(VLOOKUP($B51, Dependencies!$B$2:$G$230, 6,FALSE),$B$14:U$73, U$74,FALSE),"o")=$D$4),$D$4,IF(OR(IFERROR(VLOOKUP(VLOOKUP($B51, Dependencies!$B$2:$G$230, 2,FALSE), $B$14:U$73, U$74,FALSE),"o")=$D$5,IFERROR(VLOOKUP(VLOOKUP($B51, Dependencies!$B$2:$G$230, 3,FALSE), $B$14:U$73, U$74,FALSE),"o")=$D$5,IFERROR(VLOOKUP(VLOOKUP($B51, Dependencies!$B$2:$G$230, 4,FALSE), $B$14:U$73, U$74,FALSE),"o")=$D$5,IFERROR(VLOOKUP(VLOOKUP($B51, Dependencies!$B$2:$G$230, 5,FALSE), $B$14:U$73, U$74,FALSE),"o")=$D$5,IFERROR(VLOOKUP(VLOOKUP($B51, Dependencies!$B$2:$G$230, 6,FALSE), $B$14:U$73, U$74,FALSE),"o")=$D$5),$D$5,T51)))</f>
        <v>o</v>
      </c>
      <c r="V51" s="94" t="s">
        <v>323</v>
      </c>
      <c r="W51" s="72" t="str">
        <f>IF(V51=$D$4,V51,IF(OR(IFERROR(VLOOKUP(VLOOKUP($B51, Dependencies!$B$2:$G$230, 2,FALSE),$B$14:W$73, W$74,FALSE),"o")=$D$4,IFERROR(VLOOKUP(VLOOKUP($B51, Dependencies!$B$2:$G$230, 3,FALSE),$B$14:W$73, W$74,FALSE),"o")=$D$4,IFERROR(VLOOKUP(VLOOKUP($B51, Dependencies!$B$2:$G$230, 4,FALSE),$B$14:W$73, W$74,FALSE),"o")=$D$4,IFERROR(VLOOKUP(VLOOKUP($B51, Dependencies!$B$2:$G$230, 5,FALSE),$B$14:W$73, W$74,FALSE),"o")=$D$4,IFERROR(VLOOKUP(VLOOKUP($B51, Dependencies!$B$2:$G$230, 6,FALSE),$B$14:W$73, W$74,FALSE),"o")=$D$4),$D$4,IF(OR(IFERROR(VLOOKUP(VLOOKUP($B51, Dependencies!$B$2:$G$230, 2,FALSE), $B$14:W$73, W$74,FALSE),"o")=$D$5,IFERROR(VLOOKUP(VLOOKUP($B51, Dependencies!$B$2:$G$230, 3,FALSE), $B$14:W$73, W$74,FALSE),"o")=$D$5,IFERROR(VLOOKUP(VLOOKUP($B51, Dependencies!$B$2:$G$230, 4,FALSE), $B$14:W$73, W$74,FALSE),"o")=$D$5,IFERROR(VLOOKUP(VLOOKUP($B51, Dependencies!$B$2:$G$230, 5,FALSE), $B$14:W$73, W$74,FALSE),"o")=$D$5,IFERROR(VLOOKUP(VLOOKUP($B51, Dependencies!$B$2:$G$230, 6,FALSE), $B$14:W$73, W$74,FALSE),"o")=$D$5),$D$5,V51)))</f>
        <v>o</v>
      </c>
      <c r="X51" s="94" t="s">
        <v>323</v>
      </c>
      <c r="Y51" s="72" t="str">
        <f>IF(X51=$D$4,X51,IF(OR(IFERROR(VLOOKUP(VLOOKUP($B51, Dependencies!$B$2:$G$230, 2,FALSE),$B$14:Y$73, Y$74,FALSE),"o")=$D$4,IFERROR(VLOOKUP(VLOOKUP($B51, Dependencies!$B$2:$G$230, 3,FALSE),$B$14:Y$73, Y$74,FALSE),"o")=$D$4,IFERROR(VLOOKUP(VLOOKUP($B51, Dependencies!$B$2:$G$230, 4,FALSE),$B$14:Y$73, Y$74,FALSE),"o")=$D$4,IFERROR(VLOOKUP(VLOOKUP($B51, Dependencies!$B$2:$G$230, 5,FALSE),$B$14:Y$73, Y$74,FALSE),"o")=$D$4,IFERROR(VLOOKUP(VLOOKUP($B51, Dependencies!$B$2:$G$230, 6,FALSE),$B$14:Y$73, Y$74,FALSE),"o")=$D$4),$D$4,IF(OR(IFERROR(VLOOKUP(VLOOKUP($B51, Dependencies!$B$2:$G$230, 2,FALSE), $B$14:Y$73, Y$74,FALSE),"o")=$D$5,IFERROR(VLOOKUP(VLOOKUP($B51, Dependencies!$B$2:$G$230, 3,FALSE), $B$14:Y$73, Y$74,FALSE),"o")=$D$5,IFERROR(VLOOKUP(VLOOKUP($B51, Dependencies!$B$2:$G$230, 4,FALSE), $B$14:Y$73, Y$74,FALSE),"o")=$D$5,IFERROR(VLOOKUP(VLOOKUP($B51, Dependencies!$B$2:$G$230, 5,FALSE), $B$14:Y$73, Y$74,FALSE),"o")=$D$5,IFERROR(VLOOKUP(VLOOKUP($B51, Dependencies!$B$2:$G$230, 6,FALSE), $B$14:Y$73, Y$74,FALSE),"o")=$D$5),$D$5,X51)))</f>
        <v>o</v>
      </c>
      <c r="Z51" s="94" t="s">
        <v>323</v>
      </c>
      <c r="AA51" s="72" t="str">
        <f>IF(Z51=$D$4,Z51,IF(OR(IFERROR(VLOOKUP(VLOOKUP($B51, Dependencies!$B$2:$G$230, 2,FALSE),$B$14:AA$73, AA$74,FALSE),"o")=$D$4,IFERROR(VLOOKUP(VLOOKUP($B51, Dependencies!$B$2:$G$230, 3,FALSE),$B$14:AA$73, AA$74,FALSE),"o")=$D$4,IFERROR(VLOOKUP(VLOOKUP($B51, Dependencies!$B$2:$G$230, 4,FALSE),$B$14:AA$73, AA$74,FALSE),"o")=$D$4,IFERROR(VLOOKUP(VLOOKUP($B51, Dependencies!$B$2:$G$230, 5,FALSE),$B$14:AA$73, AA$74,FALSE),"o")=$D$4,IFERROR(VLOOKUP(VLOOKUP($B51, Dependencies!$B$2:$G$230, 6,FALSE),$B$14:AA$73, AA$74,FALSE),"o")=$D$4),$D$4,IF(OR(IFERROR(VLOOKUP(VLOOKUP($B51, Dependencies!$B$2:$G$230, 2,FALSE), $B$14:AA$73, AA$74,FALSE),"o")=$D$5,IFERROR(VLOOKUP(VLOOKUP($B51, Dependencies!$B$2:$G$230, 3,FALSE), $B$14:AA$73, AA$74,FALSE),"o")=$D$5,IFERROR(VLOOKUP(VLOOKUP($B51, Dependencies!$B$2:$G$230, 4,FALSE), $B$14:AA$73, AA$74,FALSE),"o")=$D$5,IFERROR(VLOOKUP(VLOOKUP($B51, Dependencies!$B$2:$G$230, 5,FALSE), $B$14:AA$73, AA$74,FALSE),"o")=$D$5,IFERROR(VLOOKUP(VLOOKUP($B51, Dependencies!$B$2:$G$230, 6,FALSE), $B$14:AA$73, AA$74,FALSE),"o")=$D$5),$D$5,Z51)))</f>
        <v>o</v>
      </c>
      <c r="AB51" s="94" t="s">
        <v>323</v>
      </c>
      <c r="AC51" s="72" t="str">
        <f>IF(AB51=$D$4,AB51,IF(OR(IFERROR(VLOOKUP(VLOOKUP($B51, Dependencies!$B$2:$G$230, 2,FALSE),$B$14:AC$73, AC$74,FALSE),"o")=$D$4,IFERROR(VLOOKUP(VLOOKUP($B51, Dependencies!$B$2:$G$230, 3,FALSE),$B$14:AC$73, AC$74,FALSE),"o")=$D$4,IFERROR(VLOOKUP(VLOOKUP($B51, Dependencies!$B$2:$G$230, 4,FALSE),$B$14:AC$73, AC$74,FALSE),"o")=$D$4,IFERROR(VLOOKUP(VLOOKUP($B51, Dependencies!$B$2:$G$230, 5,FALSE),$B$14:AC$73, AC$74,FALSE),"o")=$D$4,IFERROR(VLOOKUP(VLOOKUP($B51, Dependencies!$B$2:$G$230, 6,FALSE),$B$14:AC$73, AC$74,FALSE),"o")=$D$4),$D$4,IF(OR(IFERROR(VLOOKUP(VLOOKUP($B51, Dependencies!$B$2:$G$230, 2,FALSE), $B$14:AC$73, AC$74,FALSE),"o")=$D$5,IFERROR(VLOOKUP(VLOOKUP($B51, Dependencies!$B$2:$G$230, 3,FALSE), $B$14:AC$73, AC$74,FALSE),"o")=$D$5,IFERROR(VLOOKUP(VLOOKUP($B51, Dependencies!$B$2:$G$230, 4,FALSE), $B$14:AC$73, AC$74,FALSE),"o")=$D$5,IFERROR(VLOOKUP(VLOOKUP($B51, Dependencies!$B$2:$G$230, 5,FALSE), $B$14:AC$73, AC$74,FALSE),"o")=$D$5,IFERROR(VLOOKUP(VLOOKUP($B51, Dependencies!$B$2:$G$230, 6,FALSE), $B$14:AC$73, AC$74,FALSE),"o")=$D$5),$D$5,AB51)))</f>
        <v>o</v>
      </c>
      <c r="AD51" s="94" t="s">
        <v>323</v>
      </c>
      <c r="AE51" s="72" t="str">
        <f>IF(AD51=$D$4,AD51,IF(OR(IFERROR(VLOOKUP(VLOOKUP($B51, Dependencies!$B$2:$G$230, 2,FALSE),$B$14:AE$73, AE$74,FALSE),"o")=$D$4,IFERROR(VLOOKUP(VLOOKUP($B51, Dependencies!$B$2:$G$230, 3,FALSE),$B$14:AE$73, AE$74,FALSE),"o")=$D$4,IFERROR(VLOOKUP(VLOOKUP($B51, Dependencies!$B$2:$G$230, 4,FALSE),$B$14:AE$73, AE$74,FALSE),"o")=$D$4,IFERROR(VLOOKUP(VLOOKUP($B51, Dependencies!$B$2:$G$230, 5,FALSE),$B$14:AE$73, AE$74,FALSE),"o")=$D$4,IFERROR(VLOOKUP(VLOOKUP($B51, Dependencies!$B$2:$G$230, 6,FALSE),$B$14:AE$73, AE$74,FALSE),"o")=$D$4),$D$4,IF(OR(IFERROR(VLOOKUP(VLOOKUP($B51, Dependencies!$B$2:$G$230, 2,FALSE), $B$14:AE$73, AE$74,FALSE),"o")=$D$5,IFERROR(VLOOKUP(VLOOKUP($B51, Dependencies!$B$2:$G$230, 3,FALSE), $B$14:AE$73, AE$74,FALSE),"o")=$D$5,IFERROR(VLOOKUP(VLOOKUP($B51, Dependencies!$B$2:$G$230, 4,FALSE), $B$14:AE$73, AE$74,FALSE),"o")=$D$5,IFERROR(VLOOKUP(VLOOKUP($B51, Dependencies!$B$2:$G$230, 5,FALSE), $B$14:AE$73, AE$74,FALSE),"o")=$D$5,IFERROR(VLOOKUP(VLOOKUP($B51, Dependencies!$B$2:$G$230, 6,FALSE), $B$14:AE$73, AE$74,FALSE),"o")=$D$5),$D$5,AD51)))</f>
        <v>o</v>
      </c>
      <c r="AF51" s="94" t="s">
        <v>323</v>
      </c>
      <c r="AG51" s="72" t="str">
        <f>IF(AF51=$D$4,AF51,IF(OR(IFERROR(VLOOKUP(VLOOKUP($B51, Dependencies!$B$2:$G$230, 2,FALSE),$B$14:AG$73, AG$74,FALSE),"o")=$D$4,IFERROR(VLOOKUP(VLOOKUP($B51, Dependencies!$B$2:$G$230, 3,FALSE),$B$14:AG$73, AG$74,FALSE),"o")=$D$4,IFERROR(VLOOKUP(VLOOKUP($B51, Dependencies!$B$2:$G$230, 4,FALSE),$B$14:AG$73, AG$74,FALSE),"o")=$D$4,IFERROR(VLOOKUP(VLOOKUP($B51, Dependencies!$B$2:$G$230, 5,FALSE),$B$14:AG$73, AG$74,FALSE),"o")=$D$4,IFERROR(VLOOKUP(VLOOKUP($B51, Dependencies!$B$2:$G$230, 6,FALSE),$B$14:AG$73, AG$74,FALSE),"o")=$D$4),$D$4,IF(OR(IFERROR(VLOOKUP(VLOOKUP($B51, Dependencies!$B$2:$G$230, 2,FALSE), $B$14:AG$73, AG$74,FALSE),"o")=$D$5,IFERROR(VLOOKUP(VLOOKUP($B51, Dependencies!$B$2:$G$230, 3,FALSE), $B$14:AG$73, AG$74,FALSE),"o")=$D$5,IFERROR(VLOOKUP(VLOOKUP($B51, Dependencies!$B$2:$G$230, 4,FALSE), $B$14:AG$73, AG$74,FALSE),"o")=$D$5,IFERROR(VLOOKUP(VLOOKUP($B51, Dependencies!$B$2:$G$230, 5,FALSE), $B$14:AG$73, AG$74,FALSE),"o")=$D$5,IFERROR(VLOOKUP(VLOOKUP($B51, Dependencies!$B$2:$G$230, 6,FALSE), $B$14:AG$73, AG$74,FALSE),"o")=$D$5),$D$5,AF51)))</f>
        <v>o</v>
      </c>
      <c r="AH51" s="94" t="s">
        <v>323</v>
      </c>
      <c r="AI51" s="72" t="str">
        <f>IF(AH51=$D$4,AH51,IF(OR(IFERROR(VLOOKUP(VLOOKUP($B51, Dependencies!$B$2:$G$230, 2,FALSE),$B$14:AI$73, AI$74,FALSE),"o")=$D$4,IFERROR(VLOOKUP(VLOOKUP($B51, Dependencies!$B$2:$G$230, 3,FALSE),$B$14:AI$73, AI$74,FALSE),"o")=$D$4,IFERROR(VLOOKUP(VLOOKUP($B51, Dependencies!$B$2:$G$230, 4,FALSE),$B$14:AI$73, AI$74,FALSE),"o")=$D$4,IFERROR(VLOOKUP(VLOOKUP($B51, Dependencies!$B$2:$G$230, 5,FALSE),$B$14:AI$73, AI$74,FALSE),"o")=$D$4,IFERROR(VLOOKUP(VLOOKUP($B51, Dependencies!$B$2:$G$230, 6,FALSE),$B$14:AI$73, AI$74,FALSE),"o")=$D$4),$D$4,IF(OR(IFERROR(VLOOKUP(VLOOKUP($B51, Dependencies!$B$2:$G$230, 2,FALSE), $B$14:AI$73, AI$74,FALSE),"o")=$D$5,IFERROR(VLOOKUP(VLOOKUP($B51, Dependencies!$B$2:$G$230, 3,FALSE), $B$14:AI$73, AI$74,FALSE),"o")=$D$5,IFERROR(VLOOKUP(VLOOKUP($B51, Dependencies!$B$2:$G$230, 4,FALSE), $B$14:AI$73, AI$74,FALSE),"o")=$D$5,IFERROR(VLOOKUP(VLOOKUP($B51, Dependencies!$B$2:$G$230, 5,FALSE), $B$14:AI$73, AI$74,FALSE),"o")=$D$5,IFERROR(VLOOKUP(VLOOKUP($B51, Dependencies!$B$2:$G$230, 6,FALSE), $B$14:AI$73, AI$74,FALSE),"o")=$D$5),$D$5,AH51)))</f>
        <v>o</v>
      </c>
      <c r="AJ51" s="94" t="s">
        <v>323</v>
      </c>
      <c r="AK51" s="72" t="str">
        <f>IF(AJ51=$D$4,AJ51,IF(OR(IFERROR(VLOOKUP(VLOOKUP($B51, Dependencies!$B$2:$G$230, 2,FALSE),$B$14:AK$73, AK$74,FALSE),"o")=$D$4,IFERROR(VLOOKUP(VLOOKUP($B51, Dependencies!$B$2:$G$230, 3,FALSE),$B$14:AK$73, AK$74,FALSE),"o")=$D$4,IFERROR(VLOOKUP(VLOOKUP($B51, Dependencies!$B$2:$G$230, 4,FALSE),$B$14:AK$73, AK$74,FALSE),"o")=$D$4,IFERROR(VLOOKUP(VLOOKUP($B51, Dependencies!$B$2:$G$230, 5,FALSE),$B$14:AK$73, AK$74,FALSE),"o")=$D$4,IFERROR(VLOOKUP(VLOOKUP($B51, Dependencies!$B$2:$G$230, 6,FALSE),$B$14:AK$73, AK$74,FALSE),"o")=$D$4),$D$4,IF(OR(IFERROR(VLOOKUP(VLOOKUP($B51, Dependencies!$B$2:$G$230, 2,FALSE), $B$14:AK$73, AK$74,FALSE),"o")=$D$5,IFERROR(VLOOKUP(VLOOKUP($B51, Dependencies!$B$2:$G$230, 3,FALSE), $B$14:AK$73, AK$74,FALSE),"o")=$D$5,IFERROR(VLOOKUP(VLOOKUP($B51, Dependencies!$B$2:$G$230, 4,FALSE), $B$14:AK$73, AK$74,FALSE),"o")=$D$5,IFERROR(VLOOKUP(VLOOKUP($B51, Dependencies!$B$2:$G$230, 5,FALSE), $B$14:AK$73, AK$74,FALSE),"o")=$D$5,IFERROR(VLOOKUP(VLOOKUP($B51, Dependencies!$B$2:$G$230, 6,FALSE), $B$14:AK$73, AK$74,FALSE),"o")=$D$5),$D$5,AJ51)))</f>
        <v>o</v>
      </c>
      <c r="AL51" s="94" t="s">
        <v>323</v>
      </c>
      <c r="AM51" s="72" t="str">
        <f>IF(AL51=$D$4,AL51,IF(OR(IFERROR(VLOOKUP(VLOOKUP($B51, Dependencies!$B$2:$G$230, 2,FALSE),$B$14:AM$73, AM$74,FALSE),"o")=$D$4,IFERROR(VLOOKUP(VLOOKUP($B51, Dependencies!$B$2:$G$230, 3,FALSE),$B$14:AM$73, AM$74,FALSE),"o")=$D$4,IFERROR(VLOOKUP(VLOOKUP($B51, Dependencies!$B$2:$G$230, 4,FALSE),$B$14:AM$73, AM$74,FALSE),"o")=$D$4,IFERROR(VLOOKUP(VLOOKUP($B51, Dependencies!$B$2:$G$230, 5,FALSE),$B$14:AM$73, AM$74,FALSE),"o")=$D$4,IFERROR(VLOOKUP(VLOOKUP($B51, Dependencies!$B$2:$G$230, 6,FALSE),$B$14:AM$73, AM$74,FALSE),"o")=$D$4),$D$4,IF(OR(IFERROR(VLOOKUP(VLOOKUP($B51, Dependencies!$B$2:$G$230, 2,FALSE), $B$14:AM$73, AM$74,FALSE),"o")=$D$5,IFERROR(VLOOKUP(VLOOKUP($B51, Dependencies!$B$2:$G$230, 3,FALSE), $B$14:AM$73, AM$74,FALSE),"o")=$D$5,IFERROR(VLOOKUP(VLOOKUP($B51, Dependencies!$B$2:$G$230, 4,FALSE), $B$14:AM$73, AM$74,FALSE),"o")=$D$5,IFERROR(VLOOKUP(VLOOKUP($B51, Dependencies!$B$2:$G$230, 5,FALSE), $B$14:AM$73, AM$74,FALSE),"o")=$D$5,IFERROR(VLOOKUP(VLOOKUP($B51, Dependencies!$B$2:$G$230, 6,FALSE), $B$14:AM$73, AM$74,FALSE),"o")=$D$5),$D$5,AL51)))</f>
        <v>o</v>
      </c>
      <c r="AN51" s="94" t="s">
        <v>323</v>
      </c>
      <c r="AO51" s="72" t="str">
        <f>IF(AN51=$D$4,AN51,IF(OR(IFERROR(VLOOKUP(VLOOKUP($B51, Dependencies!$B$2:$G$230, 2,FALSE),$B$14:AO$73, AO$74,FALSE),"o")=$D$4,IFERROR(VLOOKUP(VLOOKUP($B51, Dependencies!$B$2:$G$230, 3,FALSE),$B$14:AO$73, AO$74,FALSE),"o")=$D$4,IFERROR(VLOOKUP(VLOOKUP($B51, Dependencies!$B$2:$G$230, 4,FALSE),$B$14:AO$73, AO$74,FALSE),"o")=$D$4,IFERROR(VLOOKUP(VLOOKUP($B51, Dependencies!$B$2:$G$230, 5,FALSE),$B$14:AO$73, AO$74,FALSE),"o")=$D$4,IFERROR(VLOOKUP(VLOOKUP($B51, Dependencies!$B$2:$G$230, 6,FALSE),$B$14:AO$73, AO$74,FALSE),"o")=$D$4),$D$4,IF(OR(IFERROR(VLOOKUP(VLOOKUP($B51, Dependencies!$B$2:$G$230, 2,FALSE), $B$14:AO$73, AO$74,FALSE),"o")=$D$5,IFERROR(VLOOKUP(VLOOKUP($B51, Dependencies!$B$2:$G$230, 3,FALSE), $B$14:AO$73, AO$74,FALSE),"o")=$D$5,IFERROR(VLOOKUP(VLOOKUP($B51, Dependencies!$B$2:$G$230, 4,FALSE), $B$14:AO$73, AO$74,FALSE),"o")=$D$5,IFERROR(VLOOKUP(VLOOKUP($B51, Dependencies!$B$2:$G$230, 5,FALSE), $B$14:AO$73, AO$74,FALSE),"o")=$D$5,IFERROR(VLOOKUP(VLOOKUP($B51, Dependencies!$B$2:$G$230, 6,FALSE), $B$14:AO$73, AO$74,FALSE),"o")=$D$5),$D$5,AN51)))</f>
        <v>o</v>
      </c>
      <c r="AP51" s="94" t="s">
        <v>323</v>
      </c>
      <c r="AQ51" s="72" t="str">
        <f>IF(AP51=$D$4,AP51,IF(OR(IFERROR(VLOOKUP(VLOOKUP($B51, Dependencies!$B$2:$G$230, 2,FALSE),$B$14:AQ$73, AQ$74,FALSE),"o")=$D$4,IFERROR(VLOOKUP(VLOOKUP($B51, Dependencies!$B$2:$G$230, 3,FALSE),$B$14:AQ$73, AQ$74,FALSE),"o")=$D$4,IFERROR(VLOOKUP(VLOOKUP($B51, Dependencies!$B$2:$G$230, 4,FALSE),$B$14:AQ$73, AQ$74,FALSE),"o")=$D$4,IFERROR(VLOOKUP(VLOOKUP($B51, Dependencies!$B$2:$G$230, 5,FALSE),$B$14:AQ$73, AQ$74,FALSE),"o")=$D$4,IFERROR(VLOOKUP(VLOOKUP($B51, Dependencies!$B$2:$G$230, 6,FALSE),$B$14:AQ$73, AQ$74,FALSE),"o")=$D$4),$D$4,IF(OR(IFERROR(VLOOKUP(VLOOKUP($B51, Dependencies!$B$2:$G$230, 2,FALSE), $B$14:AQ$73, AQ$74,FALSE),"o")=$D$5,IFERROR(VLOOKUP(VLOOKUP($B51, Dependencies!$B$2:$G$230, 3,FALSE), $B$14:AQ$73, AQ$74,FALSE),"o")=$D$5,IFERROR(VLOOKUP(VLOOKUP($B51, Dependencies!$B$2:$G$230, 4,FALSE), $B$14:AQ$73, AQ$74,FALSE),"o")=$D$5,IFERROR(VLOOKUP(VLOOKUP($B51, Dependencies!$B$2:$G$230, 5,FALSE), $B$14:AQ$73, AQ$74,FALSE),"o")=$D$5,IFERROR(VLOOKUP(VLOOKUP($B51, Dependencies!$B$2:$G$230, 6,FALSE), $B$14:AQ$73, AQ$74,FALSE),"o")=$D$5),$D$5,AP51)))</f>
        <v>o</v>
      </c>
      <c r="AR51" s="94" t="s">
        <v>323</v>
      </c>
      <c r="AS51" s="71" t="str">
        <f>IF(AR51=$D$4,AR51,IF(OR(IFERROR(VLOOKUP(VLOOKUP($B51, Dependencies!$B$2:$G$230, 2,FALSE),$B$14:AS$73, AS$74,FALSE),"o")=$D$4,IFERROR(VLOOKUP(VLOOKUP($B51, Dependencies!$B$2:$G$230, 3,FALSE),$B$14:AS$73, AS$74,FALSE),"o")=$D$4,IFERROR(VLOOKUP(VLOOKUP($B51, Dependencies!$B$2:$G$230, 4,FALSE),$B$14:AS$73, AS$74,FALSE),"o")=$D$4,IFERROR(VLOOKUP(VLOOKUP($B51, Dependencies!$B$2:$G$230, 5,FALSE),$B$14:AS$73, AS$74,FALSE),"o")=$D$4,IFERROR(VLOOKUP(VLOOKUP($B51, Dependencies!$B$2:$G$230, 6,FALSE),$B$14:AS$73, AS$74,FALSE),"o")=$D$4),$D$4,IF(OR(IFERROR(VLOOKUP(VLOOKUP($B51, Dependencies!$B$2:$G$230, 2,FALSE), $B$14:AS$73, AS$74,FALSE),"o")=$D$5,IFERROR(VLOOKUP(VLOOKUP($B51, Dependencies!$B$2:$G$230, 3,FALSE), $B$14:AS$73, AS$74,FALSE),"o")=$D$5,IFERROR(VLOOKUP(VLOOKUP($B51, Dependencies!$B$2:$G$230, 4,FALSE), $B$14:AS$73, AS$74,FALSE),"o")=$D$5,IFERROR(VLOOKUP(VLOOKUP($B51, Dependencies!$B$2:$G$230, 5,FALSE), $B$14:AS$73, AS$74,FALSE),"o")=$D$5,IFERROR(VLOOKUP(VLOOKUP($B51, Dependencies!$B$2:$G$230, 6,FALSE), $B$14:AS$73, AS$74,FALSE),"o")=$D$5),$D$5,AR51)))</f>
        <v>o</v>
      </c>
    </row>
    <row r="52" spans="1:45" x14ac:dyDescent="0.2">
      <c r="A52" s="40"/>
      <c r="B52" s="73" t="str">
        <f>MLEOsv2!A40</f>
        <v>MLEO_04_02</v>
      </c>
      <c r="C52" s="73">
        <f>MLEOsv2!C40</f>
        <v>5</v>
      </c>
      <c r="D52" s="42" t="str">
        <f>MLEOsv2!G40</f>
        <v>create and use an interface</v>
      </c>
      <c r="E52" s="51" t="b">
        <f>MLEOsv2!H40</f>
        <v>1</v>
      </c>
      <c r="F52" s="93" t="s">
        <v>320</v>
      </c>
      <c r="G52" s="70" t="str">
        <f>IF(F52=$D$4,F52,IF(OR(IFERROR(VLOOKUP(VLOOKUP($B52, Dependencies!$B$2:$G$230, 2,FALSE),$B$14:G$73, G$74,FALSE),"o")=$D$4,IFERROR(VLOOKUP(VLOOKUP($B52, Dependencies!$B$2:$G$230, 3,FALSE),$B$14:G$73, G$74,FALSE),"o")=$D$4,IFERROR(VLOOKUP(VLOOKUP($B52, Dependencies!$B$2:$G$230, 4,FALSE),$B$14:G$73, G$74,FALSE),"o")=$D$4,IFERROR(VLOOKUP(VLOOKUP($B52, Dependencies!$B$2:$G$230, 5,FALSE),$B$14:G$73, G$74,FALSE),"o")=$D$4,IFERROR(VLOOKUP(VLOOKUP($B52, Dependencies!$B$2:$G$230, 6,FALSE),$B$14:G$73, G$74,FALSE),"o")=$D$4),$D$4,IF(OR(IFERROR(VLOOKUP(VLOOKUP($B52, Dependencies!$B$2:$G$230, 2,FALSE), $B$14:G$73, G$74,FALSE),"o")=$D$5,IFERROR(VLOOKUP(VLOOKUP($B52, Dependencies!$B$2:$G$230, 3,FALSE), $B$14:G$73, G$74,FALSE),"o")=$D$5,IFERROR(VLOOKUP(VLOOKUP($B52, Dependencies!$B$2:$G$230, 4,FALSE), $B$14:G$73, G$74,FALSE),"o")=$D$5,IFERROR(VLOOKUP(VLOOKUP($B52, Dependencies!$B$2:$G$230, 5,FALSE), $B$14:G$73, G$74,FALSE),"o")=$D$5,IFERROR(VLOOKUP(VLOOKUP($B52, Dependencies!$B$2:$G$230, 6,FALSE), $B$14:G$73, G$74,FALSE),"o")=$D$5),$D$5,F52)))</f>
        <v>r</v>
      </c>
      <c r="H52" s="93" t="s">
        <v>321</v>
      </c>
      <c r="I52" s="70" t="str">
        <f>IF(H52=$D$4,H52,IF(OR(IFERROR(VLOOKUP(VLOOKUP($B52, Dependencies!$B$2:$G$230, 2,FALSE),$B$14:I$73, I$74,FALSE),"o")=$D$4,IFERROR(VLOOKUP(VLOOKUP($B52, Dependencies!$B$2:$G$230, 3,FALSE),$B$14:I$73, I$74,FALSE),"o")=$D$4,IFERROR(VLOOKUP(VLOOKUP($B52, Dependencies!$B$2:$G$230, 4,FALSE),$B$14:I$73, I$74,FALSE),"o")=$D$4,IFERROR(VLOOKUP(VLOOKUP($B52, Dependencies!$B$2:$G$230, 5,FALSE),$B$14:I$73, I$74,FALSE),"o")=$D$4,IFERROR(VLOOKUP(VLOOKUP($B52, Dependencies!$B$2:$G$230, 6,FALSE),$B$14:I$73, I$74,FALSE),"o")=$D$4),$D$4,IF(OR(IFERROR(VLOOKUP(VLOOKUP($B52, Dependencies!$B$2:$G$230, 2,FALSE), $B$14:I$73, I$74,FALSE),"o")=$D$5,IFERROR(VLOOKUP(VLOOKUP($B52, Dependencies!$B$2:$G$230, 3,FALSE), $B$14:I$73, I$74,FALSE),"o")=$D$5,IFERROR(VLOOKUP(VLOOKUP($B52, Dependencies!$B$2:$G$230, 4,FALSE), $B$14:I$73, I$74,FALSE),"o")=$D$5,IFERROR(VLOOKUP(VLOOKUP($B52, Dependencies!$B$2:$G$230, 5,FALSE), $B$14:I$73, I$74,FALSE),"o")=$D$5,IFERROR(VLOOKUP(VLOOKUP($B52, Dependencies!$B$2:$G$230, 6,FALSE), $B$14:I$73, I$74,FALSE),"o")=$D$5),$D$5,H52)))</f>
        <v>pr</v>
      </c>
      <c r="J52" s="93" t="s">
        <v>320</v>
      </c>
      <c r="K52" s="70" t="str">
        <f>IF(J52=$D$4,J52,IF(OR(IFERROR(VLOOKUP(VLOOKUP($B52, Dependencies!$B$2:$G$230, 2,FALSE),$B$14:K$73, K$74,FALSE),"o")=$D$4,IFERROR(VLOOKUP(VLOOKUP($B52, Dependencies!$B$2:$G$230, 3,FALSE),$B$14:K$73, K$74,FALSE),"o")=$D$4,IFERROR(VLOOKUP(VLOOKUP($B52, Dependencies!$B$2:$G$230, 4,FALSE),$B$14:K$73, K$74,FALSE),"o")=$D$4,IFERROR(VLOOKUP(VLOOKUP($B52, Dependencies!$B$2:$G$230, 5,FALSE),$B$14:K$73, K$74,FALSE),"o")=$D$4,IFERROR(VLOOKUP(VLOOKUP($B52, Dependencies!$B$2:$G$230, 6,FALSE),$B$14:K$73, K$74,FALSE),"o")=$D$4),$D$4,IF(OR(IFERROR(VLOOKUP(VLOOKUP($B52, Dependencies!$B$2:$G$230, 2,FALSE), $B$14:K$73, K$74,FALSE),"o")=$D$5,IFERROR(VLOOKUP(VLOOKUP($B52, Dependencies!$B$2:$G$230, 3,FALSE), $B$14:K$73, K$74,FALSE),"o")=$D$5,IFERROR(VLOOKUP(VLOOKUP($B52, Dependencies!$B$2:$G$230, 4,FALSE), $B$14:K$73, K$74,FALSE),"o")=$D$5,IFERROR(VLOOKUP(VLOOKUP($B52, Dependencies!$B$2:$G$230, 5,FALSE), $B$14:K$73, K$74,FALSE),"o")=$D$5,IFERROR(VLOOKUP(VLOOKUP($B52, Dependencies!$B$2:$G$230, 6,FALSE), $B$14:K$73, K$74,FALSE),"o")=$D$5),$D$5,J52)))</f>
        <v>r</v>
      </c>
      <c r="L52" s="93" t="s">
        <v>323</v>
      </c>
      <c r="M52" s="70" t="str">
        <f>IF(L52=$D$4,L52,IF(OR(IFERROR(VLOOKUP(VLOOKUP($B52, Dependencies!$B$2:$G$230, 2,FALSE),$B$14:M$73, M$74,FALSE),"o")=$D$4,IFERROR(VLOOKUP(VLOOKUP($B52, Dependencies!$B$2:$G$230, 3,FALSE),$B$14:M$73, M$74,FALSE),"o")=$D$4,IFERROR(VLOOKUP(VLOOKUP($B52, Dependencies!$B$2:$G$230, 4,FALSE),$B$14:M$73, M$74,FALSE),"o")=$D$4,IFERROR(VLOOKUP(VLOOKUP($B52, Dependencies!$B$2:$G$230, 5,FALSE),$B$14:M$73, M$74,FALSE),"o")=$D$4,IFERROR(VLOOKUP(VLOOKUP($B52, Dependencies!$B$2:$G$230, 6,FALSE),$B$14:M$73, M$74,FALSE),"o")=$D$4),$D$4,IF(OR(IFERROR(VLOOKUP(VLOOKUP($B52, Dependencies!$B$2:$G$230, 2,FALSE), $B$14:M$73, M$74,FALSE),"o")=$D$5,IFERROR(VLOOKUP(VLOOKUP($B52, Dependencies!$B$2:$G$230, 3,FALSE), $B$14:M$73, M$74,FALSE),"o")=$D$5,IFERROR(VLOOKUP(VLOOKUP($B52, Dependencies!$B$2:$G$230, 4,FALSE), $B$14:M$73, M$74,FALSE),"o")=$D$5,IFERROR(VLOOKUP(VLOOKUP($B52, Dependencies!$B$2:$G$230, 5,FALSE), $B$14:M$73, M$74,FALSE),"o")=$D$5,IFERROR(VLOOKUP(VLOOKUP($B52, Dependencies!$B$2:$G$230, 6,FALSE), $B$14:M$73, M$74,FALSE),"o")=$D$5),$D$5,L52)))</f>
        <v>o</v>
      </c>
      <c r="N52" s="93" t="s">
        <v>323</v>
      </c>
      <c r="O52" s="70" t="str">
        <f>IF(N52=$D$4,N52,IF(OR(IFERROR(VLOOKUP(VLOOKUP($B52, Dependencies!$B$2:$G$230, 2,FALSE),$B$14:O$73, O$74,FALSE),"o")=$D$4,IFERROR(VLOOKUP(VLOOKUP($B52, Dependencies!$B$2:$G$230, 3,FALSE),$B$14:O$73, O$74,FALSE),"o")=$D$4,IFERROR(VLOOKUP(VLOOKUP($B52, Dependencies!$B$2:$G$230, 4,FALSE),$B$14:O$73, O$74,FALSE),"o")=$D$4,IFERROR(VLOOKUP(VLOOKUP($B52, Dependencies!$B$2:$G$230, 5,FALSE),$B$14:O$73, O$74,FALSE),"o")=$D$4,IFERROR(VLOOKUP(VLOOKUP($B52, Dependencies!$B$2:$G$230, 6,FALSE),$B$14:O$73, O$74,FALSE),"o")=$D$4),$D$4,IF(OR(IFERROR(VLOOKUP(VLOOKUP($B52, Dependencies!$B$2:$G$230, 2,FALSE), $B$14:O$73, O$74,FALSE),"o")=$D$5,IFERROR(VLOOKUP(VLOOKUP($B52, Dependencies!$B$2:$G$230, 3,FALSE), $B$14:O$73, O$74,FALSE),"o")=$D$5,IFERROR(VLOOKUP(VLOOKUP($B52, Dependencies!$B$2:$G$230, 4,FALSE), $B$14:O$73, O$74,FALSE),"o")=$D$5,IFERROR(VLOOKUP(VLOOKUP($B52, Dependencies!$B$2:$G$230, 5,FALSE), $B$14:O$73, O$74,FALSE),"o")=$D$5,IFERROR(VLOOKUP(VLOOKUP($B52, Dependencies!$B$2:$G$230, 6,FALSE), $B$14:O$73, O$74,FALSE),"o")=$D$5),$D$5,N52)))</f>
        <v>o</v>
      </c>
      <c r="P52" s="93" t="s">
        <v>323</v>
      </c>
      <c r="Q52" s="70" t="str">
        <f>IF(P52=$D$4,P52,IF(OR(IFERROR(VLOOKUP(VLOOKUP($B52, Dependencies!$B$2:$G$230, 2,FALSE),$B$14:Q$73, Q$74,FALSE),"o")=$D$4,IFERROR(VLOOKUP(VLOOKUP($B52, Dependencies!$B$2:$G$230, 3,FALSE),$B$14:Q$73, Q$74,FALSE),"o")=$D$4,IFERROR(VLOOKUP(VLOOKUP($B52, Dependencies!$B$2:$G$230, 4,FALSE),$B$14:Q$73, Q$74,FALSE),"o")=$D$4,IFERROR(VLOOKUP(VLOOKUP($B52, Dependencies!$B$2:$G$230, 5,FALSE),$B$14:Q$73, Q$74,FALSE),"o")=$D$4,IFERROR(VLOOKUP(VLOOKUP($B52, Dependencies!$B$2:$G$230, 6,FALSE),$B$14:Q$73, Q$74,FALSE),"o")=$D$4),$D$4,IF(OR(IFERROR(VLOOKUP(VLOOKUP($B52, Dependencies!$B$2:$G$230, 2,FALSE), $B$14:Q$73, Q$74,FALSE),"o")=$D$5,IFERROR(VLOOKUP(VLOOKUP($B52, Dependencies!$B$2:$G$230, 3,FALSE), $B$14:Q$73, Q$74,FALSE),"o")=$D$5,IFERROR(VLOOKUP(VLOOKUP($B52, Dependencies!$B$2:$G$230, 4,FALSE), $B$14:Q$73, Q$74,FALSE),"o")=$D$5,IFERROR(VLOOKUP(VLOOKUP($B52, Dependencies!$B$2:$G$230, 5,FALSE), $B$14:Q$73, Q$74,FALSE),"o")=$D$5,IFERROR(VLOOKUP(VLOOKUP($B52, Dependencies!$B$2:$G$230, 6,FALSE), $B$14:Q$73, Q$74,FALSE),"o")=$D$5),$D$5,P52)))</f>
        <v>o</v>
      </c>
      <c r="R52" s="93" t="s">
        <v>323</v>
      </c>
      <c r="S52" s="70" t="str">
        <f>IF(R52=$D$4,R52,IF(OR(IFERROR(VLOOKUP(VLOOKUP($B52, Dependencies!$B$2:$G$230, 2,FALSE),$B$14:S$73, S$74,FALSE),"o")=$D$4,IFERROR(VLOOKUP(VLOOKUP($B52, Dependencies!$B$2:$G$230, 3,FALSE),$B$14:S$73, S$74,FALSE),"o")=$D$4,IFERROR(VLOOKUP(VLOOKUP($B52, Dependencies!$B$2:$G$230, 4,FALSE),$B$14:S$73, S$74,FALSE),"o")=$D$4,IFERROR(VLOOKUP(VLOOKUP($B52, Dependencies!$B$2:$G$230, 5,FALSE),$B$14:S$73, S$74,FALSE),"o")=$D$4,IFERROR(VLOOKUP(VLOOKUP($B52, Dependencies!$B$2:$G$230, 6,FALSE),$B$14:S$73, S$74,FALSE),"o")=$D$4),$D$4,IF(OR(IFERROR(VLOOKUP(VLOOKUP($B52, Dependencies!$B$2:$G$230, 2,FALSE), $B$14:S$73, S$74,FALSE),"o")=$D$5,IFERROR(VLOOKUP(VLOOKUP($B52, Dependencies!$B$2:$G$230, 3,FALSE), $B$14:S$73, S$74,FALSE),"o")=$D$5,IFERROR(VLOOKUP(VLOOKUP($B52, Dependencies!$B$2:$G$230, 4,FALSE), $B$14:S$73, S$74,FALSE),"o")=$D$5,IFERROR(VLOOKUP(VLOOKUP($B52, Dependencies!$B$2:$G$230, 5,FALSE), $B$14:S$73, S$74,FALSE),"o")=$D$5,IFERROR(VLOOKUP(VLOOKUP($B52, Dependencies!$B$2:$G$230, 6,FALSE), $B$14:S$73, S$74,FALSE),"o")=$D$5),$D$5,R52)))</f>
        <v>o</v>
      </c>
      <c r="T52" s="93" t="s">
        <v>323</v>
      </c>
      <c r="U52" s="70" t="str">
        <f>IF(T52=$D$4,T52,IF(OR(IFERROR(VLOOKUP(VLOOKUP($B52, Dependencies!$B$2:$G$230, 2,FALSE),$B$14:U$73, U$74,FALSE),"o")=$D$4,IFERROR(VLOOKUP(VLOOKUP($B52, Dependencies!$B$2:$G$230, 3,FALSE),$B$14:U$73, U$74,FALSE),"o")=$D$4,IFERROR(VLOOKUP(VLOOKUP($B52, Dependencies!$B$2:$G$230, 4,FALSE),$B$14:U$73, U$74,FALSE),"o")=$D$4,IFERROR(VLOOKUP(VLOOKUP($B52, Dependencies!$B$2:$G$230, 5,FALSE),$B$14:U$73, U$74,FALSE),"o")=$D$4,IFERROR(VLOOKUP(VLOOKUP($B52, Dependencies!$B$2:$G$230, 6,FALSE),$B$14:U$73, U$74,FALSE),"o")=$D$4),$D$4,IF(OR(IFERROR(VLOOKUP(VLOOKUP($B52, Dependencies!$B$2:$G$230, 2,FALSE), $B$14:U$73, U$74,FALSE),"o")=$D$5,IFERROR(VLOOKUP(VLOOKUP($B52, Dependencies!$B$2:$G$230, 3,FALSE), $B$14:U$73, U$74,FALSE),"o")=$D$5,IFERROR(VLOOKUP(VLOOKUP($B52, Dependencies!$B$2:$G$230, 4,FALSE), $B$14:U$73, U$74,FALSE),"o")=$D$5,IFERROR(VLOOKUP(VLOOKUP($B52, Dependencies!$B$2:$G$230, 5,FALSE), $B$14:U$73, U$74,FALSE),"o")=$D$5,IFERROR(VLOOKUP(VLOOKUP($B52, Dependencies!$B$2:$G$230, 6,FALSE), $B$14:U$73, U$74,FALSE),"o")=$D$5),$D$5,T52)))</f>
        <v>o</v>
      </c>
      <c r="V52" s="93" t="s">
        <v>323</v>
      </c>
      <c r="W52" s="70" t="str">
        <f>IF(V52=$D$4,V52,IF(OR(IFERROR(VLOOKUP(VLOOKUP($B52, Dependencies!$B$2:$G$230, 2,FALSE),$B$14:W$73, W$74,FALSE),"o")=$D$4,IFERROR(VLOOKUP(VLOOKUP($B52, Dependencies!$B$2:$G$230, 3,FALSE),$B$14:W$73, W$74,FALSE),"o")=$D$4,IFERROR(VLOOKUP(VLOOKUP($B52, Dependencies!$B$2:$G$230, 4,FALSE),$B$14:W$73, W$74,FALSE),"o")=$D$4,IFERROR(VLOOKUP(VLOOKUP($B52, Dependencies!$B$2:$G$230, 5,FALSE),$B$14:W$73, W$74,FALSE),"o")=$D$4,IFERROR(VLOOKUP(VLOOKUP($B52, Dependencies!$B$2:$G$230, 6,FALSE),$B$14:W$73, W$74,FALSE),"o")=$D$4),$D$4,IF(OR(IFERROR(VLOOKUP(VLOOKUP($B52, Dependencies!$B$2:$G$230, 2,FALSE), $B$14:W$73, W$74,FALSE),"o")=$D$5,IFERROR(VLOOKUP(VLOOKUP($B52, Dependencies!$B$2:$G$230, 3,FALSE), $B$14:W$73, W$74,FALSE),"o")=$D$5,IFERROR(VLOOKUP(VLOOKUP($B52, Dependencies!$B$2:$G$230, 4,FALSE), $B$14:W$73, W$74,FALSE),"o")=$D$5,IFERROR(VLOOKUP(VLOOKUP($B52, Dependencies!$B$2:$G$230, 5,FALSE), $B$14:W$73, W$74,FALSE),"o")=$D$5,IFERROR(VLOOKUP(VLOOKUP($B52, Dependencies!$B$2:$G$230, 6,FALSE), $B$14:W$73, W$74,FALSE),"o")=$D$5),$D$5,V52)))</f>
        <v>o</v>
      </c>
      <c r="X52" s="93" t="s">
        <v>323</v>
      </c>
      <c r="Y52" s="70" t="str">
        <f>IF(X52=$D$4,X52,IF(OR(IFERROR(VLOOKUP(VLOOKUP($B52, Dependencies!$B$2:$G$230, 2,FALSE),$B$14:Y$73, Y$74,FALSE),"o")=$D$4,IFERROR(VLOOKUP(VLOOKUP($B52, Dependencies!$B$2:$G$230, 3,FALSE),$B$14:Y$73, Y$74,FALSE),"o")=$D$4,IFERROR(VLOOKUP(VLOOKUP($B52, Dependencies!$B$2:$G$230, 4,FALSE),$B$14:Y$73, Y$74,FALSE),"o")=$D$4,IFERROR(VLOOKUP(VLOOKUP($B52, Dependencies!$B$2:$G$230, 5,FALSE),$B$14:Y$73, Y$74,FALSE),"o")=$D$4,IFERROR(VLOOKUP(VLOOKUP($B52, Dependencies!$B$2:$G$230, 6,FALSE),$B$14:Y$73, Y$74,FALSE),"o")=$D$4),$D$4,IF(OR(IFERROR(VLOOKUP(VLOOKUP($B52, Dependencies!$B$2:$G$230, 2,FALSE), $B$14:Y$73, Y$74,FALSE),"o")=$D$5,IFERROR(VLOOKUP(VLOOKUP($B52, Dependencies!$B$2:$G$230, 3,FALSE), $B$14:Y$73, Y$74,FALSE),"o")=$D$5,IFERROR(VLOOKUP(VLOOKUP($B52, Dependencies!$B$2:$G$230, 4,FALSE), $B$14:Y$73, Y$74,FALSE),"o")=$D$5,IFERROR(VLOOKUP(VLOOKUP($B52, Dependencies!$B$2:$G$230, 5,FALSE), $B$14:Y$73, Y$74,FALSE),"o")=$D$5,IFERROR(VLOOKUP(VLOOKUP($B52, Dependencies!$B$2:$G$230, 6,FALSE), $B$14:Y$73, Y$74,FALSE),"o")=$D$5),$D$5,X52)))</f>
        <v>o</v>
      </c>
      <c r="Z52" s="93" t="s">
        <v>323</v>
      </c>
      <c r="AA52" s="70" t="str">
        <f>IF(Z52=$D$4,Z52,IF(OR(IFERROR(VLOOKUP(VLOOKUP($B52, Dependencies!$B$2:$G$230, 2,FALSE),$B$14:AA$73, AA$74,FALSE),"o")=$D$4,IFERROR(VLOOKUP(VLOOKUP($B52, Dependencies!$B$2:$G$230, 3,FALSE),$B$14:AA$73, AA$74,FALSE),"o")=$D$4,IFERROR(VLOOKUP(VLOOKUP($B52, Dependencies!$B$2:$G$230, 4,FALSE),$B$14:AA$73, AA$74,FALSE),"o")=$D$4,IFERROR(VLOOKUP(VLOOKUP($B52, Dependencies!$B$2:$G$230, 5,FALSE),$B$14:AA$73, AA$74,FALSE),"o")=$D$4,IFERROR(VLOOKUP(VLOOKUP($B52, Dependencies!$B$2:$G$230, 6,FALSE),$B$14:AA$73, AA$74,FALSE),"o")=$D$4),$D$4,IF(OR(IFERROR(VLOOKUP(VLOOKUP($B52, Dependencies!$B$2:$G$230, 2,FALSE), $B$14:AA$73, AA$74,FALSE),"o")=$D$5,IFERROR(VLOOKUP(VLOOKUP($B52, Dependencies!$B$2:$G$230, 3,FALSE), $B$14:AA$73, AA$74,FALSE),"o")=$D$5,IFERROR(VLOOKUP(VLOOKUP($B52, Dependencies!$B$2:$G$230, 4,FALSE), $B$14:AA$73, AA$74,FALSE),"o")=$D$5,IFERROR(VLOOKUP(VLOOKUP($B52, Dependencies!$B$2:$G$230, 5,FALSE), $B$14:AA$73, AA$74,FALSE),"o")=$D$5,IFERROR(VLOOKUP(VLOOKUP($B52, Dependencies!$B$2:$G$230, 6,FALSE), $B$14:AA$73, AA$74,FALSE),"o")=$D$5),$D$5,Z52)))</f>
        <v>o</v>
      </c>
      <c r="AB52" s="93" t="s">
        <v>323</v>
      </c>
      <c r="AC52" s="70" t="str">
        <f>IF(AB52=$D$4,AB52,IF(OR(IFERROR(VLOOKUP(VLOOKUP($B52, Dependencies!$B$2:$G$230, 2,FALSE),$B$14:AC$73, AC$74,FALSE),"o")=$D$4,IFERROR(VLOOKUP(VLOOKUP($B52, Dependencies!$B$2:$G$230, 3,FALSE),$B$14:AC$73, AC$74,FALSE),"o")=$D$4,IFERROR(VLOOKUP(VLOOKUP($B52, Dependencies!$B$2:$G$230, 4,FALSE),$B$14:AC$73, AC$74,FALSE),"o")=$D$4,IFERROR(VLOOKUP(VLOOKUP($B52, Dependencies!$B$2:$G$230, 5,FALSE),$B$14:AC$73, AC$74,FALSE),"o")=$D$4,IFERROR(VLOOKUP(VLOOKUP($B52, Dependencies!$B$2:$G$230, 6,FALSE),$B$14:AC$73, AC$74,FALSE),"o")=$D$4),$D$4,IF(OR(IFERROR(VLOOKUP(VLOOKUP($B52, Dependencies!$B$2:$G$230, 2,FALSE), $B$14:AC$73, AC$74,FALSE),"o")=$D$5,IFERROR(VLOOKUP(VLOOKUP($B52, Dependencies!$B$2:$G$230, 3,FALSE), $B$14:AC$73, AC$74,FALSE),"o")=$D$5,IFERROR(VLOOKUP(VLOOKUP($B52, Dependencies!$B$2:$G$230, 4,FALSE), $B$14:AC$73, AC$74,FALSE),"o")=$D$5,IFERROR(VLOOKUP(VLOOKUP($B52, Dependencies!$B$2:$G$230, 5,FALSE), $B$14:AC$73, AC$74,FALSE),"o")=$D$5,IFERROR(VLOOKUP(VLOOKUP($B52, Dependencies!$B$2:$G$230, 6,FALSE), $B$14:AC$73, AC$74,FALSE),"o")=$D$5),$D$5,AB52)))</f>
        <v>o</v>
      </c>
      <c r="AD52" s="93" t="s">
        <v>323</v>
      </c>
      <c r="AE52" s="70" t="str">
        <f>IF(AD52=$D$4,AD52,IF(OR(IFERROR(VLOOKUP(VLOOKUP($B52, Dependencies!$B$2:$G$230, 2,FALSE),$B$14:AE$73, AE$74,FALSE),"o")=$D$4,IFERROR(VLOOKUP(VLOOKUP($B52, Dependencies!$B$2:$G$230, 3,FALSE),$B$14:AE$73, AE$74,FALSE),"o")=$D$4,IFERROR(VLOOKUP(VLOOKUP($B52, Dependencies!$B$2:$G$230, 4,FALSE),$B$14:AE$73, AE$74,FALSE),"o")=$D$4,IFERROR(VLOOKUP(VLOOKUP($B52, Dependencies!$B$2:$G$230, 5,FALSE),$B$14:AE$73, AE$74,FALSE),"o")=$D$4,IFERROR(VLOOKUP(VLOOKUP($B52, Dependencies!$B$2:$G$230, 6,FALSE),$B$14:AE$73, AE$74,FALSE),"o")=$D$4),$D$4,IF(OR(IFERROR(VLOOKUP(VLOOKUP($B52, Dependencies!$B$2:$G$230, 2,FALSE), $B$14:AE$73, AE$74,FALSE),"o")=$D$5,IFERROR(VLOOKUP(VLOOKUP($B52, Dependencies!$B$2:$G$230, 3,FALSE), $B$14:AE$73, AE$74,FALSE),"o")=$D$5,IFERROR(VLOOKUP(VLOOKUP($B52, Dependencies!$B$2:$G$230, 4,FALSE), $B$14:AE$73, AE$74,FALSE),"o")=$D$5,IFERROR(VLOOKUP(VLOOKUP($B52, Dependencies!$B$2:$G$230, 5,FALSE), $B$14:AE$73, AE$74,FALSE),"o")=$D$5,IFERROR(VLOOKUP(VLOOKUP($B52, Dependencies!$B$2:$G$230, 6,FALSE), $B$14:AE$73, AE$74,FALSE),"o")=$D$5),$D$5,AD52)))</f>
        <v>o</v>
      </c>
      <c r="AF52" s="93" t="s">
        <v>323</v>
      </c>
      <c r="AG52" s="70" t="str">
        <f>IF(AF52=$D$4,AF52,IF(OR(IFERROR(VLOOKUP(VLOOKUP($B52, Dependencies!$B$2:$G$230, 2,FALSE),$B$14:AG$73, AG$74,FALSE),"o")=$D$4,IFERROR(VLOOKUP(VLOOKUP($B52, Dependencies!$B$2:$G$230, 3,FALSE),$B$14:AG$73, AG$74,FALSE),"o")=$D$4,IFERROR(VLOOKUP(VLOOKUP($B52, Dependencies!$B$2:$G$230, 4,FALSE),$B$14:AG$73, AG$74,FALSE),"o")=$D$4,IFERROR(VLOOKUP(VLOOKUP($B52, Dependencies!$B$2:$G$230, 5,FALSE),$B$14:AG$73, AG$74,FALSE),"o")=$D$4,IFERROR(VLOOKUP(VLOOKUP($B52, Dependencies!$B$2:$G$230, 6,FALSE),$B$14:AG$73, AG$74,FALSE),"o")=$D$4),$D$4,IF(OR(IFERROR(VLOOKUP(VLOOKUP($B52, Dependencies!$B$2:$G$230, 2,FALSE), $B$14:AG$73, AG$74,FALSE),"o")=$D$5,IFERROR(VLOOKUP(VLOOKUP($B52, Dependencies!$B$2:$G$230, 3,FALSE), $B$14:AG$73, AG$74,FALSE),"o")=$D$5,IFERROR(VLOOKUP(VLOOKUP($B52, Dependencies!$B$2:$G$230, 4,FALSE), $B$14:AG$73, AG$74,FALSE),"o")=$D$5,IFERROR(VLOOKUP(VLOOKUP($B52, Dependencies!$B$2:$G$230, 5,FALSE), $B$14:AG$73, AG$74,FALSE),"o")=$D$5,IFERROR(VLOOKUP(VLOOKUP($B52, Dependencies!$B$2:$G$230, 6,FALSE), $B$14:AG$73, AG$74,FALSE),"o")=$D$5),$D$5,AF52)))</f>
        <v>o</v>
      </c>
      <c r="AH52" s="93" t="s">
        <v>323</v>
      </c>
      <c r="AI52" s="70" t="str">
        <f>IF(AH52=$D$4,AH52,IF(OR(IFERROR(VLOOKUP(VLOOKUP($B52, Dependencies!$B$2:$G$230, 2,FALSE),$B$14:AI$73, AI$74,FALSE),"o")=$D$4,IFERROR(VLOOKUP(VLOOKUP($B52, Dependencies!$B$2:$G$230, 3,FALSE),$B$14:AI$73, AI$74,FALSE),"o")=$D$4,IFERROR(VLOOKUP(VLOOKUP($B52, Dependencies!$B$2:$G$230, 4,FALSE),$B$14:AI$73, AI$74,FALSE),"o")=$D$4,IFERROR(VLOOKUP(VLOOKUP($B52, Dependencies!$B$2:$G$230, 5,FALSE),$B$14:AI$73, AI$74,FALSE),"o")=$D$4,IFERROR(VLOOKUP(VLOOKUP($B52, Dependencies!$B$2:$G$230, 6,FALSE),$B$14:AI$73, AI$74,FALSE),"o")=$D$4),$D$4,IF(OR(IFERROR(VLOOKUP(VLOOKUP($B52, Dependencies!$B$2:$G$230, 2,FALSE), $B$14:AI$73, AI$74,FALSE),"o")=$D$5,IFERROR(VLOOKUP(VLOOKUP($B52, Dependencies!$B$2:$G$230, 3,FALSE), $B$14:AI$73, AI$74,FALSE),"o")=$D$5,IFERROR(VLOOKUP(VLOOKUP($B52, Dependencies!$B$2:$G$230, 4,FALSE), $B$14:AI$73, AI$74,FALSE),"o")=$D$5,IFERROR(VLOOKUP(VLOOKUP($B52, Dependencies!$B$2:$G$230, 5,FALSE), $B$14:AI$73, AI$74,FALSE),"o")=$D$5,IFERROR(VLOOKUP(VLOOKUP($B52, Dependencies!$B$2:$G$230, 6,FALSE), $B$14:AI$73, AI$74,FALSE),"o")=$D$5),$D$5,AH52)))</f>
        <v>o</v>
      </c>
      <c r="AJ52" s="93" t="s">
        <v>323</v>
      </c>
      <c r="AK52" s="70" t="str">
        <f>IF(AJ52=$D$4,AJ52,IF(OR(IFERROR(VLOOKUP(VLOOKUP($B52, Dependencies!$B$2:$G$230, 2,FALSE),$B$14:AK$73, AK$74,FALSE),"o")=$D$4,IFERROR(VLOOKUP(VLOOKUP($B52, Dependencies!$B$2:$G$230, 3,FALSE),$B$14:AK$73, AK$74,FALSE),"o")=$D$4,IFERROR(VLOOKUP(VLOOKUP($B52, Dependencies!$B$2:$G$230, 4,FALSE),$B$14:AK$73, AK$74,FALSE),"o")=$D$4,IFERROR(VLOOKUP(VLOOKUP($B52, Dependencies!$B$2:$G$230, 5,FALSE),$B$14:AK$73, AK$74,FALSE),"o")=$D$4,IFERROR(VLOOKUP(VLOOKUP($B52, Dependencies!$B$2:$G$230, 6,FALSE),$B$14:AK$73, AK$74,FALSE),"o")=$D$4),$D$4,IF(OR(IFERROR(VLOOKUP(VLOOKUP($B52, Dependencies!$B$2:$G$230, 2,FALSE), $B$14:AK$73, AK$74,FALSE),"o")=$D$5,IFERROR(VLOOKUP(VLOOKUP($B52, Dependencies!$B$2:$G$230, 3,FALSE), $B$14:AK$73, AK$74,FALSE),"o")=$D$5,IFERROR(VLOOKUP(VLOOKUP($B52, Dependencies!$B$2:$G$230, 4,FALSE), $B$14:AK$73, AK$74,FALSE),"o")=$D$5,IFERROR(VLOOKUP(VLOOKUP($B52, Dependencies!$B$2:$G$230, 5,FALSE), $B$14:AK$73, AK$74,FALSE),"o")=$D$5,IFERROR(VLOOKUP(VLOOKUP($B52, Dependencies!$B$2:$G$230, 6,FALSE), $B$14:AK$73, AK$74,FALSE),"o")=$D$5),$D$5,AJ52)))</f>
        <v>o</v>
      </c>
      <c r="AL52" s="93" t="s">
        <v>323</v>
      </c>
      <c r="AM52" s="70" t="str">
        <f>IF(AL52=$D$4,AL52,IF(OR(IFERROR(VLOOKUP(VLOOKUP($B52, Dependencies!$B$2:$G$230, 2,FALSE),$B$14:AM$73, AM$74,FALSE),"o")=$D$4,IFERROR(VLOOKUP(VLOOKUP($B52, Dependencies!$B$2:$G$230, 3,FALSE),$B$14:AM$73, AM$74,FALSE),"o")=$D$4,IFERROR(VLOOKUP(VLOOKUP($B52, Dependencies!$B$2:$G$230, 4,FALSE),$B$14:AM$73, AM$74,FALSE),"o")=$D$4,IFERROR(VLOOKUP(VLOOKUP($B52, Dependencies!$B$2:$G$230, 5,FALSE),$B$14:AM$73, AM$74,FALSE),"o")=$D$4,IFERROR(VLOOKUP(VLOOKUP($B52, Dependencies!$B$2:$G$230, 6,FALSE),$B$14:AM$73, AM$74,FALSE),"o")=$D$4),$D$4,IF(OR(IFERROR(VLOOKUP(VLOOKUP($B52, Dependencies!$B$2:$G$230, 2,FALSE), $B$14:AM$73, AM$74,FALSE),"o")=$D$5,IFERROR(VLOOKUP(VLOOKUP($B52, Dependencies!$B$2:$G$230, 3,FALSE), $B$14:AM$73, AM$74,FALSE),"o")=$D$5,IFERROR(VLOOKUP(VLOOKUP($B52, Dependencies!$B$2:$G$230, 4,FALSE), $B$14:AM$73, AM$74,FALSE),"o")=$D$5,IFERROR(VLOOKUP(VLOOKUP($B52, Dependencies!$B$2:$G$230, 5,FALSE), $B$14:AM$73, AM$74,FALSE),"o")=$D$5,IFERROR(VLOOKUP(VLOOKUP($B52, Dependencies!$B$2:$G$230, 6,FALSE), $B$14:AM$73, AM$74,FALSE),"o")=$D$5),$D$5,AL52)))</f>
        <v>o</v>
      </c>
      <c r="AN52" s="93" t="s">
        <v>323</v>
      </c>
      <c r="AO52" s="70" t="str">
        <f>IF(AN52=$D$4,AN52,IF(OR(IFERROR(VLOOKUP(VLOOKUP($B52, Dependencies!$B$2:$G$230, 2,FALSE),$B$14:AO$73, AO$74,FALSE),"o")=$D$4,IFERROR(VLOOKUP(VLOOKUP($B52, Dependencies!$B$2:$G$230, 3,FALSE),$B$14:AO$73, AO$74,FALSE),"o")=$D$4,IFERROR(VLOOKUP(VLOOKUP($B52, Dependencies!$B$2:$G$230, 4,FALSE),$B$14:AO$73, AO$74,FALSE),"o")=$D$4,IFERROR(VLOOKUP(VLOOKUP($B52, Dependencies!$B$2:$G$230, 5,FALSE),$B$14:AO$73, AO$74,FALSE),"o")=$D$4,IFERROR(VLOOKUP(VLOOKUP($B52, Dependencies!$B$2:$G$230, 6,FALSE),$B$14:AO$73, AO$74,FALSE),"o")=$D$4),$D$4,IF(OR(IFERROR(VLOOKUP(VLOOKUP($B52, Dependencies!$B$2:$G$230, 2,FALSE), $B$14:AO$73, AO$74,FALSE),"o")=$D$5,IFERROR(VLOOKUP(VLOOKUP($B52, Dependencies!$B$2:$G$230, 3,FALSE), $B$14:AO$73, AO$74,FALSE),"o")=$D$5,IFERROR(VLOOKUP(VLOOKUP($B52, Dependencies!$B$2:$G$230, 4,FALSE), $B$14:AO$73, AO$74,FALSE),"o")=$D$5,IFERROR(VLOOKUP(VLOOKUP($B52, Dependencies!$B$2:$G$230, 5,FALSE), $B$14:AO$73, AO$74,FALSE),"o")=$D$5,IFERROR(VLOOKUP(VLOOKUP($B52, Dependencies!$B$2:$G$230, 6,FALSE), $B$14:AO$73, AO$74,FALSE),"o")=$D$5),$D$5,AN52)))</f>
        <v>o</v>
      </c>
      <c r="AP52" s="93" t="s">
        <v>323</v>
      </c>
      <c r="AQ52" s="70" t="str">
        <f>IF(AP52=$D$4,AP52,IF(OR(IFERROR(VLOOKUP(VLOOKUP($B52, Dependencies!$B$2:$G$230, 2,FALSE),$B$14:AQ$73, AQ$74,FALSE),"o")=$D$4,IFERROR(VLOOKUP(VLOOKUP($B52, Dependencies!$B$2:$G$230, 3,FALSE),$B$14:AQ$73, AQ$74,FALSE),"o")=$D$4,IFERROR(VLOOKUP(VLOOKUP($B52, Dependencies!$B$2:$G$230, 4,FALSE),$B$14:AQ$73, AQ$74,FALSE),"o")=$D$4,IFERROR(VLOOKUP(VLOOKUP($B52, Dependencies!$B$2:$G$230, 5,FALSE),$B$14:AQ$73, AQ$74,FALSE),"o")=$D$4,IFERROR(VLOOKUP(VLOOKUP($B52, Dependencies!$B$2:$G$230, 6,FALSE),$B$14:AQ$73, AQ$74,FALSE),"o")=$D$4),$D$4,IF(OR(IFERROR(VLOOKUP(VLOOKUP($B52, Dependencies!$B$2:$G$230, 2,FALSE), $B$14:AQ$73, AQ$74,FALSE),"o")=$D$5,IFERROR(VLOOKUP(VLOOKUP($B52, Dependencies!$B$2:$G$230, 3,FALSE), $B$14:AQ$73, AQ$74,FALSE),"o")=$D$5,IFERROR(VLOOKUP(VLOOKUP($B52, Dependencies!$B$2:$G$230, 4,FALSE), $B$14:AQ$73, AQ$74,FALSE),"o")=$D$5,IFERROR(VLOOKUP(VLOOKUP($B52, Dependencies!$B$2:$G$230, 5,FALSE), $B$14:AQ$73, AQ$74,FALSE),"o")=$D$5,IFERROR(VLOOKUP(VLOOKUP($B52, Dependencies!$B$2:$G$230, 6,FALSE), $B$14:AQ$73, AQ$74,FALSE),"o")=$D$5),$D$5,AP52)))</f>
        <v>o</v>
      </c>
      <c r="AR52" s="93" t="s">
        <v>323</v>
      </c>
      <c r="AS52" s="69" t="str">
        <f>IF(AR52=$D$4,AR52,IF(OR(IFERROR(VLOOKUP(VLOOKUP($B52, Dependencies!$B$2:$G$230, 2,FALSE),$B$14:AS$73, AS$74,FALSE),"o")=$D$4,IFERROR(VLOOKUP(VLOOKUP($B52, Dependencies!$B$2:$G$230, 3,FALSE),$B$14:AS$73, AS$74,FALSE),"o")=$D$4,IFERROR(VLOOKUP(VLOOKUP($B52, Dependencies!$B$2:$G$230, 4,FALSE),$B$14:AS$73, AS$74,FALSE),"o")=$D$4,IFERROR(VLOOKUP(VLOOKUP($B52, Dependencies!$B$2:$G$230, 5,FALSE),$B$14:AS$73, AS$74,FALSE),"o")=$D$4,IFERROR(VLOOKUP(VLOOKUP($B52, Dependencies!$B$2:$G$230, 6,FALSE),$B$14:AS$73, AS$74,FALSE),"o")=$D$4),$D$4,IF(OR(IFERROR(VLOOKUP(VLOOKUP($B52, Dependencies!$B$2:$G$230, 2,FALSE), $B$14:AS$73, AS$74,FALSE),"o")=$D$5,IFERROR(VLOOKUP(VLOOKUP($B52, Dependencies!$B$2:$G$230, 3,FALSE), $B$14:AS$73, AS$74,FALSE),"o")=$D$5,IFERROR(VLOOKUP(VLOOKUP($B52, Dependencies!$B$2:$G$230, 4,FALSE), $B$14:AS$73, AS$74,FALSE),"o")=$D$5,IFERROR(VLOOKUP(VLOOKUP($B52, Dependencies!$B$2:$G$230, 5,FALSE), $B$14:AS$73, AS$74,FALSE),"o")=$D$5,IFERROR(VLOOKUP(VLOOKUP($B52, Dependencies!$B$2:$G$230, 6,FALSE), $B$14:AS$73, AS$74,FALSE),"o")=$D$5),$D$5,AR52)))</f>
        <v>o</v>
      </c>
    </row>
    <row r="53" spans="1:45" x14ac:dyDescent="0.2">
      <c r="A53" s="40" t="s">
        <v>332</v>
      </c>
      <c r="B53" s="74" t="str">
        <f>MLEOsv2!A41</f>
        <v>MLEO_04_03</v>
      </c>
      <c r="C53" s="74">
        <f>MLEOsv2!C41</f>
        <v>5</v>
      </c>
      <c r="D53" s="44" t="str">
        <f>MLEOsv2!G41</f>
        <v>implement given interfaces.</v>
      </c>
      <c r="E53" s="68" t="b">
        <f>MLEOsv2!H41</f>
        <v>1</v>
      </c>
      <c r="F53" s="94" t="s">
        <v>320</v>
      </c>
      <c r="G53" s="72" t="str">
        <f>IF(F53=$D$4,F53,IF(OR(IFERROR(VLOOKUP(VLOOKUP($B53, Dependencies!$B$2:$G$230, 2,FALSE),$B$14:G$73, G$74,FALSE),"o")=$D$4,IFERROR(VLOOKUP(VLOOKUP($B53, Dependencies!$B$2:$G$230, 3,FALSE),$B$14:G$73, G$74,FALSE),"o")=$D$4,IFERROR(VLOOKUP(VLOOKUP($B53, Dependencies!$B$2:$G$230, 4,FALSE),$B$14:G$73, G$74,FALSE),"o")=$D$4,IFERROR(VLOOKUP(VLOOKUP($B53, Dependencies!$B$2:$G$230, 5,FALSE),$B$14:G$73, G$74,FALSE),"o")=$D$4,IFERROR(VLOOKUP(VLOOKUP($B53, Dependencies!$B$2:$G$230, 6,FALSE),$B$14:G$73, G$74,FALSE),"o")=$D$4),$D$4,IF(OR(IFERROR(VLOOKUP(VLOOKUP($B53, Dependencies!$B$2:$G$230, 2,FALSE), $B$14:G$73, G$74,FALSE),"o")=$D$5,IFERROR(VLOOKUP(VLOOKUP($B53, Dependencies!$B$2:$G$230, 3,FALSE), $B$14:G$73, G$74,FALSE),"o")=$D$5,IFERROR(VLOOKUP(VLOOKUP($B53, Dependencies!$B$2:$G$230, 4,FALSE), $B$14:G$73, G$74,FALSE),"o")=$D$5,IFERROR(VLOOKUP(VLOOKUP($B53, Dependencies!$B$2:$G$230, 5,FALSE), $B$14:G$73, G$74,FALSE),"o")=$D$5,IFERROR(VLOOKUP(VLOOKUP($B53, Dependencies!$B$2:$G$230, 6,FALSE), $B$14:G$73, G$74,FALSE),"o")=$D$5),$D$5,F53)))</f>
        <v>r</v>
      </c>
      <c r="H53" s="94" t="s">
        <v>321</v>
      </c>
      <c r="I53" s="72" t="str">
        <f>IF(H53=$D$4,H53,IF(OR(IFERROR(VLOOKUP(VLOOKUP($B53, Dependencies!$B$2:$G$230, 2,FALSE),$B$14:I$73, I$74,FALSE),"o")=$D$4,IFERROR(VLOOKUP(VLOOKUP($B53, Dependencies!$B$2:$G$230, 3,FALSE),$B$14:I$73, I$74,FALSE),"o")=$D$4,IFERROR(VLOOKUP(VLOOKUP($B53, Dependencies!$B$2:$G$230, 4,FALSE),$B$14:I$73, I$74,FALSE),"o")=$D$4,IFERROR(VLOOKUP(VLOOKUP($B53, Dependencies!$B$2:$G$230, 5,FALSE),$B$14:I$73, I$74,FALSE),"o")=$D$4,IFERROR(VLOOKUP(VLOOKUP($B53, Dependencies!$B$2:$G$230, 6,FALSE),$B$14:I$73, I$74,FALSE),"o")=$D$4),$D$4,IF(OR(IFERROR(VLOOKUP(VLOOKUP($B53, Dependencies!$B$2:$G$230, 2,FALSE), $B$14:I$73, I$74,FALSE),"o")=$D$5,IFERROR(VLOOKUP(VLOOKUP($B53, Dependencies!$B$2:$G$230, 3,FALSE), $B$14:I$73, I$74,FALSE),"o")=$D$5,IFERROR(VLOOKUP(VLOOKUP($B53, Dependencies!$B$2:$G$230, 4,FALSE), $B$14:I$73, I$74,FALSE),"o")=$D$5,IFERROR(VLOOKUP(VLOOKUP($B53, Dependencies!$B$2:$G$230, 5,FALSE), $B$14:I$73, I$74,FALSE),"o")=$D$5,IFERROR(VLOOKUP(VLOOKUP($B53, Dependencies!$B$2:$G$230, 6,FALSE), $B$14:I$73, I$74,FALSE),"o")=$D$5),$D$5,H53)))</f>
        <v>pr</v>
      </c>
      <c r="J53" s="94" t="s">
        <v>321</v>
      </c>
      <c r="K53" s="72" t="str">
        <f>IF(J53=$D$4,J53,IF(OR(IFERROR(VLOOKUP(VLOOKUP($B53, Dependencies!$B$2:$G$230, 2,FALSE),$B$14:K$73, K$74,FALSE),"o")=$D$4,IFERROR(VLOOKUP(VLOOKUP($B53, Dependencies!$B$2:$G$230, 3,FALSE),$B$14:K$73, K$74,FALSE),"o")=$D$4,IFERROR(VLOOKUP(VLOOKUP($B53, Dependencies!$B$2:$G$230, 4,FALSE),$B$14:K$73, K$74,FALSE),"o")=$D$4,IFERROR(VLOOKUP(VLOOKUP($B53, Dependencies!$B$2:$G$230, 5,FALSE),$B$14:K$73, K$74,FALSE),"o")=$D$4,IFERROR(VLOOKUP(VLOOKUP($B53, Dependencies!$B$2:$G$230, 6,FALSE),$B$14:K$73, K$74,FALSE),"o")=$D$4),$D$4,IF(OR(IFERROR(VLOOKUP(VLOOKUP($B53, Dependencies!$B$2:$G$230, 2,FALSE), $B$14:K$73, K$74,FALSE),"o")=$D$5,IFERROR(VLOOKUP(VLOOKUP($B53, Dependencies!$B$2:$G$230, 3,FALSE), $B$14:K$73, K$74,FALSE),"o")=$D$5,IFERROR(VLOOKUP(VLOOKUP($B53, Dependencies!$B$2:$G$230, 4,FALSE), $B$14:K$73, K$74,FALSE),"o")=$D$5,IFERROR(VLOOKUP(VLOOKUP($B53, Dependencies!$B$2:$G$230, 5,FALSE), $B$14:K$73, K$74,FALSE),"o")=$D$5,IFERROR(VLOOKUP(VLOOKUP($B53, Dependencies!$B$2:$G$230, 6,FALSE), $B$14:K$73, K$74,FALSE),"o")=$D$5),$D$5,J53)))</f>
        <v>pr</v>
      </c>
      <c r="L53" s="94" t="s">
        <v>323</v>
      </c>
      <c r="M53" s="72" t="str">
        <f>IF(L53=$D$4,L53,IF(OR(IFERROR(VLOOKUP(VLOOKUP($B53, Dependencies!$B$2:$G$230, 2,FALSE),$B$14:M$73, M$74,FALSE),"o")=$D$4,IFERROR(VLOOKUP(VLOOKUP($B53, Dependencies!$B$2:$G$230, 3,FALSE),$B$14:M$73, M$74,FALSE),"o")=$D$4,IFERROR(VLOOKUP(VLOOKUP($B53, Dependencies!$B$2:$G$230, 4,FALSE),$B$14:M$73, M$74,FALSE),"o")=$D$4,IFERROR(VLOOKUP(VLOOKUP($B53, Dependencies!$B$2:$G$230, 5,FALSE),$B$14:M$73, M$74,FALSE),"o")=$D$4,IFERROR(VLOOKUP(VLOOKUP($B53, Dependencies!$B$2:$G$230, 6,FALSE),$B$14:M$73, M$74,FALSE),"o")=$D$4),$D$4,IF(OR(IFERROR(VLOOKUP(VLOOKUP($B53, Dependencies!$B$2:$G$230, 2,FALSE), $B$14:M$73, M$74,FALSE),"o")=$D$5,IFERROR(VLOOKUP(VLOOKUP($B53, Dependencies!$B$2:$G$230, 3,FALSE), $B$14:M$73, M$74,FALSE),"o")=$D$5,IFERROR(VLOOKUP(VLOOKUP($B53, Dependencies!$B$2:$G$230, 4,FALSE), $B$14:M$73, M$74,FALSE),"o")=$D$5,IFERROR(VLOOKUP(VLOOKUP($B53, Dependencies!$B$2:$G$230, 5,FALSE), $B$14:M$73, M$74,FALSE),"o")=$D$5,IFERROR(VLOOKUP(VLOOKUP($B53, Dependencies!$B$2:$G$230, 6,FALSE), $B$14:M$73, M$74,FALSE),"o")=$D$5),$D$5,L53)))</f>
        <v>o</v>
      </c>
      <c r="N53" s="94" t="s">
        <v>323</v>
      </c>
      <c r="O53" s="72" t="str">
        <f>IF(N53=$D$4,N53,IF(OR(IFERROR(VLOOKUP(VLOOKUP($B53, Dependencies!$B$2:$G$230, 2,FALSE),$B$14:O$73, O$74,FALSE),"o")=$D$4,IFERROR(VLOOKUP(VLOOKUP($B53, Dependencies!$B$2:$G$230, 3,FALSE),$B$14:O$73, O$74,FALSE),"o")=$D$4,IFERROR(VLOOKUP(VLOOKUP($B53, Dependencies!$B$2:$G$230, 4,FALSE),$B$14:O$73, O$74,FALSE),"o")=$D$4,IFERROR(VLOOKUP(VLOOKUP($B53, Dependencies!$B$2:$G$230, 5,FALSE),$B$14:O$73, O$74,FALSE),"o")=$D$4,IFERROR(VLOOKUP(VLOOKUP($B53, Dependencies!$B$2:$G$230, 6,FALSE),$B$14:O$73, O$74,FALSE),"o")=$D$4),$D$4,IF(OR(IFERROR(VLOOKUP(VLOOKUP($B53, Dependencies!$B$2:$G$230, 2,FALSE), $B$14:O$73, O$74,FALSE),"o")=$D$5,IFERROR(VLOOKUP(VLOOKUP($B53, Dependencies!$B$2:$G$230, 3,FALSE), $B$14:O$73, O$74,FALSE),"o")=$D$5,IFERROR(VLOOKUP(VLOOKUP($B53, Dependencies!$B$2:$G$230, 4,FALSE), $B$14:O$73, O$74,FALSE),"o")=$D$5,IFERROR(VLOOKUP(VLOOKUP($B53, Dependencies!$B$2:$G$230, 5,FALSE), $B$14:O$73, O$74,FALSE),"o")=$D$5,IFERROR(VLOOKUP(VLOOKUP($B53, Dependencies!$B$2:$G$230, 6,FALSE), $B$14:O$73, O$74,FALSE),"o")=$D$5),$D$5,N53)))</f>
        <v>o</v>
      </c>
      <c r="P53" s="94" t="s">
        <v>323</v>
      </c>
      <c r="Q53" s="72" t="str">
        <f>IF(P53=$D$4,P53,IF(OR(IFERROR(VLOOKUP(VLOOKUP($B53, Dependencies!$B$2:$G$230, 2,FALSE),$B$14:Q$73, Q$74,FALSE),"o")=$D$4,IFERROR(VLOOKUP(VLOOKUP($B53, Dependencies!$B$2:$G$230, 3,FALSE),$B$14:Q$73, Q$74,FALSE),"o")=$D$4,IFERROR(VLOOKUP(VLOOKUP($B53, Dependencies!$B$2:$G$230, 4,FALSE),$B$14:Q$73, Q$74,FALSE),"o")=$D$4,IFERROR(VLOOKUP(VLOOKUP($B53, Dependencies!$B$2:$G$230, 5,FALSE),$B$14:Q$73, Q$74,FALSE),"o")=$D$4,IFERROR(VLOOKUP(VLOOKUP($B53, Dependencies!$B$2:$G$230, 6,FALSE),$B$14:Q$73, Q$74,FALSE),"o")=$D$4),$D$4,IF(OR(IFERROR(VLOOKUP(VLOOKUP($B53, Dependencies!$B$2:$G$230, 2,FALSE), $B$14:Q$73, Q$74,FALSE),"o")=$D$5,IFERROR(VLOOKUP(VLOOKUP($B53, Dependencies!$B$2:$G$230, 3,FALSE), $B$14:Q$73, Q$74,FALSE),"o")=$D$5,IFERROR(VLOOKUP(VLOOKUP($B53, Dependencies!$B$2:$G$230, 4,FALSE), $B$14:Q$73, Q$74,FALSE),"o")=$D$5,IFERROR(VLOOKUP(VLOOKUP($B53, Dependencies!$B$2:$G$230, 5,FALSE), $B$14:Q$73, Q$74,FALSE),"o")=$D$5,IFERROR(VLOOKUP(VLOOKUP($B53, Dependencies!$B$2:$G$230, 6,FALSE), $B$14:Q$73, Q$74,FALSE),"o")=$D$5),$D$5,P53)))</f>
        <v>o</v>
      </c>
      <c r="R53" s="94" t="s">
        <v>323</v>
      </c>
      <c r="S53" s="72" t="str">
        <f>IF(R53=$D$4,R53,IF(OR(IFERROR(VLOOKUP(VLOOKUP($B53, Dependencies!$B$2:$G$230, 2,FALSE),$B$14:S$73, S$74,FALSE),"o")=$D$4,IFERROR(VLOOKUP(VLOOKUP($B53, Dependencies!$B$2:$G$230, 3,FALSE),$B$14:S$73, S$74,FALSE),"o")=$D$4,IFERROR(VLOOKUP(VLOOKUP($B53, Dependencies!$B$2:$G$230, 4,FALSE),$B$14:S$73, S$74,FALSE),"o")=$D$4,IFERROR(VLOOKUP(VLOOKUP($B53, Dependencies!$B$2:$G$230, 5,FALSE),$B$14:S$73, S$74,FALSE),"o")=$D$4,IFERROR(VLOOKUP(VLOOKUP($B53, Dependencies!$B$2:$G$230, 6,FALSE),$B$14:S$73, S$74,FALSE),"o")=$D$4),$D$4,IF(OR(IFERROR(VLOOKUP(VLOOKUP($B53, Dependencies!$B$2:$G$230, 2,FALSE), $B$14:S$73, S$74,FALSE),"o")=$D$5,IFERROR(VLOOKUP(VLOOKUP($B53, Dependencies!$B$2:$G$230, 3,FALSE), $B$14:S$73, S$74,FALSE),"o")=$D$5,IFERROR(VLOOKUP(VLOOKUP($B53, Dependencies!$B$2:$G$230, 4,FALSE), $B$14:S$73, S$74,FALSE),"o")=$D$5,IFERROR(VLOOKUP(VLOOKUP($B53, Dependencies!$B$2:$G$230, 5,FALSE), $B$14:S$73, S$74,FALSE),"o")=$D$5,IFERROR(VLOOKUP(VLOOKUP($B53, Dependencies!$B$2:$G$230, 6,FALSE), $B$14:S$73, S$74,FALSE),"o")=$D$5),$D$5,R53)))</f>
        <v>o</v>
      </c>
      <c r="T53" s="94" t="s">
        <v>323</v>
      </c>
      <c r="U53" s="72" t="str">
        <f>IF(T53=$D$4,T53,IF(OR(IFERROR(VLOOKUP(VLOOKUP($B53, Dependencies!$B$2:$G$230, 2,FALSE),$B$14:U$73, U$74,FALSE),"o")=$D$4,IFERROR(VLOOKUP(VLOOKUP($B53, Dependencies!$B$2:$G$230, 3,FALSE),$B$14:U$73, U$74,FALSE),"o")=$D$4,IFERROR(VLOOKUP(VLOOKUP($B53, Dependencies!$B$2:$G$230, 4,FALSE),$B$14:U$73, U$74,FALSE),"o")=$D$4,IFERROR(VLOOKUP(VLOOKUP($B53, Dependencies!$B$2:$G$230, 5,FALSE),$B$14:U$73, U$74,FALSE),"o")=$D$4,IFERROR(VLOOKUP(VLOOKUP($B53, Dependencies!$B$2:$G$230, 6,FALSE),$B$14:U$73, U$74,FALSE),"o")=$D$4),$D$4,IF(OR(IFERROR(VLOOKUP(VLOOKUP($B53, Dependencies!$B$2:$G$230, 2,FALSE), $B$14:U$73, U$74,FALSE),"o")=$D$5,IFERROR(VLOOKUP(VLOOKUP($B53, Dependencies!$B$2:$G$230, 3,FALSE), $B$14:U$73, U$74,FALSE),"o")=$D$5,IFERROR(VLOOKUP(VLOOKUP($B53, Dependencies!$B$2:$G$230, 4,FALSE), $B$14:U$73, U$74,FALSE),"o")=$D$5,IFERROR(VLOOKUP(VLOOKUP($B53, Dependencies!$B$2:$G$230, 5,FALSE), $B$14:U$73, U$74,FALSE),"o")=$D$5,IFERROR(VLOOKUP(VLOOKUP($B53, Dependencies!$B$2:$G$230, 6,FALSE), $B$14:U$73, U$74,FALSE),"o")=$D$5),$D$5,T53)))</f>
        <v>o</v>
      </c>
      <c r="V53" s="94" t="s">
        <v>323</v>
      </c>
      <c r="W53" s="72" t="str">
        <f>IF(V53=$D$4,V53,IF(OR(IFERROR(VLOOKUP(VLOOKUP($B53, Dependencies!$B$2:$G$230, 2,FALSE),$B$14:W$73, W$74,FALSE),"o")=$D$4,IFERROR(VLOOKUP(VLOOKUP($B53, Dependencies!$B$2:$G$230, 3,FALSE),$B$14:W$73, W$74,FALSE),"o")=$D$4,IFERROR(VLOOKUP(VLOOKUP($B53, Dependencies!$B$2:$G$230, 4,FALSE),$B$14:W$73, W$74,FALSE),"o")=$D$4,IFERROR(VLOOKUP(VLOOKUP($B53, Dependencies!$B$2:$G$230, 5,FALSE),$B$14:W$73, W$74,FALSE),"o")=$D$4,IFERROR(VLOOKUP(VLOOKUP($B53, Dependencies!$B$2:$G$230, 6,FALSE),$B$14:W$73, W$74,FALSE),"o")=$D$4),$D$4,IF(OR(IFERROR(VLOOKUP(VLOOKUP($B53, Dependencies!$B$2:$G$230, 2,FALSE), $B$14:W$73, W$74,FALSE),"o")=$D$5,IFERROR(VLOOKUP(VLOOKUP($B53, Dependencies!$B$2:$G$230, 3,FALSE), $B$14:W$73, W$74,FALSE),"o")=$D$5,IFERROR(VLOOKUP(VLOOKUP($B53, Dependencies!$B$2:$G$230, 4,FALSE), $B$14:W$73, W$74,FALSE),"o")=$D$5,IFERROR(VLOOKUP(VLOOKUP($B53, Dependencies!$B$2:$G$230, 5,FALSE), $B$14:W$73, W$74,FALSE),"o")=$D$5,IFERROR(VLOOKUP(VLOOKUP($B53, Dependencies!$B$2:$G$230, 6,FALSE), $B$14:W$73, W$74,FALSE),"o")=$D$5),$D$5,V53)))</f>
        <v>o</v>
      </c>
      <c r="X53" s="94" t="s">
        <v>323</v>
      </c>
      <c r="Y53" s="72" t="str">
        <f>IF(X53=$D$4,X53,IF(OR(IFERROR(VLOOKUP(VLOOKUP($B53, Dependencies!$B$2:$G$230, 2,FALSE),$B$14:Y$73, Y$74,FALSE),"o")=$D$4,IFERROR(VLOOKUP(VLOOKUP($B53, Dependencies!$B$2:$G$230, 3,FALSE),$B$14:Y$73, Y$74,FALSE),"o")=$D$4,IFERROR(VLOOKUP(VLOOKUP($B53, Dependencies!$B$2:$G$230, 4,FALSE),$B$14:Y$73, Y$74,FALSE),"o")=$D$4,IFERROR(VLOOKUP(VLOOKUP($B53, Dependencies!$B$2:$G$230, 5,FALSE),$B$14:Y$73, Y$74,FALSE),"o")=$D$4,IFERROR(VLOOKUP(VLOOKUP($B53, Dependencies!$B$2:$G$230, 6,FALSE),$B$14:Y$73, Y$74,FALSE),"o")=$D$4),$D$4,IF(OR(IFERROR(VLOOKUP(VLOOKUP($B53, Dependencies!$B$2:$G$230, 2,FALSE), $B$14:Y$73, Y$74,FALSE),"o")=$D$5,IFERROR(VLOOKUP(VLOOKUP($B53, Dependencies!$B$2:$G$230, 3,FALSE), $B$14:Y$73, Y$74,FALSE),"o")=$D$5,IFERROR(VLOOKUP(VLOOKUP($B53, Dependencies!$B$2:$G$230, 4,FALSE), $B$14:Y$73, Y$74,FALSE),"o")=$D$5,IFERROR(VLOOKUP(VLOOKUP($B53, Dependencies!$B$2:$G$230, 5,FALSE), $B$14:Y$73, Y$74,FALSE),"o")=$D$5,IFERROR(VLOOKUP(VLOOKUP($B53, Dependencies!$B$2:$G$230, 6,FALSE), $B$14:Y$73, Y$74,FALSE),"o")=$D$5),$D$5,X53)))</f>
        <v>o</v>
      </c>
      <c r="Z53" s="94" t="s">
        <v>323</v>
      </c>
      <c r="AA53" s="72" t="str">
        <f>IF(Z53=$D$4,Z53,IF(OR(IFERROR(VLOOKUP(VLOOKUP($B53, Dependencies!$B$2:$G$230, 2,FALSE),$B$14:AA$73, AA$74,FALSE),"o")=$D$4,IFERROR(VLOOKUP(VLOOKUP($B53, Dependencies!$B$2:$G$230, 3,FALSE),$B$14:AA$73, AA$74,FALSE),"o")=$D$4,IFERROR(VLOOKUP(VLOOKUP($B53, Dependencies!$B$2:$G$230, 4,FALSE),$B$14:AA$73, AA$74,FALSE),"o")=$D$4,IFERROR(VLOOKUP(VLOOKUP($B53, Dependencies!$B$2:$G$230, 5,FALSE),$B$14:AA$73, AA$74,FALSE),"o")=$D$4,IFERROR(VLOOKUP(VLOOKUP($B53, Dependencies!$B$2:$G$230, 6,FALSE),$B$14:AA$73, AA$74,FALSE),"o")=$D$4),$D$4,IF(OR(IFERROR(VLOOKUP(VLOOKUP($B53, Dependencies!$B$2:$G$230, 2,FALSE), $B$14:AA$73, AA$74,FALSE),"o")=$D$5,IFERROR(VLOOKUP(VLOOKUP($B53, Dependencies!$B$2:$G$230, 3,FALSE), $B$14:AA$73, AA$74,FALSE),"o")=$D$5,IFERROR(VLOOKUP(VLOOKUP($B53, Dependencies!$B$2:$G$230, 4,FALSE), $B$14:AA$73, AA$74,FALSE),"o")=$D$5,IFERROR(VLOOKUP(VLOOKUP($B53, Dependencies!$B$2:$G$230, 5,FALSE), $B$14:AA$73, AA$74,FALSE),"o")=$D$5,IFERROR(VLOOKUP(VLOOKUP($B53, Dependencies!$B$2:$G$230, 6,FALSE), $B$14:AA$73, AA$74,FALSE),"o")=$D$5),$D$5,Z53)))</f>
        <v>o</v>
      </c>
      <c r="AB53" s="94" t="s">
        <v>323</v>
      </c>
      <c r="AC53" s="72" t="str">
        <f>IF(AB53=$D$4,AB53,IF(OR(IFERROR(VLOOKUP(VLOOKUP($B53, Dependencies!$B$2:$G$230, 2,FALSE),$B$14:AC$73, AC$74,FALSE),"o")=$D$4,IFERROR(VLOOKUP(VLOOKUP($B53, Dependencies!$B$2:$G$230, 3,FALSE),$B$14:AC$73, AC$74,FALSE),"o")=$D$4,IFERROR(VLOOKUP(VLOOKUP($B53, Dependencies!$B$2:$G$230, 4,FALSE),$B$14:AC$73, AC$74,FALSE),"o")=$D$4,IFERROR(VLOOKUP(VLOOKUP($B53, Dependencies!$B$2:$G$230, 5,FALSE),$B$14:AC$73, AC$74,FALSE),"o")=$D$4,IFERROR(VLOOKUP(VLOOKUP($B53, Dependencies!$B$2:$G$230, 6,FALSE),$B$14:AC$73, AC$74,FALSE),"o")=$D$4),$D$4,IF(OR(IFERROR(VLOOKUP(VLOOKUP($B53, Dependencies!$B$2:$G$230, 2,FALSE), $B$14:AC$73, AC$74,FALSE),"o")=$D$5,IFERROR(VLOOKUP(VLOOKUP($B53, Dependencies!$B$2:$G$230, 3,FALSE), $B$14:AC$73, AC$74,FALSE),"o")=$D$5,IFERROR(VLOOKUP(VLOOKUP($B53, Dependencies!$B$2:$G$230, 4,FALSE), $B$14:AC$73, AC$74,FALSE),"o")=$D$5,IFERROR(VLOOKUP(VLOOKUP($B53, Dependencies!$B$2:$G$230, 5,FALSE), $B$14:AC$73, AC$74,FALSE),"o")=$D$5,IFERROR(VLOOKUP(VLOOKUP($B53, Dependencies!$B$2:$G$230, 6,FALSE), $B$14:AC$73, AC$74,FALSE),"o")=$D$5),$D$5,AB53)))</f>
        <v>o</v>
      </c>
      <c r="AD53" s="94" t="s">
        <v>323</v>
      </c>
      <c r="AE53" s="72" t="str">
        <f>IF(AD53=$D$4,AD53,IF(OR(IFERROR(VLOOKUP(VLOOKUP($B53, Dependencies!$B$2:$G$230, 2,FALSE),$B$14:AE$73, AE$74,FALSE),"o")=$D$4,IFERROR(VLOOKUP(VLOOKUP($B53, Dependencies!$B$2:$G$230, 3,FALSE),$B$14:AE$73, AE$74,FALSE),"o")=$D$4,IFERROR(VLOOKUP(VLOOKUP($B53, Dependencies!$B$2:$G$230, 4,FALSE),$B$14:AE$73, AE$74,FALSE),"o")=$D$4,IFERROR(VLOOKUP(VLOOKUP($B53, Dependencies!$B$2:$G$230, 5,FALSE),$B$14:AE$73, AE$74,FALSE),"o")=$D$4,IFERROR(VLOOKUP(VLOOKUP($B53, Dependencies!$B$2:$G$230, 6,FALSE),$B$14:AE$73, AE$74,FALSE),"o")=$D$4),$D$4,IF(OR(IFERROR(VLOOKUP(VLOOKUP($B53, Dependencies!$B$2:$G$230, 2,FALSE), $B$14:AE$73, AE$74,FALSE),"o")=$D$5,IFERROR(VLOOKUP(VLOOKUP($B53, Dependencies!$B$2:$G$230, 3,FALSE), $B$14:AE$73, AE$74,FALSE),"o")=$D$5,IFERROR(VLOOKUP(VLOOKUP($B53, Dependencies!$B$2:$G$230, 4,FALSE), $B$14:AE$73, AE$74,FALSE),"o")=$D$5,IFERROR(VLOOKUP(VLOOKUP($B53, Dependencies!$B$2:$G$230, 5,FALSE), $B$14:AE$73, AE$74,FALSE),"o")=$D$5,IFERROR(VLOOKUP(VLOOKUP($B53, Dependencies!$B$2:$G$230, 6,FALSE), $B$14:AE$73, AE$74,FALSE),"o")=$D$5),$D$5,AD53)))</f>
        <v>o</v>
      </c>
      <c r="AF53" s="94" t="s">
        <v>323</v>
      </c>
      <c r="AG53" s="72" t="str">
        <f>IF(AF53=$D$4,AF53,IF(OR(IFERROR(VLOOKUP(VLOOKUP($B53, Dependencies!$B$2:$G$230, 2,FALSE),$B$14:AG$73, AG$74,FALSE),"o")=$D$4,IFERROR(VLOOKUP(VLOOKUP($B53, Dependencies!$B$2:$G$230, 3,FALSE),$B$14:AG$73, AG$74,FALSE),"o")=$D$4,IFERROR(VLOOKUP(VLOOKUP($B53, Dependencies!$B$2:$G$230, 4,FALSE),$B$14:AG$73, AG$74,FALSE),"o")=$D$4,IFERROR(VLOOKUP(VLOOKUP($B53, Dependencies!$B$2:$G$230, 5,FALSE),$B$14:AG$73, AG$74,FALSE),"o")=$D$4,IFERROR(VLOOKUP(VLOOKUP($B53, Dependencies!$B$2:$G$230, 6,FALSE),$B$14:AG$73, AG$74,FALSE),"o")=$D$4),$D$4,IF(OR(IFERROR(VLOOKUP(VLOOKUP($B53, Dependencies!$B$2:$G$230, 2,FALSE), $B$14:AG$73, AG$74,FALSE),"o")=$D$5,IFERROR(VLOOKUP(VLOOKUP($B53, Dependencies!$B$2:$G$230, 3,FALSE), $B$14:AG$73, AG$74,FALSE),"o")=$D$5,IFERROR(VLOOKUP(VLOOKUP($B53, Dependencies!$B$2:$G$230, 4,FALSE), $B$14:AG$73, AG$74,FALSE),"o")=$D$5,IFERROR(VLOOKUP(VLOOKUP($B53, Dependencies!$B$2:$G$230, 5,FALSE), $B$14:AG$73, AG$74,FALSE),"o")=$D$5,IFERROR(VLOOKUP(VLOOKUP($B53, Dependencies!$B$2:$G$230, 6,FALSE), $B$14:AG$73, AG$74,FALSE),"o")=$D$5),$D$5,AF53)))</f>
        <v>o</v>
      </c>
      <c r="AH53" s="94" t="s">
        <v>323</v>
      </c>
      <c r="AI53" s="72" t="str">
        <f>IF(AH53=$D$4,AH53,IF(OR(IFERROR(VLOOKUP(VLOOKUP($B53, Dependencies!$B$2:$G$230, 2,FALSE),$B$14:AI$73, AI$74,FALSE),"o")=$D$4,IFERROR(VLOOKUP(VLOOKUP($B53, Dependencies!$B$2:$G$230, 3,FALSE),$B$14:AI$73, AI$74,FALSE),"o")=$D$4,IFERROR(VLOOKUP(VLOOKUP($B53, Dependencies!$B$2:$G$230, 4,FALSE),$B$14:AI$73, AI$74,FALSE),"o")=$D$4,IFERROR(VLOOKUP(VLOOKUP($B53, Dependencies!$B$2:$G$230, 5,FALSE),$B$14:AI$73, AI$74,FALSE),"o")=$D$4,IFERROR(VLOOKUP(VLOOKUP($B53, Dependencies!$B$2:$G$230, 6,FALSE),$B$14:AI$73, AI$74,FALSE),"o")=$D$4),$D$4,IF(OR(IFERROR(VLOOKUP(VLOOKUP($B53, Dependencies!$B$2:$G$230, 2,FALSE), $B$14:AI$73, AI$74,FALSE),"o")=$D$5,IFERROR(VLOOKUP(VLOOKUP($B53, Dependencies!$B$2:$G$230, 3,FALSE), $B$14:AI$73, AI$74,FALSE),"o")=$D$5,IFERROR(VLOOKUP(VLOOKUP($B53, Dependencies!$B$2:$G$230, 4,FALSE), $B$14:AI$73, AI$74,FALSE),"o")=$D$5,IFERROR(VLOOKUP(VLOOKUP($B53, Dependencies!$B$2:$G$230, 5,FALSE), $B$14:AI$73, AI$74,FALSE),"o")=$D$5,IFERROR(VLOOKUP(VLOOKUP($B53, Dependencies!$B$2:$G$230, 6,FALSE), $B$14:AI$73, AI$74,FALSE),"o")=$D$5),$D$5,AH53)))</f>
        <v>o</v>
      </c>
      <c r="AJ53" s="94" t="s">
        <v>323</v>
      </c>
      <c r="AK53" s="72" t="str">
        <f>IF(AJ53=$D$4,AJ53,IF(OR(IFERROR(VLOOKUP(VLOOKUP($B53, Dependencies!$B$2:$G$230, 2,FALSE),$B$14:AK$73, AK$74,FALSE),"o")=$D$4,IFERROR(VLOOKUP(VLOOKUP($B53, Dependencies!$B$2:$G$230, 3,FALSE),$B$14:AK$73, AK$74,FALSE),"o")=$D$4,IFERROR(VLOOKUP(VLOOKUP($B53, Dependencies!$B$2:$G$230, 4,FALSE),$B$14:AK$73, AK$74,FALSE),"o")=$D$4,IFERROR(VLOOKUP(VLOOKUP($B53, Dependencies!$B$2:$G$230, 5,FALSE),$B$14:AK$73, AK$74,FALSE),"o")=$D$4,IFERROR(VLOOKUP(VLOOKUP($B53, Dependencies!$B$2:$G$230, 6,FALSE),$B$14:AK$73, AK$74,FALSE),"o")=$D$4),$D$4,IF(OR(IFERROR(VLOOKUP(VLOOKUP($B53, Dependencies!$B$2:$G$230, 2,FALSE), $B$14:AK$73, AK$74,FALSE),"o")=$D$5,IFERROR(VLOOKUP(VLOOKUP($B53, Dependencies!$B$2:$G$230, 3,FALSE), $B$14:AK$73, AK$74,FALSE),"o")=$D$5,IFERROR(VLOOKUP(VLOOKUP($B53, Dependencies!$B$2:$G$230, 4,FALSE), $B$14:AK$73, AK$74,FALSE),"o")=$D$5,IFERROR(VLOOKUP(VLOOKUP($B53, Dependencies!$B$2:$G$230, 5,FALSE), $B$14:AK$73, AK$74,FALSE),"o")=$D$5,IFERROR(VLOOKUP(VLOOKUP($B53, Dependencies!$B$2:$G$230, 6,FALSE), $B$14:AK$73, AK$74,FALSE),"o")=$D$5),$D$5,AJ53)))</f>
        <v>o</v>
      </c>
      <c r="AL53" s="94" t="s">
        <v>323</v>
      </c>
      <c r="AM53" s="72" t="str">
        <f>IF(AL53=$D$4,AL53,IF(OR(IFERROR(VLOOKUP(VLOOKUP($B53, Dependencies!$B$2:$G$230, 2,FALSE),$B$14:AM$73, AM$74,FALSE),"o")=$D$4,IFERROR(VLOOKUP(VLOOKUP($B53, Dependencies!$B$2:$G$230, 3,FALSE),$B$14:AM$73, AM$74,FALSE),"o")=$D$4,IFERROR(VLOOKUP(VLOOKUP($B53, Dependencies!$B$2:$G$230, 4,FALSE),$B$14:AM$73, AM$74,FALSE),"o")=$D$4,IFERROR(VLOOKUP(VLOOKUP($B53, Dependencies!$B$2:$G$230, 5,FALSE),$B$14:AM$73, AM$74,FALSE),"o")=$D$4,IFERROR(VLOOKUP(VLOOKUP($B53, Dependencies!$B$2:$G$230, 6,FALSE),$B$14:AM$73, AM$74,FALSE),"o")=$D$4),$D$4,IF(OR(IFERROR(VLOOKUP(VLOOKUP($B53, Dependencies!$B$2:$G$230, 2,FALSE), $B$14:AM$73, AM$74,FALSE),"o")=$D$5,IFERROR(VLOOKUP(VLOOKUP($B53, Dependencies!$B$2:$G$230, 3,FALSE), $B$14:AM$73, AM$74,FALSE),"o")=$D$5,IFERROR(VLOOKUP(VLOOKUP($B53, Dependencies!$B$2:$G$230, 4,FALSE), $B$14:AM$73, AM$74,FALSE),"o")=$D$5,IFERROR(VLOOKUP(VLOOKUP($B53, Dependencies!$B$2:$G$230, 5,FALSE), $B$14:AM$73, AM$74,FALSE),"o")=$D$5,IFERROR(VLOOKUP(VLOOKUP($B53, Dependencies!$B$2:$G$230, 6,FALSE), $B$14:AM$73, AM$74,FALSE),"o")=$D$5),$D$5,AL53)))</f>
        <v>o</v>
      </c>
      <c r="AN53" s="94" t="s">
        <v>323</v>
      </c>
      <c r="AO53" s="72" t="str">
        <f>IF(AN53=$D$4,AN53,IF(OR(IFERROR(VLOOKUP(VLOOKUP($B53, Dependencies!$B$2:$G$230, 2,FALSE),$B$14:AO$73, AO$74,FALSE),"o")=$D$4,IFERROR(VLOOKUP(VLOOKUP($B53, Dependencies!$B$2:$G$230, 3,FALSE),$B$14:AO$73, AO$74,FALSE),"o")=$D$4,IFERROR(VLOOKUP(VLOOKUP($B53, Dependencies!$B$2:$G$230, 4,FALSE),$B$14:AO$73, AO$74,FALSE),"o")=$D$4,IFERROR(VLOOKUP(VLOOKUP($B53, Dependencies!$B$2:$G$230, 5,FALSE),$B$14:AO$73, AO$74,FALSE),"o")=$D$4,IFERROR(VLOOKUP(VLOOKUP($B53, Dependencies!$B$2:$G$230, 6,FALSE),$B$14:AO$73, AO$74,FALSE),"o")=$D$4),$D$4,IF(OR(IFERROR(VLOOKUP(VLOOKUP($B53, Dependencies!$B$2:$G$230, 2,FALSE), $B$14:AO$73, AO$74,FALSE),"o")=$D$5,IFERROR(VLOOKUP(VLOOKUP($B53, Dependencies!$B$2:$G$230, 3,FALSE), $B$14:AO$73, AO$74,FALSE),"o")=$D$5,IFERROR(VLOOKUP(VLOOKUP($B53, Dependencies!$B$2:$G$230, 4,FALSE), $B$14:AO$73, AO$74,FALSE),"o")=$D$5,IFERROR(VLOOKUP(VLOOKUP($B53, Dependencies!$B$2:$G$230, 5,FALSE), $B$14:AO$73, AO$74,FALSE),"o")=$D$5,IFERROR(VLOOKUP(VLOOKUP($B53, Dependencies!$B$2:$G$230, 6,FALSE), $B$14:AO$73, AO$74,FALSE),"o")=$D$5),$D$5,AN53)))</f>
        <v>o</v>
      </c>
      <c r="AP53" s="94" t="s">
        <v>323</v>
      </c>
      <c r="AQ53" s="72" t="str">
        <f>IF(AP53=$D$4,AP53,IF(OR(IFERROR(VLOOKUP(VLOOKUP($B53, Dependencies!$B$2:$G$230, 2,FALSE),$B$14:AQ$73, AQ$74,FALSE),"o")=$D$4,IFERROR(VLOOKUP(VLOOKUP($B53, Dependencies!$B$2:$G$230, 3,FALSE),$B$14:AQ$73, AQ$74,FALSE),"o")=$D$4,IFERROR(VLOOKUP(VLOOKUP($B53, Dependencies!$B$2:$G$230, 4,FALSE),$B$14:AQ$73, AQ$74,FALSE),"o")=$D$4,IFERROR(VLOOKUP(VLOOKUP($B53, Dependencies!$B$2:$G$230, 5,FALSE),$B$14:AQ$73, AQ$74,FALSE),"o")=$D$4,IFERROR(VLOOKUP(VLOOKUP($B53, Dependencies!$B$2:$G$230, 6,FALSE),$B$14:AQ$73, AQ$74,FALSE),"o")=$D$4),$D$4,IF(OR(IFERROR(VLOOKUP(VLOOKUP($B53, Dependencies!$B$2:$G$230, 2,FALSE), $B$14:AQ$73, AQ$74,FALSE),"o")=$D$5,IFERROR(VLOOKUP(VLOOKUP($B53, Dependencies!$B$2:$G$230, 3,FALSE), $B$14:AQ$73, AQ$74,FALSE),"o")=$D$5,IFERROR(VLOOKUP(VLOOKUP($B53, Dependencies!$B$2:$G$230, 4,FALSE), $B$14:AQ$73, AQ$74,FALSE),"o")=$D$5,IFERROR(VLOOKUP(VLOOKUP($B53, Dependencies!$B$2:$G$230, 5,FALSE), $B$14:AQ$73, AQ$74,FALSE),"o")=$D$5,IFERROR(VLOOKUP(VLOOKUP($B53, Dependencies!$B$2:$G$230, 6,FALSE), $B$14:AQ$73, AQ$74,FALSE),"o")=$D$5),$D$5,AP53)))</f>
        <v>o</v>
      </c>
      <c r="AR53" s="94" t="s">
        <v>323</v>
      </c>
      <c r="AS53" s="71" t="str">
        <f>IF(AR53=$D$4,AR53,IF(OR(IFERROR(VLOOKUP(VLOOKUP($B53, Dependencies!$B$2:$G$230, 2,FALSE),$B$14:AS$73, AS$74,FALSE),"o")=$D$4,IFERROR(VLOOKUP(VLOOKUP($B53, Dependencies!$B$2:$G$230, 3,FALSE),$B$14:AS$73, AS$74,FALSE),"o")=$D$4,IFERROR(VLOOKUP(VLOOKUP($B53, Dependencies!$B$2:$G$230, 4,FALSE),$B$14:AS$73, AS$74,FALSE),"o")=$D$4,IFERROR(VLOOKUP(VLOOKUP($B53, Dependencies!$B$2:$G$230, 5,FALSE),$B$14:AS$73, AS$74,FALSE),"o")=$D$4,IFERROR(VLOOKUP(VLOOKUP($B53, Dependencies!$B$2:$G$230, 6,FALSE),$B$14:AS$73, AS$74,FALSE),"o")=$D$4),$D$4,IF(OR(IFERROR(VLOOKUP(VLOOKUP($B53, Dependencies!$B$2:$G$230, 2,FALSE), $B$14:AS$73, AS$74,FALSE),"o")=$D$5,IFERROR(VLOOKUP(VLOOKUP($B53, Dependencies!$B$2:$G$230, 3,FALSE), $B$14:AS$73, AS$74,FALSE),"o")=$D$5,IFERROR(VLOOKUP(VLOOKUP($B53, Dependencies!$B$2:$G$230, 4,FALSE), $B$14:AS$73, AS$74,FALSE),"o")=$D$5,IFERROR(VLOOKUP(VLOOKUP($B53, Dependencies!$B$2:$G$230, 5,FALSE), $B$14:AS$73, AS$74,FALSE),"o")=$D$5,IFERROR(VLOOKUP(VLOOKUP($B53, Dependencies!$B$2:$G$230, 6,FALSE), $B$14:AS$73, AS$74,FALSE),"o")=$D$5),$D$5,AR53)))</f>
        <v>o</v>
      </c>
    </row>
    <row r="54" spans="1:45" x14ac:dyDescent="0.2">
      <c r="A54" s="40"/>
      <c r="B54" s="73" t="str">
        <f>MLEOsv2!A42</f>
        <v>MLEO_03_01</v>
      </c>
      <c r="C54" s="73">
        <f>MLEOsv2!C42</f>
        <v>5</v>
      </c>
      <c r="D54" s="42" t="str">
        <f>MLEOsv2!G42</f>
        <v>implement conversion constructors.</v>
      </c>
      <c r="E54" s="51" t="b">
        <f>MLEOsv2!H42</f>
        <v>0</v>
      </c>
      <c r="F54" s="93" t="s">
        <v>320</v>
      </c>
      <c r="G54" s="70" t="str">
        <f>IF(F54=$D$4,F54,IF(OR(IFERROR(VLOOKUP(VLOOKUP($B54, Dependencies!$B$2:$G$230, 2,FALSE),$B$14:G$73, G$74,FALSE),"o")=$D$4,IFERROR(VLOOKUP(VLOOKUP($B54, Dependencies!$B$2:$G$230, 3,FALSE),$B$14:G$73, G$74,FALSE),"o")=$D$4,IFERROR(VLOOKUP(VLOOKUP($B54, Dependencies!$B$2:$G$230, 4,FALSE),$B$14:G$73, G$74,FALSE),"o")=$D$4,IFERROR(VLOOKUP(VLOOKUP($B54, Dependencies!$B$2:$G$230, 5,FALSE),$B$14:G$73, G$74,FALSE),"o")=$D$4,IFERROR(VLOOKUP(VLOOKUP($B54, Dependencies!$B$2:$G$230, 6,FALSE),$B$14:G$73, G$74,FALSE),"o")=$D$4),$D$4,IF(OR(IFERROR(VLOOKUP(VLOOKUP($B54, Dependencies!$B$2:$G$230, 2,FALSE), $B$14:G$73, G$74,FALSE),"o")=$D$5,IFERROR(VLOOKUP(VLOOKUP($B54, Dependencies!$B$2:$G$230, 3,FALSE), $B$14:G$73, G$74,FALSE),"o")=$D$5,IFERROR(VLOOKUP(VLOOKUP($B54, Dependencies!$B$2:$G$230, 4,FALSE), $B$14:G$73, G$74,FALSE),"o")=$D$5,IFERROR(VLOOKUP(VLOOKUP($B54, Dependencies!$B$2:$G$230, 5,FALSE), $B$14:G$73, G$74,FALSE),"o")=$D$5,IFERROR(VLOOKUP(VLOOKUP($B54, Dependencies!$B$2:$G$230, 6,FALSE), $B$14:G$73, G$74,FALSE),"o")=$D$5),$D$5,F54)))</f>
        <v>r</v>
      </c>
      <c r="H54" s="93" t="s">
        <v>321</v>
      </c>
      <c r="I54" s="70" t="str">
        <f>IF(H54=$D$4,H54,IF(OR(IFERROR(VLOOKUP(VLOOKUP($B54, Dependencies!$B$2:$G$230, 2,FALSE),$B$14:I$73, I$74,FALSE),"o")=$D$4,IFERROR(VLOOKUP(VLOOKUP($B54, Dependencies!$B$2:$G$230, 3,FALSE),$B$14:I$73, I$74,FALSE),"o")=$D$4,IFERROR(VLOOKUP(VLOOKUP($B54, Dependencies!$B$2:$G$230, 4,FALSE),$B$14:I$73, I$74,FALSE),"o")=$D$4,IFERROR(VLOOKUP(VLOOKUP($B54, Dependencies!$B$2:$G$230, 5,FALSE),$B$14:I$73, I$74,FALSE),"o")=$D$4,IFERROR(VLOOKUP(VLOOKUP($B54, Dependencies!$B$2:$G$230, 6,FALSE),$B$14:I$73, I$74,FALSE),"o")=$D$4),$D$4,IF(OR(IFERROR(VLOOKUP(VLOOKUP($B54, Dependencies!$B$2:$G$230, 2,FALSE), $B$14:I$73, I$74,FALSE),"o")=$D$5,IFERROR(VLOOKUP(VLOOKUP($B54, Dependencies!$B$2:$G$230, 3,FALSE), $B$14:I$73, I$74,FALSE),"o")=$D$5,IFERROR(VLOOKUP(VLOOKUP($B54, Dependencies!$B$2:$G$230, 4,FALSE), $B$14:I$73, I$74,FALSE),"o")=$D$5,IFERROR(VLOOKUP(VLOOKUP($B54, Dependencies!$B$2:$G$230, 5,FALSE), $B$14:I$73, I$74,FALSE),"o")=$D$5,IFERROR(VLOOKUP(VLOOKUP($B54, Dependencies!$B$2:$G$230, 6,FALSE), $B$14:I$73, I$74,FALSE),"o")=$D$5),$D$5,H54)))</f>
        <v>pr</v>
      </c>
      <c r="J54" s="93" t="s">
        <v>323</v>
      </c>
      <c r="K54" s="70" t="str">
        <f>IF(J54=$D$4,J54,IF(OR(IFERROR(VLOOKUP(VLOOKUP($B54, Dependencies!$B$2:$G$230, 2,FALSE),$B$14:K$73, K$74,FALSE),"o")=$D$4,IFERROR(VLOOKUP(VLOOKUP($B54, Dependencies!$B$2:$G$230, 3,FALSE),$B$14:K$73, K$74,FALSE),"o")=$D$4,IFERROR(VLOOKUP(VLOOKUP($B54, Dependencies!$B$2:$G$230, 4,FALSE),$B$14:K$73, K$74,FALSE),"o")=$D$4,IFERROR(VLOOKUP(VLOOKUP($B54, Dependencies!$B$2:$G$230, 5,FALSE),$B$14:K$73, K$74,FALSE),"o")=$D$4,IFERROR(VLOOKUP(VLOOKUP($B54, Dependencies!$B$2:$G$230, 6,FALSE),$B$14:K$73, K$74,FALSE),"o")=$D$4),$D$4,IF(OR(IFERROR(VLOOKUP(VLOOKUP($B54, Dependencies!$B$2:$G$230, 2,FALSE), $B$14:K$73, K$74,FALSE),"o")=$D$5,IFERROR(VLOOKUP(VLOOKUP($B54, Dependencies!$B$2:$G$230, 3,FALSE), $B$14:K$73, K$74,FALSE),"o")=$D$5,IFERROR(VLOOKUP(VLOOKUP($B54, Dependencies!$B$2:$G$230, 4,FALSE), $B$14:K$73, K$74,FALSE),"o")=$D$5,IFERROR(VLOOKUP(VLOOKUP($B54, Dependencies!$B$2:$G$230, 5,FALSE), $B$14:K$73, K$74,FALSE),"o")=$D$5,IFERROR(VLOOKUP(VLOOKUP($B54, Dependencies!$B$2:$G$230, 6,FALSE), $B$14:K$73, K$74,FALSE),"o")=$D$5),$D$5,J54)))</f>
        <v>o</v>
      </c>
      <c r="L54" s="93" t="s">
        <v>323</v>
      </c>
      <c r="M54" s="70" t="str">
        <f>IF(L54=$D$4,L54,IF(OR(IFERROR(VLOOKUP(VLOOKUP($B54, Dependencies!$B$2:$G$230, 2,FALSE),$B$14:M$73, M$74,FALSE),"o")=$D$4,IFERROR(VLOOKUP(VLOOKUP($B54, Dependencies!$B$2:$G$230, 3,FALSE),$B$14:M$73, M$74,FALSE),"o")=$D$4,IFERROR(VLOOKUP(VLOOKUP($B54, Dependencies!$B$2:$G$230, 4,FALSE),$B$14:M$73, M$74,FALSE),"o")=$D$4,IFERROR(VLOOKUP(VLOOKUP($B54, Dependencies!$B$2:$G$230, 5,FALSE),$B$14:M$73, M$74,FALSE),"o")=$D$4,IFERROR(VLOOKUP(VLOOKUP($B54, Dependencies!$B$2:$G$230, 6,FALSE),$B$14:M$73, M$74,FALSE),"o")=$D$4),$D$4,IF(OR(IFERROR(VLOOKUP(VLOOKUP($B54, Dependencies!$B$2:$G$230, 2,FALSE), $B$14:M$73, M$74,FALSE),"o")=$D$5,IFERROR(VLOOKUP(VLOOKUP($B54, Dependencies!$B$2:$G$230, 3,FALSE), $B$14:M$73, M$74,FALSE),"o")=$D$5,IFERROR(VLOOKUP(VLOOKUP($B54, Dependencies!$B$2:$G$230, 4,FALSE), $B$14:M$73, M$74,FALSE),"o")=$D$5,IFERROR(VLOOKUP(VLOOKUP($B54, Dependencies!$B$2:$G$230, 5,FALSE), $B$14:M$73, M$74,FALSE),"o")=$D$5,IFERROR(VLOOKUP(VLOOKUP($B54, Dependencies!$B$2:$G$230, 6,FALSE), $B$14:M$73, M$74,FALSE),"o")=$D$5),$D$5,L54)))</f>
        <v>o</v>
      </c>
      <c r="N54" s="93" t="s">
        <v>323</v>
      </c>
      <c r="O54" s="70" t="str">
        <f>IF(N54=$D$4,N54,IF(OR(IFERROR(VLOOKUP(VLOOKUP($B54, Dependencies!$B$2:$G$230, 2,FALSE),$B$14:O$73, O$74,FALSE),"o")=$D$4,IFERROR(VLOOKUP(VLOOKUP($B54, Dependencies!$B$2:$G$230, 3,FALSE),$B$14:O$73, O$74,FALSE),"o")=$D$4,IFERROR(VLOOKUP(VLOOKUP($B54, Dependencies!$B$2:$G$230, 4,FALSE),$B$14:O$73, O$74,FALSE),"o")=$D$4,IFERROR(VLOOKUP(VLOOKUP($B54, Dependencies!$B$2:$G$230, 5,FALSE),$B$14:O$73, O$74,FALSE),"o")=$D$4,IFERROR(VLOOKUP(VLOOKUP($B54, Dependencies!$B$2:$G$230, 6,FALSE),$B$14:O$73, O$74,FALSE),"o")=$D$4),$D$4,IF(OR(IFERROR(VLOOKUP(VLOOKUP($B54, Dependencies!$B$2:$G$230, 2,FALSE), $B$14:O$73, O$74,FALSE),"o")=$D$5,IFERROR(VLOOKUP(VLOOKUP($B54, Dependencies!$B$2:$G$230, 3,FALSE), $B$14:O$73, O$74,FALSE),"o")=$D$5,IFERROR(VLOOKUP(VLOOKUP($B54, Dependencies!$B$2:$G$230, 4,FALSE), $B$14:O$73, O$74,FALSE),"o")=$D$5,IFERROR(VLOOKUP(VLOOKUP($B54, Dependencies!$B$2:$G$230, 5,FALSE), $B$14:O$73, O$74,FALSE),"o")=$D$5,IFERROR(VLOOKUP(VLOOKUP($B54, Dependencies!$B$2:$G$230, 6,FALSE), $B$14:O$73, O$74,FALSE),"o")=$D$5),$D$5,N54)))</f>
        <v>o</v>
      </c>
      <c r="P54" s="93" t="s">
        <v>323</v>
      </c>
      <c r="Q54" s="70" t="str">
        <f>IF(P54=$D$4,P54,IF(OR(IFERROR(VLOOKUP(VLOOKUP($B54, Dependencies!$B$2:$G$230, 2,FALSE),$B$14:Q$73, Q$74,FALSE),"o")=$D$4,IFERROR(VLOOKUP(VLOOKUP($B54, Dependencies!$B$2:$G$230, 3,FALSE),$B$14:Q$73, Q$74,FALSE),"o")=$D$4,IFERROR(VLOOKUP(VLOOKUP($B54, Dependencies!$B$2:$G$230, 4,FALSE),$B$14:Q$73, Q$74,FALSE),"o")=$D$4,IFERROR(VLOOKUP(VLOOKUP($B54, Dependencies!$B$2:$G$230, 5,FALSE),$B$14:Q$73, Q$74,FALSE),"o")=$D$4,IFERROR(VLOOKUP(VLOOKUP($B54, Dependencies!$B$2:$G$230, 6,FALSE),$B$14:Q$73, Q$74,FALSE),"o")=$D$4),$D$4,IF(OR(IFERROR(VLOOKUP(VLOOKUP($B54, Dependencies!$B$2:$G$230, 2,FALSE), $B$14:Q$73, Q$74,FALSE),"o")=$D$5,IFERROR(VLOOKUP(VLOOKUP($B54, Dependencies!$B$2:$G$230, 3,FALSE), $B$14:Q$73, Q$74,FALSE),"o")=$D$5,IFERROR(VLOOKUP(VLOOKUP($B54, Dependencies!$B$2:$G$230, 4,FALSE), $B$14:Q$73, Q$74,FALSE),"o")=$D$5,IFERROR(VLOOKUP(VLOOKUP($B54, Dependencies!$B$2:$G$230, 5,FALSE), $B$14:Q$73, Q$74,FALSE),"o")=$D$5,IFERROR(VLOOKUP(VLOOKUP($B54, Dependencies!$B$2:$G$230, 6,FALSE), $B$14:Q$73, Q$74,FALSE),"o")=$D$5),$D$5,P54)))</f>
        <v>o</v>
      </c>
      <c r="R54" s="93" t="s">
        <v>323</v>
      </c>
      <c r="S54" s="70" t="str">
        <f>IF(R54=$D$4,R54,IF(OR(IFERROR(VLOOKUP(VLOOKUP($B54, Dependencies!$B$2:$G$230, 2,FALSE),$B$14:S$73, S$74,FALSE),"o")=$D$4,IFERROR(VLOOKUP(VLOOKUP($B54, Dependencies!$B$2:$G$230, 3,FALSE),$B$14:S$73, S$74,FALSE),"o")=$D$4,IFERROR(VLOOKUP(VLOOKUP($B54, Dependencies!$B$2:$G$230, 4,FALSE),$B$14:S$73, S$74,FALSE),"o")=$D$4,IFERROR(VLOOKUP(VLOOKUP($B54, Dependencies!$B$2:$G$230, 5,FALSE),$B$14:S$73, S$74,FALSE),"o")=$D$4,IFERROR(VLOOKUP(VLOOKUP($B54, Dependencies!$B$2:$G$230, 6,FALSE),$B$14:S$73, S$74,FALSE),"o")=$D$4),$D$4,IF(OR(IFERROR(VLOOKUP(VLOOKUP($B54, Dependencies!$B$2:$G$230, 2,FALSE), $B$14:S$73, S$74,FALSE),"o")=$D$5,IFERROR(VLOOKUP(VLOOKUP($B54, Dependencies!$B$2:$G$230, 3,FALSE), $B$14:S$73, S$74,FALSE),"o")=$D$5,IFERROR(VLOOKUP(VLOOKUP($B54, Dependencies!$B$2:$G$230, 4,FALSE), $B$14:S$73, S$74,FALSE),"o")=$D$5,IFERROR(VLOOKUP(VLOOKUP($B54, Dependencies!$B$2:$G$230, 5,FALSE), $B$14:S$73, S$74,FALSE),"o")=$D$5,IFERROR(VLOOKUP(VLOOKUP($B54, Dependencies!$B$2:$G$230, 6,FALSE), $B$14:S$73, S$74,FALSE),"o")=$D$5),$D$5,R54)))</f>
        <v>o</v>
      </c>
      <c r="T54" s="93" t="s">
        <v>323</v>
      </c>
      <c r="U54" s="70" t="str">
        <f>IF(T54=$D$4,T54,IF(OR(IFERROR(VLOOKUP(VLOOKUP($B54, Dependencies!$B$2:$G$230, 2,FALSE),$B$14:U$73, U$74,FALSE),"o")=$D$4,IFERROR(VLOOKUP(VLOOKUP($B54, Dependencies!$B$2:$G$230, 3,FALSE),$B$14:U$73, U$74,FALSE),"o")=$D$4,IFERROR(VLOOKUP(VLOOKUP($B54, Dependencies!$B$2:$G$230, 4,FALSE),$B$14:U$73, U$74,FALSE),"o")=$D$4,IFERROR(VLOOKUP(VLOOKUP($B54, Dependencies!$B$2:$G$230, 5,FALSE),$B$14:U$73, U$74,FALSE),"o")=$D$4,IFERROR(VLOOKUP(VLOOKUP($B54, Dependencies!$B$2:$G$230, 6,FALSE),$B$14:U$73, U$74,FALSE),"o")=$D$4),$D$4,IF(OR(IFERROR(VLOOKUP(VLOOKUP($B54, Dependencies!$B$2:$G$230, 2,FALSE), $B$14:U$73, U$74,FALSE),"o")=$D$5,IFERROR(VLOOKUP(VLOOKUP($B54, Dependencies!$B$2:$G$230, 3,FALSE), $B$14:U$73, U$74,FALSE),"o")=$D$5,IFERROR(VLOOKUP(VLOOKUP($B54, Dependencies!$B$2:$G$230, 4,FALSE), $B$14:U$73, U$74,FALSE),"o")=$D$5,IFERROR(VLOOKUP(VLOOKUP($B54, Dependencies!$B$2:$G$230, 5,FALSE), $B$14:U$73, U$74,FALSE),"o")=$D$5,IFERROR(VLOOKUP(VLOOKUP($B54, Dependencies!$B$2:$G$230, 6,FALSE), $B$14:U$73, U$74,FALSE),"o")=$D$5),$D$5,T54)))</f>
        <v>o</v>
      </c>
      <c r="V54" s="93" t="s">
        <v>323</v>
      </c>
      <c r="W54" s="70" t="str">
        <f>IF(V54=$D$4,V54,IF(OR(IFERROR(VLOOKUP(VLOOKUP($B54, Dependencies!$B$2:$G$230, 2,FALSE),$B$14:W$73, W$74,FALSE),"o")=$D$4,IFERROR(VLOOKUP(VLOOKUP($B54, Dependencies!$B$2:$G$230, 3,FALSE),$B$14:W$73, W$74,FALSE),"o")=$D$4,IFERROR(VLOOKUP(VLOOKUP($B54, Dependencies!$B$2:$G$230, 4,FALSE),$B$14:W$73, W$74,FALSE),"o")=$D$4,IFERROR(VLOOKUP(VLOOKUP($B54, Dependencies!$B$2:$G$230, 5,FALSE),$B$14:W$73, W$74,FALSE),"o")=$D$4,IFERROR(VLOOKUP(VLOOKUP($B54, Dependencies!$B$2:$G$230, 6,FALSE),$B$14:W$73, W$74,FALSE),"o")=$D$4),$D$4,IF(OR(IFERROR(VLOOKUP(VLOOKUP($B54, Dependencies!$B$2:$G$230, 2,FALSE), $B$14:W$73, W$74,FALSE),"o")=$D$5,IFERROR(VLOOKUP(VLOOKUP($B54, Dependencies!$B$2:$G$230, 3,FALSE), $B$14:W$73, W$74,FALSE),"o")=$D$5,IFERROR(VLOOKUP(VLOOKUP($B54, Dependencies!$B$2:$G$230, 4,FALSE), $B$14:W$73, W$74,FALSE),"o")=$D$5,IFERROR(VLOOKUP(VLOOKUP($B54, Dependencies!$B$2:$G$230, 5,FALSE), $B$14:W$73, W$74,FALSE),"o")=$D$5,IFERROR(VLOOKUP(VLOOKUP($B54, Dependencies!$B$2:$G$230, 6,FALSE), $B$14:W$73, W$74,FALSE),"o")=$D$5),$D$5,V54)))</f>
        <v>o</v>
      </c>
      <c r="X54" s="93" t="s">
        <v>323</v>
      </c>
      <c r="Y54" s="70" t="str">
        <f>IF(X54=$D$4,X54,IF(OR(IFERROR(VLOOKUP(VLOOKUP($B54, Dependencies!$B$2:$G$230, 2,FALSE),$B$14:Y$73, Y$74,FALSE),"o")=$D$4,IFERROR(VLOOKUP(VLOOKUP($B54, Dependencies!$B$2:$G$230, 3,FALSE),$B$14:Y$73, Y$74,FALSE),"o")=$D$4,IFERROR(VLOOKUP(VLOOKUP($B54, Dependencies!$B$2:$G$230, 4,FALSE),$B$14:Y$73, Y$74,FALSE),"o")=$D$4,IFERROR(VLOOKUP(VLOOKUP($B54, Dependencies!$B$2:$G$230, 5,FALSE),$B$14:Y$73, Y$74,FALSE),"o")=$D$4,IFERROR(VLOOKUP(VLOOKUP($B54, Dependencies!$B$2:$G$230, 6,FALSE),$B$14:Y$73, Y$74,FALSE),"o")=$D$4),$D$4,IF(OR(IFERROR(VLOOKUP(VLOOKUP($B54, Dependencies!$B$2:$G$230, 2,FALSE), $B$14:Y$73, Y$74,FALSE),"o")=$D$5,IFERROR(VLOOKUP(VLOOKUP($B54, Dependencies!$B$2:$G$230, 3,FALSE), $B$14:Y$73, Y$74,FALSE),"o")=$D$5,IFERROR(VLOOKUP(VLOOKUP($B54, Dependencies!$B$2:$G$230, 4,FALSE), $B$14:Y$73, Y$74,FALSE),"o")=$D$5,IFERROR(VLOOKUP(VLOOKUP($B54, Dependencies!$B$2:$G$230, 5,FALSE), $B$14:Y$73, Y$74,FALSE),"o")=$D$5,IFERROR(VLOOKUP(VLOOKUP($B54, Dependencies!$B$2:$G$230, 6,FALSE), $B$14:Y$73, Y$74,FALSE),"o")=$D$5),$D$5,X54)))</f>
        <v>o</v>
      </c>
      <c r="Z54" s="93" t="s">
        <v>323</v>
      </c>
      <c r="AA54" s="70" t="str">
        <f>IF(Z54=$D$4,Z54,IF(OR(IFERROR(VLOOKUP(VLOOKUP($B54, Dependencies!$B$2:$G$230, 2,FALSE),$B$14:AA$73, AA$74,FALSE),"o")=$D$4,IFERROR(VLOOKUP(VLOOKUP($B54, Dependencies!$B$2:$G$230, 3,FALSE),$B$14:AA$73, AA$74,FALSE),"o")=$D$4,IFERROR(VLOOKUP(VLOOKUP($B54, Dependencies!$B$2:$G$230, 4,FALSE),$B$14:AA$73, AA$74,FALSE),"o")=$D$4,IFERROR(VLOOKUP(VLOOKUP($B54, Dependencies!$B$2:$G$230, 5,FALSE),$B$14:AA$73, AA$74,FALSE),"o")=$D$4,IFERROR(VLOOKUP(VLOOKUP($B54, Dependencies!$B$2:$G$230, 6,FALSE),$B$14:AA$73, AA$74,FALSE),"o")=$D$4),$D$4,IF(OR(IFERROR(VLOOKUP(VLOOKUP($B54, Dependencies!$B$2:$G$230, 2,FALSE), $B$14:AA$73, AA$74,FALSE),"o")=$D$5,IFERROR(VLOOKUP(VLOOKUP($B54, Dependencies!$B$2:$G$230, 3,FALSE), $B$14:AA$73, AA$74,FALSE),"o")=$D$5,IFERROR(VLOOKUP(VLOOKUP($B54, Dependencies!$B$2:$G$230, 4,FALSE), $B$14:AA$73, AA$74,FALSE),"o")=$D$5,IFERROR(VLOOKUP(VLOOKUP($B54, Dependencies!$B$2:$G$230, 5,FALSE), $B$14:AA$73, AA$74,FALSE),"o")=$D$5,IFERROR(VLOOKUP(VLOOKUP($B54, Dependencies!$B$2:$G$230, 6,FALSE), $B$14:AA$73, AA$74,FALSE),"o")=$D$5),$D$5,Z54)))</f>
        <v>o</v>
      </c>
      <c r="AB54" s="93" t="s">
        <v>323</v>
      </c>
      <c r="AC54" s="70" t="str">
        <f>IF(AB54=$D$4,AB54,IF(OR(IFERROR(VLOOKUP(VLOOKUP($B54, Dependencies!$B$2:$G$230, 2,FALSE),$B$14:AC$73, AC$74,FALSE),"o")=$D$4,IFERROR(VLOOKUP(VLOOKUP($B54, Dependencies!$B$2:$G$230, 3,FALSE),$B$14:AC$73, AC$74,FALSE),"o")=$D$4,IFERROR(VLOOKUP(VLOOKUP($B54, Dependencies!$B$2:$G$230, 4,FALSE),$B$14:AC$73, AC$74,FALSE),"o")=$D$4,IFERROR(VLOOKUP(VLOOKUP($B54, Dependencies!$B$2:$G$230, 5,FALSE),$B$14:AC$73, AC$74,FALSE),"o")=$D$4,IFERROR(VLOOKUP(VLOOKUP($B54, Dependencies!$B$2:$G$230, 6,FALSE),$B$14:AC$73, AC$74,FALSE),"o")=$D$4),$D$4,IF(OR(IFERROR(VLOOKUP(VLOOKUP($B54, Dependencies!$B$2:$G$230, 2,FALSE), $B$14:AC$73, AC$74,FALSE),"o")=$D$5,IFERROR(VLOOKUP(VLOOKUP($B54, Dependencies!$B$2:$G$230, 3,FALSE), $B$14:AC$73, AC$74,FALSE),"o")=$D$5,IFERROR(VLOOKUP(VLOOKUP($B54, Dependencies!$B$2:$G$230, 4,FALSE), $B$14:AC$73, AC$74,FALSE),"o")=$D$5,IFERROR(VLOOKUP(VLOOKUP($B54, Dependencies!$B$2:$G$230, 5,FALSE), $B$14:AC$73, AC$74,FALSE),"o")=$D$5,IFERROR(VLOOKUP(VLOOKUP($B54, Dependencies!$B$2:$G$230, 6,FALSE), $B$14:AC$73, AC$74,FALSE),"o")=$D$5),$D$5,AB54)))</f>
        <v>o</v>
      </c>
      <c r="AD54" s="93" t="s">
        <v>323</v>
      </c>
      <c r="AE54" s="70" t="str">
        <f>IF(AD54=$D$4,AD54,IF(OR(IFERROR(VLOOKUP(VLOOKUP($B54, Dependencies!$B$2:$G$230, 2,FALSE),$B$14:AE$73, AE$74,FALSE),"o")=$D$4,IFERROR(VLOOKUP(VLOOKUP($B54, Dependencies!$B$2:$G$230, 3,FALSE),$B$14:AE$73, AE$74,FALSE),"o")=$D$4,IFERROR(VLOOKUP(VLOOKUP($B54, Dependencies!$B$2:$G$230, 4,FALSE),$B$14:AE$73, AE$74,FALSE),"o")=$D$4,IFERROR(VLOOKUP(VLOOKUP($B54, Dependencies!$B$2:$G$230, 5,FALSE),$B$14:AE$73, AE$74,FALSE),"o")=$D$4,IFERROR(VLOOKUP(VLOOKUP($B54, Dependencies!$B$2:$G$230, 6,FALSE),$B$14:AE$73, AE$74,FALSE),"o")=$D$4),$D$4,IF(OR(IFERROR(VLOOKUP(VLOOKUP($B54, Dependencies!$B$2:$G$230, 2,FALSE), $B$14:AE$73, AE$74,FALSE),"o")=$D$5,IFERROR(VLOOKUP(VLOOKUP($B54, Dependencies!$B$2:$G$230, 3,FALSE), $B$14:AE$73, AE$74,FALSE),"o")=$D$5,IFERROR(VLOOKUP(VLOOKUP($B54, Dependencies!$B$2:$G$230, 4,FALSE), $B$14:AE$73, AE$74,FALSE),"o")=$D$5,IFERROR(VLOOKUP(VLOOKUP($B54, Dependencies!$B$2:$G$230, 5,FALSE), $B$14:AE$73, AE$74,FALSE),"o")=$D$5,IFERROR(VLOOKUP(VLOOKUP($B54, Dependencies!$B$2:$G$230, 6,FALSE), $B$14:AE$73, AE$74,FALSE),"o")=$D$5),$D$5,AD54)))</f>
        <v>o</v>
      </c>
      <c r="AF54" s="93" t="s">
        <v>323</v>
      </c>
      <c r="AG54" s="70" t="str">
        <f>IF(AF54=$D$4,AF54,IF(OR(IFERROR(VLOOKUP(VLOOKUP($B54, Dependencies!$B$2:$G$230, 2,FALSE),$B$14:AG$73, AG$74,FALSE),"o")=$D$4,IFERROR(VLOOKUP(VLOOKUP($B54, Dependencies!$B$2:$G$230, 3,FALSE),$B$14:AG$73, AG$74,FALSE),"o")=$D$4,IFERROR(VLOOKUP(VLOOKUP($B54, Dependencies!$B$2:$G$230, 4,FALSE),$B$14:AG$73, AG$74,FALSE),"o")=$D$4,IFERROR(VLOOKUP(VLOOKUP($B54, Dependencies!$B$2:$G$230, 5,FALSE),$B$14:AG$73, AG$74,FALSE),"o")=$D$4,IFERROR(VLOOKUP(VLOOKUP($B54, Dependencies!$B$2:$G$230, 6,FALSE),$B$14:AG$73, AG$74,FALSE),"o")=$D$4),$D$4,IF(OR(IFERROR(VLOOKUP(VLOOKUP($B54, Dependencies!$B$2:$G$230, 2,FALSE), $B$14:AG$73, AG$74,FALSE),"o")=$D$5,IFERROR(VLOOKUP(VLOOKUP($B54, Dependencies!$B$2:$G$230, 3,FALSE), $B$14:AG$73, AG$74,FALSE),"o")=$D$5,IFERROR(VLOOKUP(VLOOKUP($B54, Dependencies!$B$2:$G$230, 4,FALSE), $B$14:AG$73, AG$74,FALSE),"o")=$D$5,IFERROR(VLOOKUP(VLOOKUP($B54, Dependencies!$B$2:$G$230, 5,FALSE), $B$14:AG$73, AG$74,FALSE),"o")=$D$5,IFERROR(VLOOKUP(VLOOKUP($B54, Dependencies!$B$2:$G$230, 6,FALSE), $B$14:AG$73, AG$74,FALSE),"o")=$D$5),$D$5,AF54)))</f>
        <v>o</v>
      </c>
      <c r="AH54" s="93" t="s">
        <v>323</v>
      </c>
      <c r="AI54" s="70" t="str">
        <f>IF(AH54=$D$4,AH54,IF(OR(IFERROR(VLOOKUP(VLOOKUP($B54, Dependencies!$B$2:$G$230, 2,FALSE),$B$14:AI$73, AI$74,FALSE),"o")=$D$4,IFERROR(VLOOKUP(VLOOKUP($B54, Dependencies!$B$2:$G$230, 3,FALSE),$B$14:AI$73, AI$74,FALSE),"o")=$D$4,IFERROR(VLOOKUP(VLOOKUP($B54, Dependencies!$B$2:$G$230, 4,FALSE),$B$14:AI$73, AI$74,FALSE),"o")=$D$4,IFERROR(VLOOKUP(VLOOKUP($B54, Dependencies!$B$2:$G$230, 5,FALSE),$B$14:AI$73, AI$74,FALSE),"o")=$D$4,IFERROR(VLOOKUP(VLOOKUP($B54, Dependencies!$B$2:$G$230, 6,FALSE),$B$14:AI$73, AI$74,FALSE),"o")=$D$4),$D$4,IF(OR(IFERROR(VLOOKUP(VLOOKUP($B54, Dependencies!$B$2:$G$230, 2,FALSE), $B$14:AI$73, AI$74,FALSE),"o")=$D$5,IFERROR(VLOOKUP(VLOOKUP($B54, Dependencies!$B$2:$G$230, 3,FALSE), $B$14:AI$73, AI$74,FALSE),"o")=$D$5,IFERROR(VLOOKUP(VLOOKUP($B54, Dependencies!$B$2:$G$230, 4,FALSE), $B$14:AI$73, AI$74,FALSE),"o")=$D$5,IFERROR(VLOOKUP(VLOOKUP($B54, Dependencies!$B$2:$G$230, 5,FALSE), $B$14:AI$73, AI$74,FALSE),"o")=$D$5,IFERROR(VLOOKUP(VLOOKUP($B54, Dependencies!$B$2:$G$230, 6,FALSE), $B$14:AI$73, AI$74,FALSE),"o")=$D$5),$D$5,AH54)))</f>
        <v>o</v>
      </c>
      <c r="AJ54" s="93" t="s">
        <v>323</v>
      </c>
      <c r="AK54" s="70" t="str">
        <f>IF(AJ54=$D$4,AJ54,IF(OR(IFERROR(VLOOKUP(VLOOKUP($B54, Dependencies!$B$2:$G$230, 2,FALSE),$B$14:AK$73, AK$74,FALSE),"o")=$D$4,IFERROR(VLOOKUP(VLOOKUP($B54, Dependencies!$B$2:$G$230, 3,FALSE),$B$14:AK$73, AK$74,FALSE),"o")=$D$4,IFERROR(VLOOKUP(VLOOKUP($B54, Dependencies!$B$2:$G$230, 4,FALSE),$B$14:AK$73, AK$74,FALSE),"o")=$D$4,IFERROR(VLOOKUP(VLOOKUP($B54, Dependencies!$B$2:$G$230, 5,FALSE),$B$14:AK$73, AK$74,FALSE),"o")=$D$4,IFERROR(VLOOKUP(VLOOKUP($B54, Dependencies!$B$2:$G$230, 6,FALSE),$B$14:AK$73, AK$74,FALSE),"o")=$D$4),$D$4,IF(OR(IFERROR(VLOOKUP(VLOOKUP($B54, Dependencies!$B$2:$G$230, 2,FALSE), $B$14:AK$73, AK$74,FALSE),"o")=$D$5,IFERROR(VLOOKUP(VLOOKUP($B54, Dependencies!$B$2:$G$230, 3,FALSE), $B$14:AK$73, AK$74,FALSE),"o")=$D$5,IFERROR(VLOOKUP(VLOOKUP($B54, Dependencies!$B$2:$G$230, 4,FALSE), $B$14:AK$73, AK$74,FALSE),"o")=$D$5,IFERROR(VLOOKUP(VLOOKUP($B54, Dependencies!$B$2:$G$230, 5,FALSE), $B$14:AK$73, AK$74,FALSE),"o")=$D$5,IFERROR(VLOOKUP(VLOOKUP($B54, Dependencies!$B$2:$G$230, 6,FALSE), $B$14:AK$73, AK$74,FALSE),"o")=$D$5),$D$5,AJ54)))</f>
        <v>o</v>
      </c>
      <c r="AL54" s="93" t="s">
        <v>323</v>
      </c>
      <c r="AM54" s="70" t="str">
        <f>IF(AL54=$D$4,AL54,IF(OR(IFERROR(VLOOKUP(VLOOKUP($B54, Dependencies!$B$2:$G$230, 2,FALSE),$B$14:AM$73, AM$74,FALSE),"o")=$D$4,IFERROR(VLOOKUP(VLOOKUP($B54, Dependencies!$B$2:$G$230, 3,FALSE),$B$14:AM$73, AM$74,FALSE),"o")=$D$4,IFERROR(VLOOKUP(VLOOKUP($B54, Dependencies!$B$2:$G$230, 4,FALSE),$B$14:AM$73, AM$74,FALSE),"o")=$D$4,IFERROR(VLOOKUP(VLOOKUP($B54, Dependencies!$B$2:$G$230, 5,FALSE),$B$14:AM$73, AM$74,FALSE),"o")=$D$4,IFERROR(VLOOKUP(VLOOKUP($B54, Dependencies!$B$2:$G$230, 6,FALSE),$B$14:AM$73, AM$74,FALSE),"o")=$D$4),$D$4,IF(OR(IFERROR(VLOOKUP(VLOOKUP($B54, Dependencies!$B$2:$G$230, 2,FALSE), $B$14:AM$73, AM$74,FALSE),"o")=$D$5,IFERROR(VLOOKUP(VLOOKUP($B54, Dependencies!$B$2:$G$230, 3,FALSE), $B$14:AM$73, AM$74,FALSE),"o")=$D$5,IFERROR(VLOOKUP(VLOOKUP($B54, Dependencies!$B$2:$G$230, 4,FALSE), $B$14:AM$73, AM$74,FALSE),"o")=$D$5,IFERROR(VLOOKUP(VLOOKUP($B54, Dependencies!$B$2:$G$230, 5,FALSE), $B$14:AM$73, AM$74,FALSE),"o")=$D$5,IFERROR(VLOOKUP(VLOOKUP($B54, Dependencies!$B$2:$G$230, 6,FALSE), $B$14:AM$73, AM$74,FALSE),"o")=$D$5),$D$5,AL54)))</f>
        <v>o</v>
      </c>
      <c r="AN54" s="93" t="s">
        <v>323</v>
      </c>
      <c r="AO54" s="70" t="str">
        <f>IF(AN54=$D$4,AN54,IF(OR(IFERROR(VLOOKUP(VLOOKUP($B54, Dependencies!$B$2:$G$230, 2,FALSE),$B$14:AO$73, AO$74,FALSE),"o")=$D$4,IFERROR(VLOOKUP(VLOOKUP($B54, Dependencies!$B$2:$G$230, 3,FALSE),$B$14:AO$73, AO$74,FALSE),"o")=$D$4,IFERROR(VLOOKUP(VLOOKUP($B54, Dependencies!$B$2:$G$230, 4,FALSE),$B$14:AO$73, AO$74,FALSE),"o")=$D$4,IFERROR(VLOOKUP(VLOOKUP($B54, Dependencies!$B$2:$G$230, 5,FALSE),$B$14:AO$73, AO$74,FALSE),"o")=$D$4,IFERROR(VLOOKUP(VLOOKUP($B54, Dependencies!$B$2:$G$230, 6,FALSE),$B$14:AO$73, AO$74,FALSE),"o")=$D$4),$D$4,IF(OR(IFERROR(VLOOKUP(VLOOKUP($B54, Dependencies!$B$2:$G$230, 2,FALSE), $B$14:AO$73, AO$74,FALSE),"o")=$D$5,IFERROR(VLOOKUP(VLOOKUP($B54, Dependencies!$B$2:$G$230, 3,FALSE), $B$14:AO$73, AO$74,FALSE),"o")=$D$5,IFERROR(VLOOKUP(VLOOKUP($B54, Dependencies!$B$2:$G$230, 4,FALSE), $B$14:AO$73, AO$74,FALSE),"o")=$D$5,IFERROR(VLOOKUP(VLOOKUP($B54, Dependencies!$B$2:$G$230, 5,FALSE), $B$14:AO$73, AO$74,FALSE),"o")=$D$5,IFERROR(VLOOKUP(VLOOKUP($B54, Dependencies!$B$2:$G$230, 6,FALSE), $B$14:AO$73, AO$74,FALSE),"o")=$D$5),$D$5,AN54)))</f>
        <v>o</v>
      </c>
      <c r="AP54" s="93" t="s">
        <v>323</v>
      </c>
      <c r="AQ54" s="70" t="str">
        <f>IF(AP54=$D$4,AP54,IF(OR(IFERROR(VLOOKUP(VLOOKUP($B54, Dependencies!$B$2:$G$230, 2,FALSE),$B$14:AQ$73, AQ$74,FALSE),"o")=$D$4,IFERROR(VLOOKUP(VLOOKUP($B54, Dependencies!$B$2:$G$230, 3,FALSE),$B$14:AQ$73, AQ$74,FALSE),"o")=$D$4,IFERROR(VLOOKUP(VLOOKUP($B54, Dependencies!$B$2:$G$230, 4,FALSE),$B$14:AQ$73, AQ$74,FALSE),"o")=$D$4,IFERROR(VLOOKUP(VLOOKUP($B54, Dependencies!$B$2:$G$230, 5,FALSE),$B$14:AQ$73, AQ$74,FALSE),"o")=$D$4,IFERROR(VLOOKUP(VLOOKUP($B54, Dependencies!$B$2:$G$230, 6,FALSE),$B$14:AQ$73, AQ$74,FALSE),"o")=$D$4),$D$4,IF(OR(IFERROR(VLOOKUP(VLOOKUP($B54, Dependencies!$B$2:$G$230, 2,FALSE), $B$14:AQ$73, AQ$74,FALSE),"o")=$D$5,IFERROR(VLOOKUP(VLOOKUP($B54, Dependencies!$B$2:$G$230, 3,FALSE), $B$14:AQ$73, AQ$74,FALSE),"o")=$D$5,IFERROR(VLOOKUP(VLOOKUP($B54, Dependencies!$B$2:$G$230, 4,FALSE), $B$14:AQ$73, AQ$74,FALSE),"o")=$D$5,IFERROR(VLOOKUP(VLOOKUP($B54, Dependencies!$B$2:$G$230, 5,FALSE), $B$14:AQ$73, AQ$74,FALSE),"o")=$D$5,IFERROR(VLOOKUP(VLOOKUP($B54, Dependencies!$B$2:$G$230, 6,FALSE), $B$14:AQ$73, AQ$74,FALSE),"o")=$D$5),$D$5,AP54)))</f>
        <v>o</v>
      </c>
      <c r="AR54" s="93" t="s">
        <v>323</v>
      </c>
      <c r="AS54" s="69" t="str">
        <f>IF(AR54=$D$4,AR54,IF(OR(IFERROR(VLOOKUP(VLOOKUP($B54, Dependencies!$B$2:$G$230, 2,FALSE),$B$14:AS$73, AS$74,FALSE),"o")=$D$4,IFERROR(VLOOKUP(VLOOKUP($B54, Dependencies!$B$2:$G$230, 3,FALSE),$B$14:AS$73, AS$74,FALSE),"o")=$D$4,IFERROR(VLOOKUP(VLOOKUP($B54, Dependencies!$B$2:$G$230, 4,FALSE),$B$14:AS$73, AS$74,FALSE),"o")=$D$4,IFERROR(VLOOKUP(VLOOKUP($B54, Dependencies!$B$2:$G$230, 5,FALSE),$B$14:AS$73, AS$74,FALSE),"o")=$D$4,IFERROR(VLOOKUP(VLOOKUP($B54, Dependencies!$B$2:$G$230, 6,FALSE),$B$14:AS$73, AS$74,FALSE),"o")=$D$4),$D$4,IF(OR(IFERROR(VLOOKUP(VLOOKUP($B54, Dependencies!$B$2:$G$230, 2,FALSE), $B$14:AS$73, AS$74,FALSE),"o")=$D$5,IFERROR(VLOOKUP(VLOOKUP($B54, Dependencies!$B$2:$G$230, 3,FALSE), $B$14:AS$73, AS$74,FALSE),"o")=$D$5,IFERROR(VLOOKUP(VLOOKUP($B54, Dependencies!$B$2:$G$230, 4,FALSE), $B$14:AS$73, AS$74,FALSE),"o")=$D$5,IFERROR(VLOOKUP(VLOOKUP($B54, Dependencies!$B$2:$G$230, 5,FALSE), $B$14:AS$73, AS$74,FALSE),"o")=$D$5,IFERROR(VLOOKUP(VLOOKUP($B54, Dependencies!$B$2:$G$230, 6,FALSE), $B$14:AS$73, AS$74,FALSE),"o")=$D$5),$D$5,AR54)))</f>
        <v>o</v>
      </c>
    </row>
    <row r="55" spans="1:45" x14ac:dyDescent="0.2">
      <c r="A55" s="40"/>
      <c r="B55" s="74" t="str">
        <f>MLEOsv2!A43</f>
        <v>MLEO_03_02</v>
      </c>
      <c r="C55" s="74">
        <f>MLEOsv2!C43</f>
        <v>5</v>
      </c>
      <c r="D55" s="44" t="str">
        <f>MLEOsv2!G43</f>
        <v>apply polymorphism with simple class hierarchies (&gt; 2 subclasses).</v>
      </c>
      <c r="E55" s="68" t="b">
        <f>MLEOsv2!H43</f>
        <v>0</v>
      </c>
      <c r="F55" s="94" t="s">
        <v>320</v>
      </c>
      <c r="G55" s="72" t="str">
        <f>IF(F55=$D$4,F55,IF(OR(IFERROR(VLOOKUP(VLOOKUP($B55, Dependencies!$B$2:$G$230, 2,FALSE),$B$14:G$73, G$74,FALSE),"o")=$D$4,IFERROR(VLOOKUP(VLOOKUP($B55, Dependencies!$B$2:$G$230, 3,FALSE),$B$14:G$73, G$74,FALSE),"o")=$D$4,IFERROR(VLOOKUP(VLOOKUP($B55, Dependencies!$B$2:$G$230, 4,FALSE),$B$14:G$73, G$74,FALSE),"o")=$D$4,IFERROR(VLOOKUP(VLOOKUP($B55, Dependencies!$B$2:$G$230, 5,FALSE),$B$14:G$73, G$74,FALSE),"o")=$D$4,IFERROR(VLOOKUP(VLOOKUP($B55, Dependencies!$B$2:$G$230, 6,FALSE),$B$14:G$73, G$74,FALSE),"o")=$D$4),$D$4,IF(OR(IFERROR(VLOOKUP(VLOOKUP($B55, Dependencies!$B$2:$G$230, 2,FALSE), $B$14:G$73, G$74,FALSE),"o")=$D$5,IFERROR(VLOOKUP(VLOOKUP($B55, Dependencies!$B$2:$G$230, 3,FALSE), $B$14:G$73, G$74,FALSE),"o")=$D$5,IFERROR(VLOOKUP(VLOOKUP($B55, Dependencies!$B$2:$G$230, 4,FALSE), $B$14:G$73, G$74,FALSE),"o")=$D$5,IFERROR(VLOOKUP(VLOOKUP($B55, Dependencies!$B$2:$G$230, 5,FALSE), $B$14:G$73, G$74,FALSE),"o")=$D$5,IFERROR(VLOOKUP(VLOOKUP($B55, Dependencies!$B$2:$G$230, 6,FALSE), $B$14:G$73, G$74,FALSE),"o")=$D$5),$D$5,F55)))</f>
        <v>r</v>
      </c>
      <c r="H55" s="94" t="s">
        <v>321</v>
      </c>
      <c r="I55" s="72" t="str">
        <f>IF(H55=$D$4,H55,IF(OR(IFERROR(VLOOKUP(VLOOKUP($B55, Dependencies!$B$2:$G$230, 2,FALSE),$B$14:I$73, I$74,FALSE),"o")=$D$4,IFERROR(VLOOKUP(VLOOKUP($B55, Dependencies!$B$2:$G$230, 3,FALSE),$B$14:I$73, I$74,FALSE),"o")=$D$4,IFERROR(VLOOKUP(VLOOKUP($B55, Dependencies!$B$2:$G$230, 4,FALSE),$B$14:I$73, I$74,FALSE),"o")=$D$4,IFERROR(VLOOKUP(VLOOKUP($B55, Dependencies!$B$2:$G$230, 5,FALSE),$B$14:I$73, I$74,FALSE),"o")=$D$4,IFERROR(VLOOKUP(VLOOKUP($B55, Dependencies!$B$2:$G$230, 6,FALSE),$B$14:I$73, I$74,FALSE),"o")=$D$4),$D$4,IF(OR(IFERROR(VLOOKUP(VLOOKUP($B55, Dependencies!$B$2:$G$230, 2,FALSE), $B$14:I$73, I$74,FALSE),"o")=$D$5,IFERROR(VLOOKUP(VLOOKUP($B55, Dependencies!$B$2:$G$230, 3,FALSE), $B$14:I$73, I$74,FALSE),"o")=$D$5,IFERROR(VLOOKUP(VLOOKUP($B55, Dependencies!$B$2:$G$230, 4,FALSE), $B$14:I$73, I$74,FALSE),"o")=$D$5,IFERROR(VLOOKUP(VLOOKUP($B55, Dependencies!$B$2:$G$230, 5,FALSE), $B$14:I$73, I$74,FALSE),"o")=$D$5,IFERROR(VLOOKUP(VLOOKUP($B55, Dependencies!$B$2:$G$230, 6,FALSE), $B$14:I$73, I$74,FALSE),"o")=$D$5),$D$5,H55)))</f>
        <v>pr</v>
      </c>
      <c r="J55" s="94" t="s">
        <v>323</v>
      </c>
      <c r="K55" s="72" t="str">
        <f>IF(J55=$D$4,J55,IF(OR(IFERROR(VLOOKUP(VLOOKUP($B55, Dependencies!$B$2:$G$230, 2,FALSE),$B$14:K$73, K$74,FALSE),"o")=$D$4,IFERROR(VLOOKUP(VLOOKUP($B55, Dependencies!$B$2:$G$230, 3,FALSE),$B$14:K$73, K$74,FALSE),"o")=$D$4,IFERROR(VLOOKUP(VLOOKUP($B55, Dependencies!$B$2:$G$230, 4,FALSE),$B$14:K$73, K$74,FALSE),"o")=$D$4,IFERROR(VLOOKUP(VLOOKUP($B55, Dependencies!$B$2:$G$230, 5,FALSE),$B$14:K$73, K$74,FALSE),"o")=$D$4,IFERROR(VLOOKUP(VLOOKUP($B55, Dependencies!$B$2:$G$230, 6,FALSE),$B$14:K$73, K$74,FALSE),"o")=$D$4),$D$4,IF(OR(IFERROR(VLOOKUP(VLOOKUP($B55, Dependencies!$B$2:$G$230, 2,FALSE), $B$14:K$73, K$74,FALSE),"o")=$D$5,IFERROR(VLOOKUP(VLOOKUP($B55, Dependencies!$B$2:$G$230, 3,FALSE), $B$14:K$73, K$74,FALSE),"o")=$D$5,IFERROR(VLOOKUP(VLOOKUP($B55, Dependencies!$B$2:$G$230, 4,FALSE), $B$14:K$73, K$74,FALSE),"o")=$D$5,IFERROR(VLOOKUP(VLOOKUP($B55, Dependencies!$B$2:$G$230, 5,FALSE), $B$14:K$73, K$74,FALSE),"o")=$D$5,IFERROR(VLOOKUP(VLOOKUP($B55, Dependencies!$B$2:$G$230, 6,FALSE), $B$14:K$73, K$74,FALSE),"o")=$D$5),$D$5,J55)))</f>
        <v>o</v>
      </c>
      <c r="L55" s="94" t="s">
        <v>323</v>
      </c>
      <c r="M55" s="72" t="str">
        <f>IF(L55=$D$4,L55,IF(OR(IFERROR(VLOOKUP(VLOOKUP($B55, Dependencies!$B$2:$G$230, 2,FALSE),$B$14:M$73, M$74,FALSE),"o")=$D$4,IFERROR(VLOOKUP(VLOOKUP($B55, Dependencies!$B$2:$G$230, 3,FALSE),$B$14:M$73, M$74,FALSE),"o")=$D$4,IFERROR(VLOOKUP(VLOOKUP($B55, Dependencies!$B$2:$G$230, 4,FALSE),$B$14:M$73, M$74,FALSE),"o")=$D$4,IFERROR(VLOOKUP(VLOOKUP($B55, Dependencies!$B$2:$G$230, 5,FALSE),$B$14:M$73, M$74,FALSE),"o")=$D$4,IFERROR(VLOOKUP(VLOOKUP($B55, Dependencies!$B$2:$G$230, 6,FALSE),$B$14:M$73, M$74,FALSE),"o")=$D$4),$D$4,IF(OR(IFERROR(VLOOKUP(VLOOKUP($B55, Dependencies!$B$2:$G$230, 2,FALSE), $B$14:M$73, M$74,FALSE),"o")=$D$5,IFERROR(VLOOKUP(VLOOKUP($B55, Dependencies!$B$2:$G$230, 3,FALSE), $B$14:M$73, M$74,FALSE),"o")=$D$5,IFERROR(VLOOKUP(VLOOKUP($B55, Dependencies!$B$2:$G$230, 4,FALSE), $B$14:M$73, M$74,FALSE),"o")=$D$5,IFERROR(VLOOKUP(VLOOKUP($B55, Dependencies!$B$2:$G$230, 5,FALSE), $B$14:M$73, M$74,FALSE),"o")=$D$5,IFERROR(VLOOKUP(VLOOKUP($B55, Dependencies!$B$2:$G$230, 6,FALSE), $B$14:M$73, M$74,FALSE),"o")=$D$5),$D$5,L55)))</f>
        <v>o</v>
      </c>
      <c r="N55" s="94" t="s">
        <v>323</v>
      </c>
      <c r="O55" s="72" t="str">
        <f>IF(N55=$D$4,N55,IF(OR(IFERROR(VLOOKUP(VLOOKUP($B55, Dependencies!$B$2:$G$230, 2,FALSE),$B$14:O$73, O$74,FALSE),"o")=$D$4,IFERROR(VLOOKUP(VLOOKUP($B55, Dependencies!$B$2:$G$230, 3,FALSE),$B$14:O$73, O$74,FALSE),"o")=$D$4,IFERROR(VLOOKUP(VLOOKUP($B55, Dependencies!$B$2:$G$230, 4,FALSE),$B$14:O$73, O$74,FALSE),"o")=$D$4,IFERROR(VLOOKUP(VLOOKUP($B55, Dependencies!$B$2:$G$230, 5,FALSE),$B$14:O$73, O$74,FALSE),"o")=$D$4,IFERROR(VLOOKUP(VLOOKUP($B55, Dependencies!$B$2:$G$230, 6,FALSE),$B$14:O$73, O$74,FALSE),"o")=$D$4),$D$4,IF(OR(IFERROR(VLOOKUP(VLOOKUP($B55, Dependencies!$B$2:$G$230, 2,FALSE), $B$14:O$73, O$74,FALSE),"o")=$D$5,IFERROR(VLOOKUP(VLOOKUP($B55, Dependencies!$B$2:$G$230, 3,FALSE), $B$14:O$73, O$74,FALSE),"o")=$D$5,IFERROR(VLOOKUP(VLOOKUP($B55, Dependencies!$B$2:$G$230, 4,FALSE), $B$14:O$73, O$74,FALSE),"o")=$D$5,IFERROR(VLOOKUP(VLOOKUP($B55, Dependencies!$B$2:$G$230, 5,FALSE), $B$14:O$73, O$74,FALSE),"o")=$D$5,IFERROR(VLOOKUP(VLOOKUP($B55, Dependencies!$B$2:$G$230, 6,FALSE), $B$14:O$73, O$74,FALSE),"o")=$D$5),$D$5,N55)))</f>
        <v>o</v>
      </c>
      <c r="P55" s="94" t="s">
        <v>323</v>
      </c>
      <c r="Q55" s="72" t="str">
        <f>IF(P55=$D$4,P55,IF(OR(IFERROR(VLOOKUP(VLOOKUP($B55, Dependencies!$B$2:$G$230, 2,FALSE),$B$14:Q$73, Q$74,FALSE),"o")=$D$4,IFERROR(VLOOKUP(VLOOKUP($B55, Dependencies!$B$2:$G$230, 3,FALSE),$B$14:Q$73, Q$74,FALSE),"o")=$D$4,IFERROR(VLOOKUP(VLOOKUP($B55, Dependencies!$B$2:$G$230, 4,FALSE),$B$14:Q$73, Q$74,FALSE),"o")=$D$4,IFERROR(VLOOKUP(VLOOKUP($B55, Dependencies!$B$2:$G$230, 5,FALSE),$B$14:Q$73, Q$74,FALSE),"o")=$D$4,IFERROR(VLOOKUP(VLOOKUP($B55, Dependencies!$B$2:$G$230, 6,FALSE),$B$14:Q$73, Q$74,FALSE),"o")=$D$4),$D$4,IF(OR(IFERROR(VLOOKUP(VLOOKUP($B55, Dependencies!$B$2:$G$230, 2,FALSE), $B$14:Q$73, Q$74,FALSE),"o")=$D$5,IFERROR(VLOOKUP(VLOOKUP($B55, Dependencies!$B$2:$G$230, 3,FALSE), $B$14:Q$73, Q$74,FALSE),"o")=$D$5,IFERROR(VLOOKUP(VLOOKUP($B55, Dependencies!$B$2:$G$230, 4,FALSE), $B$14:Q$73, Q$74,FALSE),"o")=$D$5,IFERROR(VLOOKUP(VLOOKUP($B55, Dependencies!$B$2:$G$230, 5,FALSE), $B$14:Q$73, Q$74,FALSE),"o")=$D$5,IFERROR(VLOOKUP(VLOOKUP($B55, Dependencies!$B$2:$G$230, 6,FALSE), $B$14:Q$73, Q$74,FALSE),"o")=$D$5),$D$5,P55)))</f>
        <v>o</v>
      </c>
      <c r="R55" s="94" t="s">
        <v>323</v>
      </c>
      <c r="S55" s="72" t="str">
        <f>IF(R55=$D$4,R55,IF(OR(IFERROR(VLOOKUP(VLOOKUP($B55, Dependencies!$B$2:$G$230, 2,FALSE),$B$14:S$73, S$74,FALSE),"o")=$D$4,IFERROR(VLOOKUP(VLOOKUP($B55, Dependencies!$B$2:$G$230, 3,FALSE),$B$14:S$73, S$74,FALSE),"o")=$D$4,IFERROR(VLOOKUP(VLOOKUP($B55, Dependencies!$B$2:$G$230, 4,FALSE),$B$14:S$73, S$74,FALSE),"o")=$D$4,IFERROR(VLOOKUP(VLOOKUP($B55, Dependencies!$B$2:$G$230, 5,FALSE),$B$14:S$73, S$74,FALSE),"o")=$D$4,IFERROR(VLOOKUP(VLOOKUP($B55, Dependencies!$B$2:$G$230, 6,FALSE),$B$14:S$73, S$74,FALSE),"o")=$D$4),$D$4,IF(OR(IFERROR(VLOOKUP(VLOOKUP($B55, Dependencies!$B$2:$G$230, 2,FALSE), $B$14:S$73, S$74,FALSE),"o")=$D$5,IFERROR(VLOOKUP(VLOOKUP($B55, Dependencies!$B$2:$G$230, 3,FALSE), $B$14:S$73, S$74,FALSE),"o")=$D$5,IFERROR(VLOOKUP(VLOOKUP($B55, Dependencies!$B$2:$G$230, 4,FALSE), $B$14:S$73, S$74,FALSE),"o")=$D$5,IFERROR(VLOOKUP(VLOOKUP($B55, Dependencies!$B$2:$G$230, 5,FALSE), $B$14:S$73, S$74,FALSE),"o")=$D$5,IFERROR(VLOOKUP(VLOOKUP($B55, Dependencies!$B$2:$G$230, 6,FALSE), $B$14:S$73, S$74,FALSE),"o")=$D$5),$D$5,R55)))</f>
        <v>o</v>
      </c>
      <c r="T55" s="94" t="s">
        <v>323</v>
      </c>
      <c r="U55" s="72" t="str">
        <f>IF(T55=$D$4,T55,IF(OR(IFERROR(VLOOKUP(VLOOKUP($B55, Dependencies!$B$2:$G$230, 2,FALSE),$B$14:U$73, U$74,FALSE),"o")=$D$4,IFERROR(VLOOKUP(VLOOKUP($B55, Dependencies!$B$2:$G$230, 3,FALSE),$B$14:U$73, U$74,FALSE),"o")=$D$4,IFERROR(VLOOKUP(VLOOKUP($B55, Dependencies!$B$2:$G$230, 4,FALSE),$B$14:U$73, U$74,FALSE),"o")=$D$4,IFERROR(VLOOKUP(VLOOKUP($B55, Dependencies!$B$2:$G$230, 5,FALSE),$B$14:U$73, U$74,FALSE),"o")=$D$4,IFERROR(VLOOKUP(VLOOKUP($B55, Dependencies!$B$2:$G$230, 6,FALSE),$B$14:U$73, U$74,FALSE),"o")=$D$4),$D$4,IF(OR(IFERROR(VLOOKUP(VLOOKUP($B55, Dependencies!$B$2:$G$230, 2,FALSE), $B$14:U$73, U$74,FALSE),"o")=$D$5,IFERROR(VLOOKUP(VLOOKUP($B55, Dependencies!$B$2:$G$230, 3,FALSE), $B$14:U$73, U$74,FALSE),"o")=$D$5,IFERROR(VLOOKUP(VLOOKUP($B55, Dependencies!$B$2:$G$230, 4,FALSE), $B$14:U$73, U$74,FALSE),"o")=$D$5,IFERROR(VLOOKUP(VLOOKUP($B55, Dependencies!$B$2:$G$230, 5,FALSE), $B$14:U$73, U$74,FALSE),"o")=$D$5,IFERROR(VLOOKUP(VLOOKUP($B55, Dependencies!$B$2:$G$230, 6,FALSE), $B$14:U$73, U$74,FALSE),"o")=$D$5),$D$5,T55)))</f>
        <v>o</v>
      </c>
      <c r="V55" s="94" t="s">
        <v>323</v>
      </c>
      <c r="W55" s="72" t="str">
        <f>IF(V55=$D$4,V55,IF(OR(IFERROR(VLOOKUP(VLOOKUP($B55, Dependencies!$B$2:$G$230, 2,FALSE),$B$14:W$73, W$74,FALSE),"o")=$D$4,IFERROR(VLOOKUP(VLOOKUP($B55, Dependencies!$B$2:$G$230, 3,FALSE),$B$14:W$73, W$74,FALSE),"o")=$D$4,IFERROR(VLOOKUP(VLOOKUP($B55, Dependencies!$B$2:$G$230, 4,FALSE),$B$14:W$73, W$74,FALSE),"o")=$D$4,IFERROR(VLOOKUP(VLOOKUP($B55, Dependencies!$B$2:$G$230, 5,FALSE),$B$14:W$73, W$74,FALSE),"o")=$D$4,IFERROR(VLOOKUP(VLOOKUP($B55, Dependencies!$B$2:$G$230, 6,FALSE),$B$14:W$73, W$74,FALSE),"o")=$D$4),$D$4,IF(OR(IFERROR(VLOOKUP(VLOOKUP($B55, Dependencies!$B$2:$G$230, 2,FALSE), $B$14:W$73, W$74,FALSE),"o")=$D$5,IFERROR(VLOOKUP(VLOOKUP($B55, Dependencies!$B$2:$G$230, 3,FALSE), $B$14:W$73, W$74,FALSE),"o")=$D$5,IFERROR(VLOOKUP(VLOOKUP($B55, Dependencies!$B$2:$G$230, 4,FALSE), $B$14:W$73, W$74,FALSE),"o")=$D$5,IFERROR(VLOOKUP(VLOOKUP($B55, Dependencies!$B$2:$G$230, 5,FALSE), $B$14:W$73, W$74,FALSE),"o")=$D$5,IFERROR(VLOOKUP(VLOOKUP($B55, Dependencies!$B$2:$G$230, 6,FALSE), $B$14:W$73, W$74,FALSE),"o")=$D$5),$D$5,V55)))</f>
        <v>o</v>
      </c>
      <c r="X55" s="94" t="s">
        <v>323</v>
      </c>
      <c r="Y55" s="72" t="str">
        <f>IF(X55=$D$4,X55,IF(OR(IFERROR(VLOOKUP(VLOOKUP($B55, Dependencies!$B$2:$G$230, 2,FALSE),$B$14:Y$73, Y$74,FALSE),"o")=$D$4,IFERROR(VLOOKUP(VLOOKUP($B55, Dependencies!$B$2:$G$230, 3,FALSE),$B$14:Y$73, Y$74,FALSE),"o")=$D$4,IFERROR(VLOOKUP(VLOOKUP($B55, Dependencies!$B$2:$G$230, 4,FALSE),$B$14:Y$73, Y$74,FALSE),"o")=$D$4,IFERROR(VLOOKUP(VLOOKUP($B55, Dependencies!$B$2:$G$230, 5,FALSE),$B$14:Y$73, Y$74,FALSE),"o")=$D$4,IFERROR(VLOOKUP(VLOOKUP($B55, Dependencies!$B$2:$G$230, 6,FALSE),$B$14:Y$73, Y$74,FALSE),"o")=$D$4),$D$4,IF(OR(IFERROR(VLOOKUP(VLOOKUP($B55, Dependencies!$B$2:$G$230, 2,FALSE), $B$14:Y$73, Y$74,FALSE),"o")=$D$5,IFERROR(VLOOKUP(VLOOKUP($B55, Dependencies!$B$2:$G$230, 3,FALSE), $B$14:Y$73, Y$74,FALSE),"o")=$D$5,IFERROR(VLOOKUP(VLOOKUP($B55, Dependencies!$B$2:$G$230, 4,FALSE), $B$14:Y$73, Y$74,FALSE),"o")=$D$5,IFERROR(VLOOKUP(VLOOKUP($B55, Dependencies!$B$2:$G$230, 5,FALSE), $B$14:Y$73, Y$74,FALSE),"o")=$D$5,IFERROR(VLOOKUP(VLOOKUP($B55, Dependencies!$B$2:$G$230, 6,FALSE), $B$14:Y$73, Y$74,FALSE),"o")=$D$5),$D$5,X55)))</f>
        <v>o</v>
      </c>
      <c r="Z55" s="94" t="s">
        <v>323</v>
      </c>
      <c r="AA55" s="72" t="str">
        <f>IF(Z55=$D$4,Z55,IF(OR(IFERROR(VLOOKUP(VLOOKUP($B55, Dependencies!$B$2:$G$230, 2,FALSE),$B$14:AA$73, AA$74,FALSE),"o")=$D$4,IFERROR(VLOOKUP(VLOOKUP($B55, Dependencies!$B$2:$G$230, 3,FALSE),$B$14:AA$73, AA$74,FALSE),"o")=$D$4,IFERROR(VLOOKUP(VLOOKUP($B55, Dependencies!$B$2:$G$230, 4,FALSE),$B$14:AA$73, AA$74,FALSE),"o")=$D$4,IFERROR(VLOOKUP(VLOOKUP($B55, Dependencies!$B$2:$G$230, 5,FALSE),$B$14:AA$73, AA$74,FALSE),"o")=$D$4,IFERROR(VLOOKUP(VLOOKUP($B55, Dependencies!$B$2:$G$230, 6,FALSE),$B$14:AA$73, AA$74,FALSE),"o")=$D$4),$D$4,IF(OR(IFERROR(VLOOKUP(VLOOKUP($B55, Dependencies!$B$2:$G$230, 2,FALSE), $B$14:AA$73, AA$74,FALSE),"o")=$D$5,IFERROR(VLOOKUP(VLOOKUP($B55, Dependencies!$B$2:$G$230, 3,FALSE), $B$14:AA$73, AA$74,FALSE),"o")=$D$5,IFERROR(VLOOKUP(VLOOKUP($B55, Dependencies!$B$2:$G$230, 4,FALSE), $B$14:AA$73, AA$74,FALSE),"o")=$D$5,IFERROR(VLOOKUP(VLOOKUP($B55, Dependencies!$B$2:$G$230, 5,FALSE), $B$14:AA$73, AA$74,FALSE),"o")=$D$5,IFERROR(VLOOKUP(VLOOKUP($B55, Dependencies!$B$2:$G$230, 6,FALSE), $B$14:AA$73, AA$74,FALSE),"o")=$D$5),$D$5,Z55)))</f>
        <v>o</v>
      </c>
      <c r="AB55" s="94" t="s">
        <v>323</v>
      </c>
      <c r="AC55" s="72" t="str">
        <f>IF(AB55=$D$4,AB55,IF(OR(IFERROR(VLOOKUP(VLOOKUP($B55, Dependencies!$B$2:$G$230, 2,FALSE),$B$14:AC$73, AC$74,FALSE),"o")=$D$4,IFERROR(VLOOKUP(VLOOKUP($B55, Dependencies!$B$2:$G$230, 3,FALSE),$B$14:AC$73, AC$74,FALSE),"o")=$D$4,IFERROR(VLOOKUP(VLOOKUP($B55, Dependencies!$B$2:$G$230, 4,FALSE),$B$14:AC$73, AC$74,FALSE),"o")=$D$4,IFERROR(VLOOKUP(VLOOKUP($B55, Dependencies!$B$2:$G$230, 5,FALSE),$B$14:AC$73, AC$74,FALSE),"o")=$D$4,IFERROR(VLOOKUP(VLOOKUP($B55, Dependencies!$B$2:$G$230, 6,FALSE),$B$14:AC$73, AC$74,FALSE),"o")=$D$4),$D$4,IF(OR(IFERROR(VLOOKUP(VLOOKUP($B55, Dependencies!$B$2:$G$230, 2,FALSE), $B$14:AC$73, AC$74,FALSE),"o")=$D$5,IFERROR(VLOOKUP(VLOOKUP($B55, Dependencies!$B$2:$G$230, 3,FALSE), $B$14:AC$73, AC$74,FALSE),"o")=$D$5,IFERROR(VLOOKUP(VLOOKUP($B55, Dependencies!$B$2:$G$230, 4,FALSE), $B$14:AC$73, AC$74,FALSE),"o")=$D$5,IFERROR(VLOOKUP(VLOOKUP($B55, Dependencies!$B$2:$G$230, 5,FALSE), $B$14:AC$73, AC$74,FALSE),"o")=$D$5,IFERROR(VLOOKUP(VLOOKUP($B55, Dependencies!$B$2:$G$230, 6,FALSE), $B$14:AC$73, AC$74,FALSE),"o")=$D$5),$D$5,AB55)))</f>
        <v>o</v>
      </c>
      <c r="AD55" s="94" t="s">
        <v>323</v>
      </c>
      <c r="AE55" s="72" t="str">
        <f>IF(AD55=$D$4,AD55,IF(OR(IFERROR(VLOOKUP(VLOOKUP($B55, Dependencies!$B$2:$G$230, 2,FALSE),$B$14:AE$73, AE$74,FALSE),"o")=$D$4,IFERROR(VLOOKUP(VLOOKUP($B55, Dependencies!$B$2:$G$230, 3,FALSE),$B$14:AE$73, AE$74,FALSE),"o")=$D$4,IFERROR(VLOOKUP(VLOOKUP($B55, Dependencies!$B$2:$G$230, 4,FALSE),$B$14:AE$73, AE$74,FALSE),"o")=$D$4,IFERROR(VLOOKUP(VLOOKUP($B55, Dependencies!$B$2:$G$230, 5,FALSE),$B$14:AE$73, AE$74,FALSE),"o")=$D$4,IFERROR(VLOOKUP(VLOOKUP($B55, Dependencies!$B$2:$G$230, 6,FALSE),$B$14:AE$73, AE$74,FALSE),"o")=$D$4),$D$4,IF(OR(IFERROR(VLOOKUP(VLOOKUP($B55, Dependencies!$B$2:$G$230, 2,FALSE), $B$14:AE$73, AE$74,FALSE),"o")=$D$5,IFERROR(VLOOKUP(VLOOKUP($B55, Dependencies!$B$2:$G$230, 3,FALSE), $B$14:AE$73, AE$74,FALSE),"o")=$D$5,IFERROR(VLOOKUP(VLOOKUP($B55, Dependencies!$B$2:$G$230, 4,FALSE), $B$14:AE$73, AE$74,FALSE),"o")=$D$5,IFERROR(VLOOKUP(VLOOKUP($B55, Dependencies!$B$2:$G$230, 5,FALSE), $B$14:AE$73, AE$74,FALSE),"o")=$D$5,IFERROR(VLOOKUP(VLOOKUP($B55, Dependencies!$B$2:$G$230, 6,FALSE), $B$14:AE$73, AE$74,FALSE),"o")=$D$5),$D$5,AD55)))</f>
        <v>o</v>
      </c>
      <c r="AF55" s="94" t="s">
        <v>323</v>
      </c>
      <c r="AG55" s="72" t="str">
        <f>IF(AF55=$D$4,AF55,IF(OR(IFERROR(VLOOKUP(VLOOKUP($B55, Dependencies!$B$2:$G$230, 2,FALSE),$B$14:AG$73, AG$74,FALSE),"o")=$D$4,IFERROR(VLOOKUP(VLOOKUP($B55, Dependencies!$B$2:$G$230, 3,FALSE),$B$14:AG$73, AG$74,FALSE),"o")=$D$4,IFERROR(VLOOKUP(VLOOKUP($B55, Dependencies!$B$2:$G$230, 4,FALSE),$B$14:AG$73, AG$74,FALSE),"o")=$D$4,IFERROR(VLOOKUP(VLOOKUP($B55, Dependencies!$B$2:$G$230, 5,FALSE),$B$14:AG$73, AG$74,FALSE),"o")=$D$4,IFERROR(VLOOKUP(VLOOKUP($B55, Dependencies!$B$2:$G$230, 6,FALSE),$B$14:AG$73, AG$74,FALSE),"o")=$D$4),$D$4,IF(OR(IFERROR(VLOOKUP(VLOOKUP($B55, Dependencies!$B$2:$G$230, 2,FALSE), $B$14:AG$73, AG$74,FALSE),"o")=$D$5,IFERROR(VLOOKUP(VLOOKUP($B55, Dependencies!$B$2:$G$230, 3,FALSE), $B$14:AG$73, AG$74,FALSE),"o")=$D$5,IFERROR(VLOOKUP(VLOOKUP($B55, Dependencies!$B$2:$G$230, 4,FALSE), $B$14:AG$73, AG$74,FALSE),"o")=$D$5,IFERROR(VLOOKUP(VLOOKUP($B55, Dependencies!$B$2:$G$230, 5,FALSE), $B$14:AG$73, AG$74,FALSE),"o")=$D$5,IFERROR(VLOOKUP(VLOOKUP($B55, Dependencies!$B$2:$G$230, 6,FALSE), $B$14:AG$73, AG$74,FALSE),"o")=$D$5),$D$5,AF55)))</f>
        <v>o</v>
      </c>
      <c r="AH55" s="94" t="s">
        <v>323</v>
      </c>
      <c r="AI55" s="72" t="str">
        <f>IF(AH55=$D$4,AH55,IF(OR(IFERROR(VLOOKUP(VLOOKUP($B55, Dependencies!$B$2:$G$230, 2,FALSE),$B$14:AI$73, AI$74,FALSE),"o")=$D$4,IFERROR(VLOOKUP(VLOOKUP($B55, Dependencies!$B$2:$G$230, 3,FALSE),$B$14:AI$73, AI$74,FALSE),"o")=$D$4,IFERROR(VLOOKUP(VLOOKUP($B55, Dependencies!$B$2:$G$230, 4,FALSE),$B$14:AI$73, AI$74,FALSE),"o")=$D$4,IFERROR(VLOOKUP(VLOOKUP($B55, Dependencies!$B$2:$G$230, 5,FALSE),$B$14:AI$73, AI$74,FALSE),"o")=$D$4,IFERROR(VLOOKUP(VLOOKUP($B55, Dependencies!$B$2:$G$230, 6,FALSE),$B$14:AI$73, AI$74,FALSE),"o")=$D$4),$D$4,IF(OR(IFERROR(VLOOKUP(VLOOKUP($B55, Dependencies!$B$2:$G$230, 2,FALSE), $B$14:AI$73, AI$74,FALSE),"o")=$D$5,IFERROR(VLOOKUP(VLOOKUP($B55, Dependencies!$B$2:$G$230, 3,FALSE), $B$14:AI$73, AI$74,FALSE),"o")=$D$5,IFERROR(VLOOKUP(VLOOKUP($B55, Dependencies!$B$2:$G$230, 4,FALSE), $B$14:AI$73, AI$74,FALSE),"o")=$D$5,IFERROR(VLOOKUP(VLOOKUP($B55, Dependencies!$B$2:$G$230, 5,FALSE), $B$14:AI$73, AI$74,FALSE),"o")=$D$5,IFERROR(VLOOKUP(VLOOKUP($B55, Dependencies!$B$2:$G$230, 6,FALSE), $B$14:AI$73, AI$74,FALSE),"o")=$D$5),$D$5,AH55)))</f>
        <v>o</v>
      </c>
      <c r="AJ55" s="94" t="s">
        <v>323</v>
      </c>
      <c r="AK55" s="72" t="str">
        <f>IF(AJ55=$D$4,AJ55,IF(OR(IFERROR(VLOOKUP(VLOOKUP($B55, Dependencies!$B$2:$G$230, 2,FALSE),$B$14:AK$73, AK$74,FALSE),"o")=$D$4,IFERROR(VLOOKUP(VLOOKUP($B55, Dependencies!$B$2:$G$230, 3,FALSE),$B$14:AK$73, AK$74,FALSE),"o")=$D$4,IFERROR(VLOOKUP(VLOOKUP($B55, Dependencies!$B$2:$G$230, 4,FALSE),$B$14:AK$73, AK$74,FALSE),"o")=$D$4,IFERROR(VLOOKUP(VLOOKUP($B55, Dependencies!$B$2:$G$230, 5,FALSE),$B$14:AK$73, AK$74,FALSE),"o")=$D$4,IFERROR(VLOOKUP(VLOOKUP($B55, Dependencies!$B$2:$G$230, 6,FALSE),$B$14:AK$73, AK$74,FALSE),"o")=$D$4),$D$4,IF(OR(IFERROR(VLOOKUP(VLOOKUP($B55, Dependencies!$B$2:$G$230, 2,FALSE), $B$14:AK$73, AK$74,FALSE),"o")=$D$5,IFERROR(VLOOKUP(VLOOKUP($B55, Dependencies!$B$2:$G$230, 3,FALSE), $B$14:AK$73, AK$74,FALSE),"o")=$D$5,IFERROR(VLOOKUP(VLOOKUP($B55, Dependencies!$B$2:$G$230, 4,FALSE), $B$14:AK$73, AK$74,FALSE),"o")=$D$5,IFERROR(VLOOKUP(VLOOKUP($B55, Dependencies!$B$2:$G$230, 5,FALSE), $B$14:AK$73, AK$74,FALSE),"o")=$D$5,IFERROR(VLOOKUP(VLOOKUP($B55, Dependencies!$B$2:$G$230, 6,FALSE), $B$14:AK$73, AK$74,FALSE),"o")=$D$5),$D$5,AJ55)))</f>
        <v>o</v>
      </c>
      <c r="AL55" s="94" t="s">
        <v>323</v>
      </c>
      <c r="AM55" s="72" t="str">
        <f>IF(AL55=$D$4,AL55,IF(OR(IFERROR(VLOOKUP(VLOOKUP($B55, Dependencies!$B$2:$G$230, 2,FALSE),$B$14:AM$73, AM$74,FALSE),"o")=$D$4,IFERROR(VLOOKUP(VLOOKUP($B55, Dependencies!$B$2:$G$230, 3,FALSE),$B$14:AM$73, AM$74,FALSE),"o")=$D$4,IFERROR(VLOOKUP(VLOOKUP($B55, Dependencies!$B$2:$G$230, 4,FALSE),$B$14:AM$73, AM$74,FALSE),"o")=$D$4,IFERROR(VLOOKUP(VLOOKUP($B55, Dependencies!$B$2:$G$230, 5,FALSE),$B$14:AM$73, AM$74,FALSE),"o")=$D$4,IFERROR(VLOOKUP(VLOOKUP($B55, Dependencies!$B$2:$G$230, 6,FALSE),$B$14:AM$73, AM$74,FALSE),"o")=$D$4),$D$4,IF(OR(IFERROR(VLOOKUP(VLOOKUP($B55, Dependencies!$B$2:$G$230, 2,FALSE), $B$14:AM$73, AM$74,FALSE),"o")=$D$5,IFERROR(VLOOKUP(VLOOKUP($B55, Dependencies!$B$2:$G$230, 3,FALSE), $B$14:AM$73, AM$74,FALSE),"o")=$D$5,IFERROR(VLOOKUP(VLOOKUP($B55, Dependencies!$B$2:$G$230, 4,FALSE), $B$14:AM$73, AM$74,FALSE),"o")=$D$5,IFERROR(VLOOKUP(VLOOKUP($B55, Dependencies!$B$2:$G$230, 5,FALSE), $B$14:AM$73, AM$74,FALSE),"o")=$D$5,IFERROR(VLOOKUP(VLOOKUP($B55, Dependencies!$B$2:$G$230, 6,FALSE), $B$14:AM$73, AM$74,FALSE),"o")=$D$5),$D$5,AL55)))</f>
        <v>o</v>
      </c>
      <c r="AN55" s="94" t="s">
        <v>323</v>
      </c>
      <c r="AO55" s="72" t="str">
        <f>IF(AN55=$D$4,AN55,IF(OR(IFERROR(VLOOKUP(VLOOKUP($B55, Dependencies!$B$2:$G$230, 2,FALSE),$B$14:AO$73, AO$74,FALSE),"o")=$D$4,IFERROR(VLOOKUP(VLOOKUP($B55, Dependencies!$B$2:$G$230, 3,FALSE),$B$14:AO$73, AO$74,FALSE),"o")=$D$4,IFERROR(VLOOKUP(VLOOKUP($B55, Dependencies!$B$2:$G$230, 4,FALSE),$B$14:AO$73, AO$74,FALSE),"o")=$D$4,IFERROR(VLOOKUP(VLOOKUP($B55, Dependencies!$B$2:$G$230, 5,FALSE),$B$14:AO$73, AO$74,FALSE),"o")=$D$4,IFERROR(VLOOKUP(VLOOKUP($B55, Dependencies!$B$2:$G$230, 6,FALSE),$B$14:AO$73, AO$74,FALSE),"o")=$D$4),$D$4,IF(OR(IFERROR(VLOOKUP(VLOOKUP($B55, Dependencies!$B$2:$G$230, 2,FALSE), $B$14:AO$73, AO$74,FALSE),"o")=$D$5,IFERROR(VLOOKUP(VLOOKUP($B55, Dependencies!$B$2:$G$230, 3,FALSE), $B$14:AO$73, AO$74,FALSE),"o")=$D$5,IFERROR(VLOOKUP(VLOOKUP($B55, Dependencies!$B$2:$G$230, 4,FALSE), $B$14:AO$73, AO$74,FALSE),"o")=$D$5,IFERROR(VLOOKUP(VLOOKUP($B55, Dependencies!$B$2:$G$230, 5,FALSE), $B$14:AO$73, AO$74,FALSE),"o")=$D$5,IFERROR(VLOOKUP(VLOOKUP($B55, Dependencies!$B$2:$G$230, 6,FALSE), $B$14:AO$73, AO$74,FALSE),"o")=$D$5),$D$5,AN55)))</f>
        <v>o</v>
      </c>
      <c r="AP55" s="94" t="s">
        <v>323</v>
      </c>
      <c r="AQ55" s="72" t="str">
        <f>IF(AP55=$D$4,AP55,IF(OR(IFERROR(VLOOKUP(VLOOKUP($B55, Dependencies!$B$2:$G$230, 2,FALSE),$B$14:AQ$73, AQ$74,FALSE),"o")=$D$4,IFERROR(VLOOKUP(VLOOKUP($B55, Dependencies!$B$2:$G$230, 3,FALSE),$B$14:AQ$73, AQ$74,FALSE),"o")=$D$4,IFERROR(VLOOKUP(VLOOKUP($B55, Dependencies!$B$2:$G$230, 4,FALSE),$B$14:AQ$73, AQ$74,FALSE),"o")=$D$4,IFERROR(VLOOKUP(VLOOKUP($B55, Dependencies!$B$2:$G$230, 5,FALSE),$B$14:AQ$73, AQ$74,FALSE),"o")=$D$4,IFERROR(VLOOKUP(VLOOKUP($B55, Dependencies!$B$2:$G$230, 6,FALSE),$B$14:AQ$73, AQ$74,FALSE),"o")=$D$4),$D$4,IF(OR(IFERROR(VLOOKUP(VLOOKUP($B55, Dependencies!$B$2:$G$230, 2,FALSE), $B$14:AQ$73, AQ$74,FALSE),"o")=$D$5,IFERROR(VLOOKUP(VLOOKUP($B55, Dependencies!$B$2:$G$230, 3,FALSE), $B$14:AQ$73, AQ$74,FALSE),"o")=$D$5,IFERROR(VLOOKUP(VLOOKUP($B55, Dependencies!$B$2:$G$230, 4,FALSE), $B$14:AQ$73, AQ$74,FALSE),"o")=$D$5,IFERROR(VLOOKUP(VLOOKUP($B55, Dependencies!$B$2:$G$230, 5,FALSE), $B$14:AQ$73, AQ$74,FALSE),"o")=$D$5,IFERROR(VLOOKUP(VLOOKUP($B55, Dependencies!$B$2:$G$230, 6,FALSE), $B$14:AQ$73, AQ$74,FALSE),"o")=$D$5),$D$5,AP55)))</f>
        <v>o</v>
      </c>
      <c r="AR55" s="94" t="s">
        <v>323</v>
      </c>
      <c r="AS55" s="71" t="str">
        <f>IF(AR55=$D$4,AR55,IF(OR(IFERROR(VLOOKUP(VLOOKUP($B55, Dependencies!$B$2:$G$230, 2,FALSE),$B$14:AS$73, AS$74,FALSE),"o")=$D$4,IFERROR(VLOOKUP(VLOOKUP($B55, Dependencies!$B$2:$G$230, 3,FALSE),$B$14:AS$73, AS$74,FALSE),"o")=$D$4,IFERROR(VLOOKUP(VLOOKUP($B55, Dependencies!$B$2:$G$230, 4,FALSE),$B$14:AS$73, AS$74,FALSE),"o")=$D$4,IFERROR(VLOOKUP(VLOOKUP($B55, Dependencies!$B$2:$G$230, 5,FALSE),$B$14:AS$73, AS$74,FALSE),"o")=$D$4,IFERROR(VLOOKUP(VLOOKUP($B55, Dependencies!$B$2:$G$230, 6,FALSE),$B$14:AS$73, AS$74,FALSE),"o")=$D$4),$D$4,IF(OR(IFERROR(VLOOKUP(VLOOKUP($B55, Dependencies!$B$2:$G$230, 2,FALSE), $B$14:AS$73, AS$74,FALSE),"o")=$D$5,IFERROR(VLOOKUP(VLOOKUP($B55, Dependencies!$B$2:$G$230, 3,FALSE), $B$14:AS$73, AS$74,FALSE),"o")=$D$5,IFERROR(VLOOKUP(VLOOKUP($B55, Dependencies!$B$2:$G$230, 4,FALSE), $B$14:AS$73, AS$74,FALSE),"o")=$D$5,IFERROR(VLOOKUP(VLOOKUP($B55, Dependencies!$B$2:$G$230, 5,FALSE), $B$14:AS$73, AS$74,FALSE),"o")=$D$5,IFERROR(VLOOKUP(VLOOKUP($B55, Dependencies!$B$2:$G$230, 6,FALSE), $B$14:AS$73, AS$74,FALSE),"o")=$D$5),$D$5,AR55)))</f>
        <v>o</v>
      </c>
    </row>
    <row r="56" spans="1:45" x14ac:dyDescent="0.2">
      <c r="A56" s="40"/>
      <c r="B56" s="73" t="str">
        <f>MLEOsv2!A44</f>
        <v>MLEO_05_01</v>
      </c>
      <c r="C56" s="73">
        <f>MLEOsv2!C44</f>
        <v>6</v>
      </c>
      <c r="D56" s="42" t="str">
        <f>MLEOsv2!G44</f>
        <v>use suitable generic lists from the Java Collection Framework to store, manage and sort data.</v>
      </c>
      <c r="E56" s="51" t="b">
        <f>MLEOsv2!H44</f>
        <v>1</v>
      </c>
      <c r="F56" s="93" t="s">
        <v>320</v>
      </c>
      <c r="G56" s="70" t="str">
        <f>IF(F56=$D$4,F56,IF(OR(IFERROR(VLOOKUP(VLOOKUP($B56, Dependencies!$B$2:$G$230, 2,FALSE),$B$14:G$73, G$74,FALSE),"o")=$D$4,IFERROR(VLOOKUP(VLOOKUP($B56, Dependencies!$B$2:$G$230, 3,FALSE),$B$14:G$73, G$74,FALSE),"o")=$D$4,IFERROR(VLOOKUP(VLOOKUP($B56, Dependencies!$B$2:$G$230, 4,FALSE),$B$14:G$73, G$74,FALSE),"o")=$D$4,IFERROR(VLOOKUP(VLOOKUP($B56, Dependencies!$B$2:$G$230, 5,FALSE),$B$14:G$73, G$74,FALSE),"o")=$D$4,IFERROR(VLOOKUP(VLOOKUP($B56, Dependencies!$B$2:$G$230, 6,FALSE),$B$14:G$73, G$74,FALSE),"o")=$D$4),$D$4,IF(OR(IFERROR(VLOOKUP(VLOOKUP($B56, Dependencies!$B$2:$G$230, 2,FALSE), $B$14:G$73, G$74,FALSE),"o")=$D$5,IFERROR(VLOOKUP(VLOOKUP($B56, Dependencies!$B$2:$G$230, 3,FALSE), $B$14:G$73, G$74,FALSE),"o")=$D$5,IFERROR(VLOOKUP(VLOOKUP($B56, Dependencies!$B$2:$G$230, 4,FALSE), $B$14:G$73, G$74,FALSE),"o")=$D$5,IFERROR(VLOOKUP(VLOOKUP($B56, Dependencies!$B$2:$G$230, 5,FALSE), $B$14:G$73, G$74,FALSE),"o")=$D$5,IFERROR(VLOOKUP(VLOOKUP($B56, Dependencies!$B$2:$G$230, 6,FALSE), $B$14:G$73, G$74,FALSE),"o")=$D$5),$D$5,F56)))</f>
        <v>r</v>
      </c>
      <c r="H56" s="93" t="s">
        <v>321</v>
      </c>
      <c r="I56" s="70" t="str">
        <f>IF(H56=$D$4,H56,IF(OR(IFERROR(VLOOKUP(VLOOKUP($B56, Dependencies!$B$2:$G$230, 2,FALSE),$B$14:I$73, I$74,FALSE),"o")=$D$4,IFERROR(VLOOKUP(VLOOKUP($B56, Dependencies!$B$2:$G$230, 3,FALSE),$B$14:I$73, I$74,FALSE),"o")=$D$4,IFERROR(VLOOKUP(VLOOKUP($B56, Dependencies!$B$2:$G$230, 4,FALSE),$B$14:I$73, I$74,FALSE),"o")=$D$4,IFERROR(VLOOKUP(VLOOKUP($B56, Dependencies!$B$2:$G$230, 5,FALSE),$B$14:I$73, I$74,FALSE),"o")=$D$4,IFERROR(VLOOKUP(VLOOKUP($B56, Dependencies!$B$2:$G$230, 6,FALSE),$B$14:I$73, I$74,FALSE),"o")=$D$4),$D$4,IF(OR(IFERROR(VLOOKUP(VLOOKUP($B56, Dependencies!$B$2:$G$230, 2,FALSE), $B$14:I$73, I$74,FALSE),"o")=$D$5,IFERROR(VLOOKUP(VLOOKUP($B56, Dependencies!$B$2:$G$230, 3,FALSE), $B$14:I$73, I$74,FALSE),"o")=$D$5,IFERROR(VLOOKUP(VLOOKUP($B56, Dependencies!$B$2:$G$230, 4,FALSE), $B$14:I$73, I$74,FALSE),"o")=$D$5,IFERROR(VLOOKUP(VLOOKUP($B56, Dependencies!$B$2:$G$230, 5,FALSE), $B$14:I$73, I$74,FALSE),"o")=$D$5,IFERROR(VLOOKUP(VLOOKUP($B56, Dependencies!$B$2:$G$230, 6,FALSE), $B$14:I$73, I$74,FALSE),"o")=$D$5),$D$5,H56)))</f>
        <v>pr</v>
      </c>
      <c r="J56" s="93" t="s">
        <v>320</v>
      </c>
      <c r="K56" s="70" t="str">
        <f>IF(J56=$D$4,J56,IF(OR(IFERROR(VLOOKUP(VLOOKUP($B56, Dependencies!$B$2:$G$230, 2,FALSE),$B$14:K$73, K$74,FALSE),"o")=$D$4,IFERROR(VLOOKUP(VLOOKUP($B56, Dependencies!$B$2:$G$230, 3,FALSE),$B$14:K$73, K$74,FALSE),"o")=$D$4,IFERROR(VLOOKUP(VLOOKUP($B56, Dependencies!$B$2:$G$230, 4,FALSE),$B$14:K$73, K$74,FALSE),"o")=$D$4,IFERROR(VLOOKUP(VLOOKUP($B56, Dependencies!$B$2:$G$230, 5,FALSE),$B$14:K$73, K$74,FALSE),"o")=$D$4,IFERROR(VLOOKUP(VLOOKUP($B56, Dependencies!$B$2:$G$230, 6,FALSE),$B$14:K$73, K$74,FALSE),"o")=$D$4),$D$4,IF(OR(IFERROR(VLOOKUP(VLOOKUP($B56, Dependencies!$B$2:$G$230, 2,FALSE), $B$14:K$73, K$74,FALSE),"o")=$D$5,IFERROR(VLOOKUP(VLOOKUP($B56, Dependencies!$B$2:$G$230, 3,FALSE), $B$14:K$73, K$74,FALSE),"o")=$D$5,IFERROR(VLOOKUP(VLOOKUP($B56, Dependencies!$B$2:$G$230, 4,FALSE), $B$14:K$73, K$74,FALSE),"o")=$D$5,IFERROR(VLOOKUP(VLOOKUP($B56, Dependencies!$B$2:$G$230, 5,FALSE), $B$14:K$73, K$74,FALSE),"o")=$D$5,IFERROR(VLOOKUP(VLOOKUP($B56, Dependencies!$B$2:$G$230, 6,FALSE), $B$14:K$73, K$74,FALSE),"o")=$D$5),$D$5,J56)))</f>
        <v>r</v>
      </c>
      <c r="L56" s="93" t="s">
        <v>323</v>
      </c>
      <c r="M56" s="70" t="str">
        <f>IF(L56=$D$4,L56,IF(OR(IFERROR(VLOOKUP(VLOOKUP($B56, Dependencies!$B$2:$G$230, 2,FALSE),$B$14:M$73, M$74,FALSE),"o")=$D$4,IFERROR(VLOOKUP(VLOOKUP($B56, Dependencies!$B$2:$G$230, 3,FALSE),$B$14:M$73, M$74,FALSE),"o")=$D$4,IFERROR(VLOOKUP(VLOOKUP($B56, Dependencies!$B$2:$G$230, 4,FALSE),$B$14:M$73, M$74,FALSE),"o")=$D$4,IFERROR(VLOOKUP(VLOOKUP($B56, Dependencies!$B$2:$G$230, 5,FALSE),$B$14:M$73, M$74,FALSE),"o")=$D$4,IFERROR(VLOOKUP(VLOOKUP($B56, Dependencies!$B$2:$G$230, 6,FALSE),$B$14:M$73, M$74,FALSE),"o")=$D$4),$D$4,IF(OR(IFERROR(VLOOKUP(VLOOKUP($B56, Dependencies!$B$2:$G$230, 2,FALSE), $B$14:M$73, M$74,FALSE),"o")=$D$5,IFERROR(VLOOKUP(VLOOKUP($B56, Dependencies!$B$2:$G$230, 3,FALSE), $B$14:M$73, M$74,FALSE),"o")=$D$5,IFERROR(VLOOKUP(VLOOKUP($B56, Dependencies!$B$2:$G$230, 4,FALSE), $B$14:M$73, M$74,FALSE),"o")=$D$5,IFERROR(VLOOKUP(VLOOKUP($B56, Dependencies!$B$2:$G$230, 5,FALSE), $B$14:M$73, M$74,FALSE),"o")=$D$5,IFERROR(VLOOKUP(VLOOKUP($B56, Dependencies!$B$2:$G$230, 6,FALSE), $B$14:M$73, M$74,FALSE),"o")=$D$5),$D$5,L56)))</f>
        <v>o</v>
      </c>
      <c r="N56" s="93" t="s">
        <v>323</v>
      </c>
      <c r="O56" s="70" t="str">
        <f>IF(N56=$D$4,N56,IF(OR(IFERROR(VLOOKUP(VLOOKUP($B56, Dependencies!$B$2:$G$230, 2,FALSE),$B$14:O$73, O$74,FALSE),"o")=$D$4,IFERROR(VLOOKUP(VLOOKUP($B56, Dependencies!$B$2:$G$230, 3,FALSE),$B$14:O$73, O$74,FALSE),"o")=$D$4,IFERROR(VLOOKUP(VLOOKUP($B56, Dependencies!$B$2:$G$230, 4,FALSE),$B$14:O$73, O$74,FALSE),"o")=$D$4,IFERROR(VLOOKUP(VLOOKUP($B56, Dependencies!$B$2:$G$230, 5,FALSE),$B$14:O$73, O$74,FALSE),"o")=$D$4,IFERROR(VLOOKUP(VLOOKUP($B56, Dependencies!$B$2:$G$230, 6,FALSE),$B$14:O$73, O$74,FALSE),"o")=$D$4),$D$4,IF(OR(IFERROR(VLOOKUP(VLOOKUP($B56, Dependencies!$B$2:$G$230, 2,FALSE), $B$14:O$73, O$74,FALSE),"o")=$D$5,IFERROR(VLOOKUP(VLOOKUP($B56, Dependencies!$B$2:$G$230, 3,FALSE), $B$14:O$73, O$74,FALSE),"o")=$D$5,IFERROR(VLOOKUP(VLOOKUP($B56, Dependencies!$B$2:$G$230, 4,FALSE), $B$14:O$73, O$74,FALSE),"o")=$D$5,IFERROR(VLOOKUP(VLOOKUP($B56, Dependencies!$B$2:$G$230, 5,FALSE), $B$14:O$73, O$74,FALSE),"o")=$D$5,IFERROR(VLOOKUP(VLOOKUP($B56, Dependencies!$B$2:$G$230, 6,FALSE), $B$14:O$73, O$74,FALSE),"o")=$D$5),$D$5,N56)))</f>
        <v>o</v>
      </c>
      <c r="P56" s="93" t="s">
        <v>323</v>
      </c>
      <c r="Q56" s="70" t="str">
        <f>IF(P56=$D$4,P56,IF(OR(IFERROR(VLOOKUP(VLOOKUP($B56, Dependencies!$B$2:$G$230, 2,FALSE),$B$14:Q$73, Q$74,FALSE),"o")=$D$4,IFERROR(VLOOKUP(VLOOKUP($B56, Dependencies!$B$2:$G$230, 3,FALSE),$B$14:Q$73, Q$74,FALSE),"o")=$D$4,IFERROR(VLOOKUP(VLOOKUP($B56, Dependencies!$B$2:$G$230, 4,FALSE),$B$14:Q$73, Q$74,FALSE),"o")=$D$4,IFERROR(VLOOKUP(VLOOKUP($B56, Dependencies!$B$2:$G$230, 5,FALSE),$B$14:Q$73, Q$74,FALSE),"o")=$D$4,IFERROR(VLOOKUP(VLOOKUP($B56, Dependencies!$B$2:$G$230, 6,FALSE),$B$14:Q$73, Q$74,FALSE),"o")=$D$4),$D$4,IF(OR(IFERROR(VLOOKUP(VLOOKUP($B56, Dependencies!$B$2:$G$230, 2,FALSE), $B$14:Q$73, Q$74,FALSE),"o")=$D$5,IFERROR(VLOOKUP(VLOOKUP($B56, Dependencies!$B$2:$G$230, 3,FALSE), $B$14:Q$73, Q$74,FALSE),"o")=$D$5,IFERROR(VLOOKUP(VLOOKUP($B56, Dependencies!$B$2:$G$230, 4,FALSE), $B$14:Q$73, Q$74,FALSE),"o")=$D$5,IFERROR(VLOOKUP(VLOOKUP($B56, Dependencies!$B$2:$G$230, 5,FALSE), $B$14:Q$73, Q$74,FALSE),"o")=$D$5,IFERROR(VLOOKUP(VLOOKUP($B56, Dependencies!$B$2:$G$230, 6,FALSE), $B$14:Q$73, Q$74,FALSE),"o")=$D$5),$D$5,P56)))</f>
        <v>o</v>
      </c>
      <c r="R56" s="93" t="s">
        <v>323</v>
      </c>
      <c r="S56" s="70" t="str">
        <f>IF(R56=$D$4,R56,IF(OR(IFERROR(VLOOKUP(VLOOKUP($B56, Dependencies!$B$2:$G$230, 2,FALSE),$B$14:S$73, S$74,FALSE),"o")=$D$4,IFERROR(VLOOKUP(VLOOKUP($B56, Dependencies!$B$2:$G$230, 3,FALSE),$B$14:S$73, S$74,FALSE),"o")=$D$4,IFERROR(VLOOKUP(VLOOKUP($B56, Dependencies!$B$2:$G$230, 4,FALSE),$B$14:S$73, S$74,FALSE),"o")=$D$4,IFERROR(VLOOKUP(VLOOKUP($B56, Dependencies!$B$2:$G$230, 5,FALSE),$B$14:S$73, S$74,FALSE),"o")=$D$4,IFERROR(VLOOKUP(VLOOKUP($B56, Dependencies!$B$2:$G$230, 6,FALSE),$B$14:S$73, S$74,FALSE),"o")=$D$4),$D$4,IF(OR(IFERROR(VLOOKUP(VLOOKUP($B56, Dependencies!$B$2:$G$230, 2,FALSE), $B$14:S$73, S$74,FALSE),"o")=$D$5,IFERROR(VLOOKUP(VLOOKUP($B56, Dependencies!$B$2:$G$230, 3,FALSE), $B$14:S$73, S$74,FALSE),"o")=$D$5,IFERROR(VLOOKUP(VLOOKUP($B56, Dependencies!$B$2:$G$230, 4,FALSE), $B$14:S$73, S$74,FALSE),"o")=$D$5,IFERROR(VLOOKUP(VLOOKUP($B56, Dependencies!$B$2:$G$230, 5,FALSE), $B$14:S$73, S$74,FALSE),"o")=$D$5,IFERROR(VLOOKUP(VLOOKUP($B56, Dependencies!$B$2:$G$230, 6,FALSE), $B$14:S$73, S$74,FALSE),"o")=$D$5),$D$5,R56)))</f>
        <v>o</v>
      </c>
      <c r="T56" s="93" t="s">
        <v>323</v>
      </c>
      <c r="U56" s="70" t="str">
        <f>IF(T56=$D$4,T56,IF(OR(IFERROR(VLOOKUP(VLOOKUP($B56, Dependencies!$B$2:$G$230, 2,FALSE),$B$14:U$73, U$74,FALSE),"o")=$D$4,IFERROR(VLOOKUP(VLOOKUP($B56, Dependencies!$B$2:$G$230, 3,FALSE),$B$14:U$73, U$74,FALSE),"o")=$D$4,IFERROR(VLOOKUP(VLOOKUP($B56, Dependencies!$B$2:$G$230, 4,FALSE),$B$14:U$73, U$74,FALSE),"o")=$D$4,IFERROR(VLOOKUP(VLOOKUP($B56, Dependencies!$B$2:$G$230, 5,FALSE),$B$14:U$73, U$74,FALSE),"o")=$D$4,IFERROR(VLOOKUP(VLOOKUP($B56, Dependencies!$B$2:$G$230, 6,FALSE),$B$14:U$73, U$74,FALSE),"o")=$D$4),$D$4,IF(OR(IFERROR(VLOOKUP(VLOOKUP($B56, Dependencies!$B$2:$G$230, 2,FALSE), $B$14:U$73, U$74,FALSE),"o")=$D$5,IFERROR(VLOOKUP(VLOOKUP($B56, Dependencies!$B$2:$G$230, 3,FALSE), $B$14:U$73, U$74,FALSE),"o")=$D$5,IFERROR(VLOOKUP(VLOOKUP($B56, Dependencies!$B$2:$G$230, 4,FALSE), $B$14:U$73, U$74,FALSE),"o")=$D$5,IFERROR(VLOOKUP(VLOOKUP($B56, Dependencies!$B$2:$G$230, 5,FALSE), $B$14:U$73, U$74,FALSE),"o")=$D$5,IFERROR(VLOOKUP(VLOOKUP($B56, Dependencies!$B$2:$G$230, 6,FALSE), $B$14:U$73, U$74,FALSE),"o")=$D$5),$D$5,T56)))</f>
        <v>o</v>
      </c>
      <c r="V56" s="93" t="s">
        <v>323</v>
      </c>
      <c r="W56" s="70" t="str">
        <f>IF(V56=$D$4,V56,IF(OR(IFERROR(VLOOKUP(VLOOKUP($B56, Dependencies!$B$2:$G$230, 2,FALSE),$B$14:W$73, W$74,FALSE),"o")=$D$4,IFERROR(VLOOKUP(VLOOKUP($B56, Dependencies!$B$2:$G$230, 3,FALSE),$B$14:W$73, W$74,FALSE),"o")=$D$4,IFERROR(VLOOKUP(VLOOKUP($B56, Dependencies!$B$2:$G$230, 4,FALSE),$B$14:W$73, W$74,FALSE),"o")=$D$4,IFERROR(VLOOKUP(VLOOKUP($B56, Dependencies!$B$2:$G$230, 5,FALSE),$B$14:W$73, W$74,FALSE),"o")=$D$4,IFERROR(VLOOKUP(VLOOKUP($B56, Dependencies!$B$2:$G$230, 6,FALSE),$B$14:W$73, W$74,FALSE),"o")=$D$4),$D$4,IF(OR(IFERROR(VLOOKUP(VLOOKUP($B56, Dependencies!$B$2:$G$230, 2,FALSE), $B$14:W$73, W$74,FALSE),"o")=$D$5,IFERROR(VLOOKUP(VLOOKUP($B56, Dependencies!$B$2:$G$230, 3,FALSE), $B$14:W$73, W$74,FALSE),"o")=$D$5,IFERROR(VLOOKUP(VLOOKUP($B56, Dependencies!$B$2:$G$230, 4,FALSE), $B$14:W$73, W$74,FALSE),"o")=$D$5,IFERROR(VLOOKUP(VLOOKUP($B56, Dependencies!$B$2:$G$230, 5,FALSE), $B$14:W$73, W$74,FALSE),"o")=$D$5,IFERROR(VLOOKUP(VLOOKUP($B56, Dependencies!$B$2:$G$230, 6,FALSE), $B$14:W$73, W$74,FALSE),"o")=$D$5),$D$5,V56)))</f>
        <v>o</v>
      </c>
      <c r="X56" s="93" t="s">
        <v>323</v>
      </c>
      <c r="Y56" s="70" t="str">
        <f>IF(X56=$D$4,X56,IF(OR(IFERROR(VLOOKUP(VLOOKUP($B56, Dependencies!$B$2:$G$230, 2,FALSE),$B$14:Y$73, Y$74,FALSE),"o")=$D$4,IFERROR(VLOOKUP(VLOOKUP($B56, Dependencies!$B$2:$G$230, 3,FALSE),$B$14:Y$73, Y$74,FALSE),"o")=$D$4,IFERROR(VLOOKUP(VLOOKUP($B56, Dependencies!$B$2:$G$230, 4,FALSE),$B$14:Y$73, Y$74,FALSE),"o")=$D$4,IFERROR(VLOOKUP(VLOOKUP($B56, Dependencies!$B$2:$G$230, 5,FALSE),$B$14:Y$73, Y$74,FALSE),"o")=$D$4,IFERROR(VLOOKUP(VLOOKUP($B56, Dependencies!$B$2:$G$230, 6,FALSE),$B$14:Y$73, Y$74,FALSE),"o")=$D$4),$D$4,IF(OR(IFERROR(VLOOKUP(VLOOKUP($B56, Dependencies!$B$2:$G$230, 2,FALSE), $B$14:Y$73, Y$74,FALSE),"o")=$D$5,IFERROR(VLOOKUP(VLOOKUP($B56, Dependencies!$B$2:$G$230, 3,FALSE), $B$14:Y$73, Y$74,FALSE),"o")=$D$5,IFERROR(VLOOKUP(VLOOKUP($B56, Dependencies!$B$2:$G$230, 4,FALSE), $B$14:Y$73, Y$74,FALSE),"o")=$D$5,IFERROR(VLOOKUP(VLOOKUP($B56, Dependencies!$B$2:$G$230, 5,FALSE), $B$14:Y$73, Y$74,FALSE),"o")=$D$5,IFERROR(VLOOKUP(VLOOKUP($B56, Dependencies!$B$2:$G$230, 6,FALSE), $B$14:Y$73, Y$74,FALSE),"o")=$D$5),$D$5,X56)))</f>
        <v>o</v>
      </c>
      <c r="Z56" s="93" t="s">
        <v>323</v>
      </c>
      <c r="AA56" s="70" t="str">
        <f>IF(Z56=$D$4,Z56,IF(OR(IFERROR(VLOOKUP(VLOOKUP($B56, Dependencies!$B$2:$G$230, 2,FALSE),$B$14:AA$73, AA$74,FALSE),"o")=$D$4,IFERROR(VLOOKUP(VLOOKUP($B56, Dependencies!$B$2:$G$230, 3,FALSE),$B$14:AA$73, AA$74,FALSE),"o")=$D$4,IFERROR(VLOOKUP(VLOOKUP($B56, Dependencies!$B$2:$G$230, 4,FALSE),$B$14:AA$73, AA$74,FALSE),"o")=$D$4,IFERROR(VLOOKUP(VLOOKUP($B56, Dependencies!$B$2:$G$230, 5,FALSE),$B$14:AA$73, AA$74,FALSE),"o")=$D$4,IFERROR(VLOOKUP(VLOOKUP($B56, Dependencies!$B$2:$G$230, 6,FALSE),$B$14:AA$73, AA$74,FALSE),"o")=$D$4),$D$4,IF(OR(IFERROR(VLOOKUP(VLOOKUP($B56, Dependencies!$B$2:$G$230, 2,FALSE), $B$14:AA$73, AA$74,FALSE),"o")=$D$5,IFERROR(VLOOKUP(VLOOKUP($B56, Dependencies!$B$2:$G$230, 3,FALSE), $B$14:AA$73, AA$74,FALSE),"o")=$D$5,IFERROR(VLOOKUP(VLOOKUP($B56, Dependencies!$B$2:$G$230, 4,FALSE), $B$14:AA$73, AA$74,FALSE),"o")=$D$5,IFERROR(VLOOKUP(VLOOKUP($B56, Dependencies!$B$2:$G$230, 5,FALSE), $B$14:AA$73, AA$74,FALSE),"o")=$D$5,IFERROR(VLOOKUP(VLOOKUP($B56, Dependencies!$B$2:$G$230, 6,FALSE), $B$14:AA$73, AA$74,FALSE),"o")=$D$5),$D$5,Z56)))</f>
        <v>o</v>
      </c>
      <c r="AB56" s="93" t="s">
        <v>323</v>
      </c>
      <c r="AC56" s="70" t="str">
        <f>IF(AB56=$D$4,AB56,IF(OR(IFERROR(VLOOKUP(VLOOKUP($B56, Dependencies!$B$2:$G$230, 2,FALSE),$B$14:AC$73, AC$74,FALSE),"o")=$D$4,IFERROR(VLOOKUP(VLOOKUP($B56, Dependencies!$B$2:$G$230, 3,FALSE),$B$14:AC$73, AC$74,FALSE),"o")=$D$4,IFERROR(VLOOKUP(VLOOKUP($B56, Dependencies!$B$2:$G$230, 4,FALSE),$B$14:AC$73, AC$74,FALSE),"o")=$D$4,IFERROR(VLOOKUP(VLOOKUP($B56, Dependencies!$B$2:$G$230, 5,FALSE),$B$14:AC$73, AC$74,FALSE),"o")=$D$4,IFERROR(VLOOKUP(VLOOKUP($B56, Dependencies!$B$2:$G$230, 6,FALSE),$B$14:AC$73, AC$74,FALSE),"o")=$D$4),$D$4,IF(OR(IFERROR(VLOOKUP(VLOOKUP($B56, Dependencies!$B$2:$G$230, 2,FALSE), $B$14:AC$73, AC$74,FALSE),"o")=$D$5,IFERROR(VLOOKUP(VLOOKUP($B56, Dependencies!$B$2:$G$230, 3,FALSE), $B$14:AC$73, AC$74,FALSE),"o")=$D$5,IFERROR(VLOOKUP(VLOOKUP($B56, Dependencies!$B$2:$G$230, 4,FALSE), $B$14:AC$73, AC$74,FALSE),"o")=$D$5,IFERROR(VLOOKUP(VLOOKUP($B56, Dependencies!$B$2:$G$230, 5,FALSE), $B$14:AC$73, AC$74,FALSE),"o")=$D$5,IFERROR(VLOOKUP(VLOOKUP($B56, Dependencies!$B$2:$G$230, 6,FALSE), $B$14:AC$73, AC$74,FALSE),"o")=$D$5),$D$5,AB56)))</f>
        <v>o</v>
      </c>
      <c r="AD56" s="93" t="s">
        <v>323</v>
      </c>
      <c r="AE56" s="70" t="str">
        <f>IF(AD56=$D$4,AD56,IF(OR(IFERROR(VLOOKUP(VLOOKUP($B56, Dependencies!$B$2:$G$230, 2,FALSE),$B$14:AE$73, AE$74,FALSE),"o")=$D$4,IFERROR(VLOOKUP(VLOOKUP($B56, Dependencies!$B$2:$G$230, 3,FALSE),$B$14:AE$73, AE$74,FALSE),"o")=$D$4,IFERROR(VLOOKUP(VLOOKUP($B56, Dependencies!$B$2:$G$230, 4,FALSE),$B$14:AE$73, AE$74,FALSE),"o")=$D$4,IFERROR(VLOOKUP(VLOOKUP($B56, Dependencies!$B$2:$G$230, 5,FALSE),$B$14:AE$73, AE$74,FALSE),"o")=$D$4,IFERROR(VLOOKUP(VLOOKUP($B56, Dependencies!$B$2:$G$230, 6,FALSE),$B$14:AE$73, AE$74,FALSE),"o")=$D$4),$D$4,IF(OR(IFERROR(VLOOKUP(VLOOKUP($B56, Dependencies!$B$2:$G$230, 2,FALSE), $B$14:AE$73, AE$74,FALSE),"o")=$D$5,IFERROR(VLOOKUP(VLOOKUP($B56, Dependencies!$B$2:$G$230, 3,FALSE), $B$14:AE$73, AE$74,FALSE),"o")=$D$5,IFERROR(VLOOKUP(VLOOKUP($B56, Dependencies!$B$2:$G$230, 4,FALSE), $B$14:AE$73, AE$74,FALSE),"o")=$D$5,IFERROR(VLOOKUP(VLOOKUP($B56, Dependencies!$B$2:$G$230, 5,FALSE), $B$14:AE$73, AE$74,FALSE),"o")=$D$5,IFERROR(VLOOKUP(VLOOKUP($B56, Dependencies!$B$2:$G$230, 6,FALSE), $B$14:AE$73, AE$74,FALSE),"o")=$D$5),$D$5,AD56)))</f>
        <v>o</v>
      </c>
      <c r="AF56" s="93" t="s">
        <v>323</v>
      </c>
      <c r="AG56" s="70" t="str">
        <f>IF(AF56=$D$4,AF56,IF(OR(IFERROR(VLOOKUP(VLOOKUP($B56, Dependencies!$B$2:$G$230, 2,FALSE),$B$14:AG$73, AG$74,FALSE),"o")=$D$4,IFERROR(VLOOKUP(VLOOKUP($B56, Dependencies!$B$2:$G$230, 3,FALSE),$B$14:AG$73, AG$74,FALSE),"o")=$D$4,IFERROR(VLOOKUP(VLOOKUP($B56, Dependencies!$B$2:$G$230, 4,FALSE),$B$14:AG$73, AG$74,FALSE),"o")=$D$4,IFERROR(VLOOKUP(VLOOKUP($B56, Dependencies!$B$2:$G$230, 5,FALSE),$B$14:AG$73, AG$74,FALSE),"o")=$D$4,IFERROR(VLOOKUP(VLOOKUP($B56, Dependencies!$B$2:$G$230, 6,FALSE),$B$14:AG$73, AG$74,FALSE),"o")=$D$4),$D$4,IF(OR(IFERROR(VLOOKUP(VLOOKUP($B56, Dependencies!$B$2:$G$230, 2,FALSE), $B$14:AG$73, AG$74,FALSE),"o")=$D$5,IFERROR(VLOOKUP(VLOOKUP($B56, Dependencies!$B$2:$G$230, 3,FALSE), $B$14:AG$73, AG$74,FALSE),"o")=$D$5,IFERROR(VLOOKUP(VLOOKUP($B56, Dependencies!$B$2:$G$230, 4,FALSE), $B$14:AG$73, AG$74,FALSE),"o")=$D$5,IFERROR(VLOOKUP(VLOOKUP($B56, Dependencies!$B$2:$G$230, 5,FALSE), $B$14:AG$73, AG$74,FALSE),"o")=$D$5,IFERROR(VLOOKUP(VLOOKUP($B56, Dependencies!$B$2:$G$230, 6,FALSE), $B$14:AG$73, AG$74,FALSE),"o")=$D$5),$D$5,AF56)))</f>
        <v>o</v>
      </c>
      <c r="AH56" s="93" t="s">
        <v>323</v>
      </c>
      <c r="AI56" s="70" t="str">
        <f>IF(AH56=$D$4,AH56,IF(OR(IFERROR(VLOOKUP(VLOOKUP($B56, Dependencies!$B$2:$G$230, 2,FALSE),$B$14:AI$73, AI$74,FALSE),"o")=$D$4,IFERROR(VLOOKUP(VLOOKUP($B56, Dependencies!$B$2:$G$230, 3,FALSE),$B$14:AI$73, AI$74,FALSE),"o")=$D$4,IFERROR(VLOOKUP(VLOOKUP($B56, Dependencies!$B$2:$G$230, 4,FALSE),$B$14:AI$73, AI$74,FALSE),"o")=$D$4,IFERROR(VLOOKUP(VLOOKUP($B56, Dependencies!$B$2:$G$230, 5,FALSE),$B$14:AI$73, AI$74,FALSE),"o")=$D$4,IFERROR(VLOOKUP(VLOOKUP($B56, Dependencies!$B$2:$G$230, 6,FALSE),$B$14:AI$73, AI$74,FALSE),"o")=$D$4),$D$4,IF(OR(IFERROR(VLOOKUP(VLOOKUP($B56, Dependencies!$B$2:$G$230, 2,FALSE), $B$14:AI$73, AI$74,FALSE),"o")=$D$5,IFERROR(VLOOKUP(VLOOKUP($B56, Dependencies!$B$2:$G$230, 3,FALSE), $B$14:AI$73, AI$74,FALSE),"o")=$D$5,IFERROR(VLOOKUP(VLOOKUP($B56, Dependencies!$B$2:$G$230, 4,FALSE), $B$14:AI$73, AI$74,FALSE),"o")=$D$5,IFERROR(VLOOKUP(VLOOKUP($B56, Dependencies!$B$2:$G$230, 5,FALSE), $B$14:AI$73, AI$74,FALSE),"o")=$D$5,IFERROR(VLOOKUP(VLOOKUP($B56, Dependencies!$B$2:$G$230, 6,FALSE), $B$14:AI$73, AI$74,FALSE),"o")=$D$5),$D$5,AH56)))</f>
        <v>o</v>
      </c>
      <c r="AJ56" s="93" t="s">
        <v>323</v>
      </c>
      <c r="AK56" s="70" t="str">
        <f>IF(AJ56=$D$4,AJ56,IF(OR(IFERROR(VLOOKUP(VLOOKUP($B56, Dependencies!$B$2:$G$230, 2,FALSE),$B$14:AK$73, AK$74,FALSE),"o")=$D$4,IFERROR(VLOOKUP(VLOOKUP($B56, Dependencies!$B$2:$G$230, 3,FALSE),$B$14:AK$73, AK$74,FALSE),"o")=$D$4,IFERROR(VLOOKUP(VLOOKUP($B56, Dependencies!$B$2:$G$230, 4,FALSE),$B$14:AK$73, AK$74,FALSE),"o")=$D$4,IFERROR(VLOOKUP(VLOOKUP($B56, Dependencies!$B$2:$G$230, 5,FALSE),$B$14:AK$73, AK$74,FALSE),"o")=$D$4,IFERROR(VLOOKUP(VLOOKUP($B56, Dependencies!$B$2:$G$230, 6,FALSE),$B$14:AK$73, AK$74,FALSE),"o")=$D$4),$D$4,IF(OR(IFERROR(VLOOKUP(VLOOKUP($B56, Dependencies!$B$2:$G$230, 2,FALSE), $B$14:AK$73, AK$74,FALSE),"o")=$D$5,IFERROR(VLOOKUP(VLOOKUP($B56, Dependencies!$B$2:$G$230, 3,FALSE), $B$14:AK$73, AK$74,FALSE),"o")=$D$5,IFERROR(VLOOKUP(VLOOKUP($B56, Dependencies!$B$2:$G$230, 4,FALSE), $B$14:AK$73, AK$74,FALSE),"o")=$D$5,IFERROR(VLOOKUP(VLOOKUP($B56, Dependencies!$B$2:$G$230, 5,FALSE), $B$14:AK$73, AK$74,FALSE),"o")=$D$5,IFERROR(VLOOKUP(VLOOKUP($B56, Dependencies!$B$2:$G$230, 6,FALSE), $B$14:AK$73, AK$74,FALSE),"o")=$D$5),$D$5,AJ56)))</f>
        <v>o</v>
      </c>
      <c r="AL56" s="93" t="s">
        <v>323</v>
      </c>
      <c r="AM56" s="70" t="str">
        <f>IF(AL56=$D$4,AL56,IF(OR(IFERROR(VLOOKUP(VLOOKUP($B56, Dependencies!$B$2:$G$230, 2,FALSE),$B$14:AM$73, AM$74,FALSE),"o")=$D$4,IFERROR(VLOOKUP(VLOOKUP($B56, Dependencies!$B$2:$G$230, 3,FALSE),$B$14:AM$73, AM$74,FALSE),"o")=$D$4,IFERROR(VLOOKUP(VLOOKUP($B56, Dependencies!$B$2:$G$230, 4,FALSE),$B$14:AM$73, AM$74,FALSE),"o")=$D$4,IFERROR(VLOOKUP(VLOOKUP($B56, Dependencies!$B$2:$G$230, 5,FALSE),$B$14:AM$73, AM$74,FALSE),"o")=$D$4,IFERROR(VLOOKUP(VLOOKUP($B56, Dependencies!$B$2:$G$230, 6,FALSE),$B$14:AM$73, AM$74,FALSE),"o")=$D$4),$D$4,IF(OR(IFERROR(VLOOKUP(VLOOKUP($B56, Dependencies!$B$2:$G$230, 2,FALSE), $B$14:AM$73, AM$74,FALSE),"o")=$D$5,IFERROR(VLOOKUP(VLOOKUP($B56, Dependencies!$B$2:$G$230, 3,FALSE), $B$14:AM$73, AM$74,FALSE),"o")=$D$5,IFERROR(VLOOKUP(VLOOKUP($B56, Dependencies!$B$2:$G$230, 4,FALSE), $B$14:AM$73, AM$74,FALSE),"o")=$D$5,IFERROR(VLOOKUP(VLOOKUP($B56, Dependencies!$B$2:$G$230, 5,FALSE), $B$14:AM$73, AM$74,FALSE),"o")=$D$5,IFERROR(VLOOKUP(VLOOKUP($B56, Dependencies!$B$2:$G$230, 6,FALSE), $B$14:AM$73, AM$74,FALSE),"o")=$D$5),$D$5,AL56)))</f>
        <v>o</v>
      </c>
      <c r="AN56" s="93" t="s">
        <v>323</v>
      </c>
      <c r="AO56" s="70" t="str">
        <f>IF(AN56=$D$4,AN56,IF(OR(IFERROR(VLOOKUP(VLOOKUP($B56, Dependencies!$B$2:$G$230, 2,FALSE),$B$14:AO$73, AO$74,FALSE),"o")=$D$4,IFERROR(VLOOKUP(VLOOKUP($B56, Dependencies!$B$2:$G$230, 3,FALSE),$B$14:AO$73, AO$74,FALSE),"o")=$D$4,IFERROR(VLOOKUP(VLOOKUP($B56, Dependencies!$B$2:$G$230, 4,FALSE),$B$14:AO$73, AO$74,FALSE),"o")=$D$4,IFERROR(VLOOKUP(VLOOKUP($B56, Dependencies!$B$2:$G$230, 5,FALSE),$B$14:AO$73, AO$74,FALSE),"o")=$D$4,IFERROR(VLOOKUP(VLOOKUP($B56, Dependencies!$B$2:$G$230, 6,FALSE),$B$14:AO$73, AO$74,FALSE),"o")=$D$4),$D$4,IF(OR(IFERROR(VLOOKUP(VLOOKUP($B56, Dependencies!$B$2:$G$230, 2,FALSE), $B$14:AO$73, AO$74,FALSE),"o")=$D$5,IFERROR(VLOOKUP(VLOOKUP($B56, Dependencies!$B$2:$G$230, 3,FALSE), $B$14:AO$73, AO$74,FALSE),"o")=$D$5,IFERROR(VLOOKUP(VLOOKUP($B56, Dependencies!$B$2:$G$230, 4,FALSE), $B$14:AO$73, AO$74,FALSE),"o")=$D$5,IFERROR(VLOOKUP(VLOOKUP($B56, Dependencies!$B$2:$G$230, 5,FALSE), $B$14:AO$73, AO$74,FALSE),"o")=$D$5,IFERROR(VLOOKUP(VLOOKUP($B56, Dependencies!$B$2:$G$230, 6,FALSE), $B$14:AO$73, AO$74,FALSE),"o")=$D$5),$D$5,AN56)))</f>
        <v>o</v>
      </c>
      <c r="AP56" s="93" t="s">
        <v>323</v>
      </c>
      <c r="AQ56" s="70" t="str">
        <f>IF(AP56=$D$4,AP56,IF(OR(IFERROR(VLOOKUP(VLOOKUP($B56, Dependencies!$B$2:$G$230, 2,FALSE),$B$14:AQ$73, AQ$74,FALSE),"o")=$D$4,IFERROR(VLOOKUP(VLOOKUP($B56, Dependencies!$B$2:$G$230, 3,FALSE),$B$14:AQ$73, AQ$74,FALSE),"o")=$D$4,IFERROR(VLOOKUP(VLOOKUP($B56, Dependencies!$B$2:$G$230, 4,FALSE),$B$14:AQ$73, AQ$74,FALSE),"o")=$D$4,IFERROR(VLOOKUP(VLOOKUP($B56, Dependencies!$B$2:$G$230, 5,FALSE),$B$14:AQ$73, AQ$74,FALSE),"o")=$D$4,IFERROR(VLOOKUP(VLOOKUP($B56, Dependencies!$B$2:$G$230, 6,FALSE),$B$14:AQ$73, AQ$74,FALSE),"o")=$D$4),$D$4,IF(OR(IFERROR(VLOOKUP(VLOOKUP($B56, Dependencies!$B$2:$G$230, 2,FALSE), $B$14:AQ$73, AQ$74,FALSE),"o")=$D$5,IFERROR(VLOOKUP(VLOOKUP($B56, Dependencies!$B$2:$G$230, 3,FALSE), $B$14:AQ$73, AQ$74,FALSE),"o")=$D$5,IFERROR(VLOOKUP(VLOOKUP($B56, Dependencies!$B$2:$G$230, 4,FALSE), $B$14:AQ$73, AQ$74,FALSE),"o")=$D$5,IFERROR(VLOOKUP(VLOOKUP($B56, Dependencies!$B$2:$G$230, 5,FALSE), $B$14:AQ$73, AQ$74,FALSE),"o")=$D$5,IFERROR(VLOOKUP(VLOOKUP($B56, Dependencies!$B$2:$G$230, 6,FALSE), $B$14:AQ$73, AQ$74,FALSE),"o")=$D$5),$D$5,AP56)))</f>
        <v>o</v>
      </c>
      <c r="AR56" s="93" t="s">
        <v>323</v>
      </c>
      <c r="AS56" s="69" t="str">
        <f>IF(AR56=$D$4,AR56,IF(OR(IFERROR(VLOOKUP(VLOOKUP($B56, Dependencies!$B$2:$G$230, 2,FALSE),$B$14:AS$73, AS$74,FALSE),"o")=$D$4,IFERROR(VLOOKUP(VLOOKUP($B56, Dependencies!$B$2:$G$230, 3,FALSE),$B$14:AS$73, AS$74,FALSE),"o")=$D$4,IFERROR(VLOOKUP(VLOOKUP($B56, Dependencies!$B$2:$G$230, 4,FALSE),$B$14:AS$73, AS$74,FALSE),"o")=$D$4,IFERROR(VLOOKUP(VLOOKUP($B56, Dependencies!$B$2:$G$230, 5,FALSE),$B$14:AS$73, AS$74,FALSE),"o")=$D$4,IFERROR(VLOOKUP(VLOOKUP($B56, Dependencies!$B$2:$G$230, 6,FALSE),$B$14:AS$73, AS$74,FALSE),"o")=$D$4),$D$4,IF(OR(IFERROR(VLOOKUP(VLOOKUP($B56, Dependencies!$B$2:$G$230, 2,FALSE), $B$14:AS$73, AS$74,FALSE),"o")=$D$5,IFERROR(VLOOKUP(VLOOKUP($B56, Dependencies!$B$2:$G$230, 3,FALSE), $B$14:AS$73, AS$74,FALSE),"o")=$D$5,IFERROR(VLOOKUP(VLOOKUP($B56, Dependencies!$B$2:$G$230, 4,FALSE), $B$14:AS$73, AS$74,FALSE),"o")=$D$5,IFERROR(VLOOKUP(VLOOKUP($B56, Dependencies!$B$2:$G$230, 5,FALSE), $B$14:AS$73, AS$74,FALSE),"o")=$D$5,IFERROR(VLOOKUP(VLOOKUP($B56, Dependencies!$B$2:$G$230, 6,FALSE), $B$14:AS$73, AS$74,FALSE),"o")=$D$5),$D$5,AR56)))</f>
        <v>o</v>
      </c>
    </row>
    <row r="57" spans="1:45" x14ac:dyDescent="0.2">
      <c r="A57" s="40"/>
      <c r="B57" s="74" t="str">
        <f>MLEOsv2!A45</f>
        <v>MLEO_05_02</v>
      </c>
      <c r="C57" s="74">
        <f>MLEOsv2!C45</f>
        <v>6</v>
      </c>
      <c r="D57" s="44" t="str">
        <f>MLEOsv2!G45</f>
        <v>use suitable generic maps form the Java Collection Framework to store and manage data.</v>
      </c>
      <c r="E57" s="68" t="b">
        <f>MLEOsv2!H45</f>
        <v>0</v>
      </c>
      <c r="F57" s="94" t="s">
        <v>320</v>
      </c>
      <c r="G57" s="72" t="str">
        <f>IF(F57=$D$4,F57,IF(OR(IFERROR(VLOOKUP(VLOOKUP($B57, Dependencies!$B$2:$G$230, 2,FALSE),$B$14:G$73, G$74,FALSE),"o")=$D$4,IFERROR(VLOOKUP(VLOOKUP($B57, Dependencies!$B$2:$G$230, 3,FALSE),$B$14:G$73, G$74,FALSE),"o")=$D$4,IFERROR(VLOOKUP(VLOOKUP($B57, Dependencies!$B$2:$G$230, 4,FALSE),$B$14:G$73, G$74,FALSE),"o")=$D$4,IFERROR(VLOOKUP(VLOOKUP($B57, Dependencies!$B$2:$G$230, 5,FALSE),$B$14:G$73, G$74,FALSE),"o")=$D$4,IFERROR(VLOOKUP(VLOOKUP($B57, Dependencies!$B$2:$G$230, 6,FALSE),$B$14:G$73, G$74,FALSE),"o")=$D$4),$D$4,IF(OR(IFERROR(VLOOKUP(VLOOKUP($B57, Dependencies!$B$2:$G$230, 2,FALSE), $B$14:G$73, G$74,FALSE),"o")=$D$5,IFERROR(VLOOKUP(VLOOKUP($B57, Dependencies!$B$2:$G$230, 3,FALSE), $B$14:G$73, G$74,FALSE),"o")=$D$5,IFERROR(VLOOKUP(VLOOKUP($B57, Dependencies!$B$2:$G$230, 4,FALSE), $B$14:G$73, G$74,FALSE),"o")=$D$5,IFERROR(VLOOKUP(VLOOKUP($B57, Dependencies!$B$2:$G$230, 5,FALSE), $B$14:G$73, G$74,FALSE),"o")=$D$5,IFERROR(VLOOKUP(VLOOKUP($B57, Dependencies!$B$2:$G$230, 6,FALSE), $B$14:G$73, G$74,FALSE),"o")=$D$5),$D$5,F57)))</f>
        <v>r</v>
      </c>
      <c r="H57" s="94" t="s">
        <v>321</v>
      </c>
      <c r="I57" s="72" t="str">
        <f>IF(H57=$D$4,H57,IF(OR(IFERROR(VLOOKUP(VLOOKUP($B57, Dependencies!$B$2:$G$230, 2,FALSE),$B$14:I$73, I$74,FALSE),"o")=$D$4,IFERROR(VLOOKUP(VLOOKUP($B57, Dependencies!$B$2:$G$230, 3,FALSE),$B$14:I$73, I$74,FALSE),"o")=$D$4,IFERROR(VLOOKUP(VLOOKUP($B57, Dependencies!$B$2:$G$230, 4,FALSE),$B$14:I$73, I$74,FALSE),"o")=$D$4,IFERROR(VLOOKUP(VLOOKUP($B57, Dependencies!$B$2:$G$230, 5,FALSE),$B$14:I$73, I$74,FALSE),"o")=$D$4,IFERROR(VLOOKUP(VLOOKUP($B57, Dependencies!$B$2:$G$230, 6,FALSE),$B$14:I$73, I$74,FALSE),"o")=$D$4),$D$4,IF(OR(IFERROR(VLOOKUP(VLOOKUP($B57, Dependencies!$B$2:$G$230, 2,FALSE), $B$14:I$73, I$74,FALSE),"o")=$D$5,IFERROR(VLOOKUP(VLOOKUP($B57, Dependencies!$B$2:$G$230, 3,FALSE), $B$14:I$73, I$74,FALSE),"o")=$D$5,IFERROR(VLOOKUP(VLOOKUP($B57, Dependencies!$B$2:$G$230, 4,FALSE), $B$14:I$73, I$74,FALSE),"o")=$D$5,IFERROR(VLOOKUP(VLOOKUP($B57, Dependencies!$B$2:$G$230, 5,FALSE), $B$14:I$73, I$74,FALSE),"o")=$D$5,IFERROR(VLOOKUP(VLOOKUP($B57, Dependencies!$B$2:$G$230, 6,FALSE), $B$14:I$73, I$74,FALSE),"o")=$D$5),$D$5,H57)))</f>
        <v>pr</v>
      </c>
      <c r="J57" s="94" t="s">
        <v>320</v>
      </c>
      <c r="K57" s="72" t="str">
        <f>IF(J57=$D$4,J57,IF(OR(IFERROR(VLOOKUP(VLOOKUP($B57, Dependencies!$B$2:$G$230, 2,FALSE),$B$14:K$73, K$74,FALSE),"o")=$D$4,IFERROR(VLOOKUP(VLOOKUP($B57, Dependencies!$B$2:$G$230, 3,FALSE),$B$14:K$73, K$74,FALSE),"o")=$D$4,IFERROR(VLOOKUP(VLOOKUP($B57, Dependencies!$B$2:$G$230, 4,FALSE),$B$14:K$73, K$74,FALSE),"o")=$D$4,IFERROR(VLOOKUP(VLOOKUP($B57, Dependencies!$B$2:$G$230, 5,FALSE),$B$14:K$73, K$74,FALSE),"o")=$D$4,IFERROR(VLOOKUP(VLOOKUP($B57, Dependencies!$B$2:$G$230, 6,FALSE),$B$14:K$73, K$74,FALSE),"o")=$D$4),$D$4,IF(OR(IFERROR(VLOOKUP(VLOOKUP($B57, Dependencies!$B$2:$G$230, 2,FALSE), $B$14:K$73, K$74,FALSE),"o")=$D$5,IFERROR(VLOOKUP(VLOOKUP($B57, Dependencies!$B$2:$G$230, 3,FALSE), $B$14:K$73, K$74,FALSE),"o")=$D$5,IFERROR(VLOOKUP(VLOOKUP($B57, Dependencies!$B$2:$G$230, 4,FALSE), $B$14:K$73, K$74,FALSE),"o")=$D$5,IFERROR(VLOOKUP(VLOOKUP($B57, Dependencies!$B$2:$G$230, 5,FALSE), $B$14:K$73, K$74,FALSE),"o")=$D$5,IFERROR(VLOOKUP(VLOOKUP($B57, Dependencies!$B$2:$G$230, 6,FALSE), $B$14:K$73, K$74,FALSE),"o")=$D$5),$D$5,J57)))</f>
        <v>r</v>
      </c>
      <c r="L57" s="94" t="s">
        <v>323</v>
      </c>
      <c r="M57" s="72" t="str">
        <f>IF(L57=$D$4,L57,IF(OR(IFERROR(VLOOKUP(VLOOKUP($B57, Dependencies!$B$2:$G$230, 2,FALSE),$B$14:M$73, M$74,FALSE),"o")=$D$4,IFERROR(VLOOKUP(VLOOKUP($B57, Dependencies!$B$2:$G$230, 3,FALSE),$B$14:M$73, M$74,FALSE),"o")=$D$4,IFERROR(VLOOKUP(VLOOKUP($B57, Dependencies!$B$2:$G$230, 4,FALSE),$B$14:M$73, M$74,FALSE),"o")=$D$4,IFERROR(VLOOKUP(VLOOKUP($B57, Dependencies!$B$2:$G$230, 5,FALSE),$B$14:M$73, M$74,FALSE),"o")=$D$4,IFERROR(VLOOKUP(VLOOKUP($B57, Dependencies!$B$2:$G$230, 6,FALSE),$B$14:M$73, M$74,FALSE),"o")=$D$4),$D$4,IF(OR(IFERROR(VLOOKUP(VLOOKUP($B57, Dependencies!$B$2:$G$230, 2,FALSE), $B$14:M$73, M$74,FALSE),"o")=$D$5,IFERROR(VLOOKUP(VLOOKUP($B57, Dependencies!$B$2:$G$230, 3,FALSE), $B$14:M$73, M$74,FALSE),"o")=$D$5,IFERROR(VLOOKUP(VLOOKUP($B57, Dependencies!$B$2:$G$230, 4,FALSE), $B$14:M$73, M$74,FALSE),"o")=$D$5,IFERROR(VLOOKUP(VLOOKUP($B57, Dependencies!$B$2:$G$230, 5,FALSE), $B$14:M$73, M$74,FALSE),"o")=$D$5,IFERROR(VLOOKUP(VLOOKUP($B57, Dependencies!$B$2:$G$230, 6,FALSE), $B$14:M$73, M$74,FALSE),"o")=$D$5),$D$5,L57)))</f>
        <v>o</v>
      </c>
      <c r="N57" s="94" t="s">
        <v>323</v>
      </c>
      <c r="O57" s="72" t="str">
        <f>IF(N57=$D$4,N57,IF(OR(IFERROR(VLOOKUP(VLOOKUP($B57, Dependencies!$B$2:$G$230, 2,FALSE),$B$14:O$73, O$74,FALSE),"o")=$D$4,IFERROR(VLOOKUP(VLOOKUP($B57, Dependencies!$B$2:$G$230, 3,FALSE),$B$14:O$73, O$74,FALSE),"o")=$D$4,IFERROR(VLOOKUP(VLOOKUP($B57, Dependencies!$B$2:$G$230, 4,FALSE),$B$14:O$73, O$74,FALSE),"o")=$D$4,IFERROR(VLOOKUP(VLOOKUP($B57, Dependencies!$B$2:$G$230, 5,FALSE),$B$14:O$73, O$74,FALSE),"o")=$D$4,IFERROR(VLOOKUP(VLOOKUP($B57, Dependencies!$B$2:$G$230, 6,FALSE),$B$14:O$73, O$74,FALSE),"o")=$D$4),$D$4,IF(OR(IFERROR(VLOOKUP(VLOOKUP($B57, Dependencies!$B$2:$G$230, 2,FALSE), $B$14:O$73, O$74,FALSE),"o")=$D$5,IFERROR(VLOOKUP(VLOOKUP($B57, Dependencies!$B$2:$G$230, 3,FALSE), $B$14:O$73, O$74,FALSE),"o")=$D$5,IFERROR(VLOOKUP(VLOOKUP($B57, Dependencies!$B$2:$G$230, 4,FALSE), $B$14:O$73, O$74,FALSE),"o")=$D$5,IFERROR(VLOOKUP(VLOOKUP($B57, Dependencies!$B$2:$G$230, 5,FALSE), $B$14:O$73, O$74,FALSE),"o")=$D$5,IFERROR(VLOOKUP(VLOOKUP($B57, Dependencies!$B$2:$G$230, 6,FALSE), $B$14:O$73, O$74,FALSE),"o")=$D$5),$D$5,N57)))</f>
        <v>o</v>
      </c>
      <c r="P57" s="94" t="s">
        <v>323</v>
      </c>
      <c r="Q57" s="72" t="str">
        <f>IF(P57=$D$4,P57,IF(OR(IFERROR(VLOOKUP(VLOOKUP($B57, Dependencies!$B$2:$G$230, 2,FALSE),$B$14:Q$73, Q$74,FALSE),"o")=$D$4,IFERROR(VLOOKUP(VLOOKUP($B57, Dependencies!$B$2:$G$230, 3,FALSE),$B$14:Q$73, Q$74,FALSE),"o")=$D$4,IFERROR(VLOOKUP(VLOOKUP($B57, Dependencies!$B$2:$G$230, 4,FALSE),$B$14:Q$73, Q$74,FALSE),"o")=$D$4,IFERROR(VLOOKUP(VLOOKUP($B57, Dependencies!$B$2:$G$230, 5,FALSE),$B$14:Q$73, Q$74,FALSE),"o")=$D$4,IFERROR(VLOOKUP(VLOOKUP($B57, Dependencies!$B$2:$G$230, 6,FALSE),$B$14:Q$73, Q$74,FALSE),"o")=$D$4),$D$4,IF(OR(IFERROR(VLOOKUP(VLOOKUP($B57, Dependencies!$B$2:$G$230, 2,FALSE), $B$14:Q$73, Q$74,FALSE),"o")=$D$5,IFERROR(VLOOKUP(VLOOKUP($B57, Dependencies!$B$2:$G$230, 3,FALSE), $B$14:Q$73, Q$74,FALSE),"o")=$D$5,IFERROR(VLOOKUP(VLOOKUP($B57, Dependencies!$B$2:$G$230, 4,FALSE), $B$14:Q$73, Q$74,FALSE),"o")=$D$5,IFERROR(VLOOKUP(VLOOKUP($B57, Dependencies!$B$2:$G$230, 5,FALSE), $B$14:Q$73, Q$74,FALSE),"o")=$D$5,IFERROR(VLOOKUP(VLOOKUP($B57, Dependencies!$B$2:$G$230, 6,FALSE), $B$14:Q$73, Q$74,FALSE),"o")=$D$5),$D$5,P57)))</f>
        <v>o</v>
      </c>
      <c r="R57" s="94" t="s">
        <v>323</v>
      </c>
      <c r="S57" s="72" t="str">
        <f>IF(R57=$D$4,R57,IF(OR(IFERROR(VLOOKUP(VLOOKUP($B57, Dependencies!$B$2:$G$230, 2,FALSE),$B$14:S$73, S$74,FALSE),"o")=$D$4,IFERROR(VLOOKUP(VLOOKUP($B57, Dependencies!$B$2:$G$230, 3,FALSE),$B$14:S$73, S$74,FALSE),"o")=$D$4,IFERROR(VLOOKUP(VLOOKUP($B57, Dependencies!$B$2:$G$230, 4,FALSE),$B$14:S$73, S$74,FALSE),"o")=$D$4,IFERROR(VLOOKUP(VLOOKUP($B57, Dependencies!$B$2:$G$230, 5,FALSE),$B$14:S$73, S$74,FALSE),"o")=$D$4,IFERROR(VLOOKUP(VLOOKUP($B57, Dependencies!$B$2:$G$230, 6,FALSE),$B$14:S$73, S$74,FALSE),"o")=$D$4),$D$4,IF(OR(IFERROR(VLOOKUP(VLOOKUP($B57, Dependencies!$B$2:$G$230, 2,FALSE), $B$14:S$73, S$74,FALSE),"o")=$D$5,IFERROR(VLOOKUP(VLOOKUP($B57, Dependencies!$B$2:$G$230, 3,FALSE), $B$14:S$73, S$74,FALSE),"o")=$D$5,IFERROR(VLOOKUP(VLOOKUP($B57, Dependencies!$B$2:$G$230, 4,FALSE), $B$14:S$73, S$74,FALSE),"o")=$D$5,IFERROR(VLOOKUP(VLOOKUP($B57, Dependencies!$B$2:$G$230, 5,FALSE), $B$14:S$73, S$74,FALSE),"o")=$D$5,IFERROR(VLOOKUP(VLOOKUP($B57, Dependencies!$B$2:$G$230, 6,FALSE), $B$14:S$73, S$74,FALSE),"o")=$D$5),$D$5,R57)))</f>
        <v>o</v>
      </c>
      <c r="T57" s="94" t="s">
        <v>323</v>
      </c>
      <c r="U57" s="72" t="str">
        <f>IF(T57=$D$4,T57,IF(OR(IFERROR(VLOOKUP(VLOOKUP($B57, Dependencies!$B$2:$G$230, 2,FALSE),$B$14:U$73, U$74,FALSE),"o")=$D$4,IFERROR(VLOOKUP(VLOOKUP($B57, Dependencies!$B$2:$G$230, 3,FALSE),$B$14:U$73, U$74,FALSE),"o")=$D$4,IFERROR(VLOOKUP(VLOOKUP($B57, Dependencies!$B$2:$G$230, 4,FALSE),$B$14:U$73, U$74,FALSE),"o")=$D$4,IFERROR(VLOOKUP(VLOOKUP($B57, Dependencies!$B$2:$G$230, 5,FALSE),$B$14:U$73, U$74,FALSE),"o")=$D$4,IFERROR(VLOOKUP(VLOOKUP($B57, Dependencies!$B$2:$G$230, 6,FALSE),$B$14:U$73, U$74,FALSE),"o")=$D$4),$D$4,IF(OR(IFERROR(VLOOKUP(VLOOKUP($B57, Dependencies!$B$2:$G$230, 2,FALSE), $B$14:U$73, U$74,FALSE),"o")=$D$5,IFERROR(VLOOKUP(VLOOKUP($B57, Dependencies!$B$2:$G$230, 3,FALSE), $B$14:U$73, U$74,FALSE),"o")=$D$5,IFERROR(VLOOKUP(VLOOKUP($B57, Dependencies!$B$2:$G$230, 4,FALSE), $B$14:U$73, U$74,FALSE),"o")=$D$5,IFERROR(VLOOKUP(VLOOKUP($B57, Dependencies!$B$2:$G$230, 5,FALSE), $B$14:U$73, U$74,FALSE),"o")=$D$5,IFERROR(VLOOKUP(VLOOKUP($B57, Dependencies!$B$2:$G$230, 6,FALSE), $B$14:U$73, U$74,FALSE),"o")=$D$5),$D$5,T57)))</f>
        <v>o</v>
      </c>
      <c r="V57" s="94" t="s">
        <v>323</v>
      </c>
      <c r="W57" s="72" t="str">
        <f>IF(V57=$D$4,V57,IF(OR(IFERROR(VLOOKUP(VLOOKUP($B57, Dependencies!$B$2:$G$230, 2,FALSE),$B$14:W$73, W$74,FALSE),"o")=$D$4,IFERROR(VLOOKUP(VLOOKUP($B57, Dependencies!$B$2:$G$230, 3,FALSE),$B$14:W$73, W$74,FALSE),"o")=$D$4,IFERROR(VLOOKUP(VLOOKUP($B57, Dependencies!$B$2:$G$230, 4,FALSE),$B$14:W$73, W$74,FALSE),"o")=$D$4,IFERROR(VLOOKUP(VLOOKUP($B57, Dependencies!$B$2:$G$230, 5,FALSE),$B$14:W$73, W$74,FALSE),"o")=$D$4,IFERROR(VLOOKUP(VLOOKUP($B57, Dependencies!$B$2:$G$230, 6,FALSE),$B$14:W$73, W$74,FALSE),"o")=$D$4),$D$4,IF(OR(IFERROR(VLOOKUP(VLOOKUP($B57, Dependencies!$B$2:$G$230, 2,FALSE), $B$14:W$73, W$74,FALSE),"o")=$D$5,IFERROR(VLOOKUP(VLOOKUP($B57, Dependencies!$B$2:$G$230, 3,FALSE), $B$14:W$73, W$74,FALSE),"o")=$D$5,IFERROR(VLOOKUP(VLOOKUP($B57, Dependencies!$B$2:$G$230, 4,FALSE), $B$14:W$73, W$74,FALSE),"o")=$D$5,IFERROR(VLOOKUP(VLOOKUP($B57, Dependencies!$B$2:$G$230, 5,FALSE), $B$14:W$73, W$74,FALSE),"o")=$D$5,IFERROR(VLOOKUP(VLOOKUP($B57, Dependencies!$B$2:$G$230, 6,FALSE), $B$14:W$73, W$74,FALSE),"o")=$D$5),$D$5,V57)))</f>
        <v>o</v>
      </c>
      <c r="X57" s="94" t="s">
        <v>323</v>
      </c>
      <c r="Y57" s="72" t="str">
        <f>IF(X57=$D$4,X57,IF(OR(IFERROR(VLOOKUP(VLOOKUP($B57, Dependencies!$B$2:$G$230, 2,FALSE),$B$14:Y$73, Y$74,FALSE),"o")=$D$4,IFERROR(VLOOKUP(VLOOKUP($B57, Dependencies!$B$2:$G$230, 3,FALSE),$B$14:Y$73, Y$74,FALSE),"o")=$D$4,IFERROR(VLOOKUP(VLOOKUP($B57, Dependencies!$B$2:$G$230, 4,FALSE),$B$14:Y$73, Y$74,FALSE),"o")=$D$4,IFERROR(VLOOKUP(VLOOKUP($B57, Dependencies!$B$2:$G$230, 5,FALSE),$B$14:Y$73, Y$74,FALSE),"o")=$D$4,IFERROR(VLOOKUP(VLOOKUP($B57, Dependencies!$B$2:$G$230, 6,FALSE),$B$14:Y$73, Y$74,FALSE),"o")=$D$4),$D$4,IF(OR(IFERROR(VLOOKUP(VLOOKUP($B57, Dependencies!$B$2:$G$230, 2,FALSE), $B$14:Y$73, Y$74,FALSE),"o")=$D$5,IFERROR(VLOOKUP(VLOOKUP($B57, Dependencies!$B$2:$G$230, 3,FALSE), $B$14:Y$73, Y$74,FALSE),"o")=$D$5,IFERROR(VLOOKUP(VLOOKUP($B57, Dependencies!$B$2:$G$230, 4,FALSE), $B$14:Y$73, Y$74,FALSE),"o")=$D$5,IFERROR(VLOOKUP(VLOOKUP($B57, Dependencies!$B$2:$G$230, 5,FALSE), $B$14:Y$73, Y$74,FALSE),"o")=$D$5,IFERROR(VLOOKUP(VLOOKUP($B57, Dependencies!$B$2:$G$230, 6,FALSE), $B$14:Y$73, Y$74,FALSE),"o")=$D$5),$D$5,X57)))</f>
        <v>o</v>
      </c>
      <c r="Z57" s="94" t="s">
        <v>323</v>
      </c>
      <c r="AA57" s="72" t="str">
        <f>IF(Z57=$D$4,Z57,IF(OR(IFERROR(VLOOKUP(VLOOKUP($B57, Dependencies!$B$2:$G$230, 2,FALSE),$B$14:AA$73, AA$74,FALSE),"o")=$D$4,IFERROR(VLOOKUP(VLOOKUP($B57, Dependencies!$B$2:$G$230, 3,FALSE),$B$14:AA$73, AA$74,FALSE),"o")=$D$4,IFERROR(VLOOKUP(VLOOKUP($B57, Dependencies!$B$2:$G$230, 4,FALSE),$B$14:AA$73, AA$74,FALSE),"o")=$D$4,IFERROR(VLOOKUP(VLOOKUP($B57, Dependencies!$B$2:$G$230, 5,FALSE),$B$14:AA$73, AA$74,FALSE),"o")=$D$4,IFERROR(VLOOKUP(VLOOKUP($B57, Dependencies!$B$2:$G$230, 6,FALSE),$B$14:AA$73, AA$74,FALSE),"o")=$D$4),$D$4,IF(OR(IFERROR(VLOOKUP(VLOOKUP($B57, Dependencies!$B$2:$G$230, 2,FALSE), $B$14:AA$73, AA$74,FALSE),"o")=$D$5,IFERROR(VLOOKUP(VLOOKUP($B57, Dependencies!$B$2:$G$230, 3,FALSE), $B$14:AA$73, AA$74,FALSE),"o")=$D$5,IFERROR(VLOOKUP(VLOOKUP($B57, Dependencies!$B$2:$G$230, 4,FALSE), $B$14:AA$73, AA$74,FALSE),"o")=$D$5,IFERROR(VLOOKUP(VLOOKUP($B57, Dependencies!$B$2:$G$230, 5,FALSE), $B$14:AA$73, AA$74,FALSE),"o")=$D$5,IFERROR(VLOOKUP(VLOOKUP($B57, Dependencies!$B$2:$G$230, 6,FALSE), $B$14:AA$73, AA$74,FALSE),"o")=$D$5),$D$5,Z57)))</f>
        <v>o</v>
      </c>
      <c r="AB57" s="94" t="s">
        <v>323</v>
      </c>
      <c r="AC57" s="72" t="str">
        <f>IF(AB57=$D$4,AB57,IF(OR(IFERROR(VLOOKUP(VLOOKUP($B57, Dependencies!$B$2:$G$230, 2,FALSE),$B$14:AC$73, AC$74,FALSE),"o")=$D$4,IFERROR(VLOOKUP(VLOOKUP($B57, Dependencies!$B$2:$G$230, 3,FALSE),$B$14:AC$73, AC$74,FALSE),"o")=$D$4,IFERROR(VLOOKUP(VLOOKUP($B57, Dependencies!$B$2:$G$230, 4,FALSE),$B$14:AC$73, AC$74,FALSE),"o")=$D$4,IFERROR(VLOOKUP(VLOOKUP($B57, Dependencies!$B$2:$G$230, 5,FALSE),$B$14:AC$73, AC$74,FALSE),"o")=$D$4,IFERROR(VLOOKUP(VLOOKUP($B57, Dependencies!$B$2:$G$230, 6,FALSE),$B$14:AC$73, AC$74,FALSE),"o")=$D$4),$D$4,IF(OR(IFERROR(VLOOKUP(VLOOKUP($B57, Dependencies!$B$2:$G$230, 2,FALSE), $B$14:AC$73, AC$74,FALSE),"o")=$D$5,IFERROR(VLOOKUP(VLOOKUP($B57, Dependencies!$B$2:$G$230, 3,FALSE), $B$14:AC$73, AC$74,FALSE),"o")=$D$5,IFERROR(VLOOKUP(VLOOKUP($B57, Dependencies!$B$2:$G$230, 4,FALSE), $B$14:AC$73, AC$74,FALSE),"o")=$D$5,IFERROR(VLOOKUP(VLOOKUP($B57, Dependencies!$B$2:$G$230, 5,FALSE), $B$14:AC$73, AC$74,FALSE),"o")=$D$5,IFERROR(VLOOKUP(VLOOKUP($B57, Dependencies!$B$2:$G$230, 6,FALSE), $B$14:AC$73, AC$74,FALSE),"o")=$D$5),$D$5,AB57)))</f>
        <v>o</v>
      </c>
      <c r="AD57" s="94" t="s">
        <v>323</v>
      </c>
      <c r="AE57" s="72" t="str">
        <f>IF(AD57=$D$4,AD57,IF(OR(IFERROR(VLOOKUP(VLOOKUP($B57, Dependencies!$B$2:$G$230, 2,FALSE),$B$14:AE$73, AE$74,FALSE),"o")=$D$4,IFERROR(VLOOKUP(VLOOKUP($B57, Dependencies!$B$2:$G$230, 3,FALSE),$B$14:AE$73, AE$74,FALSE),"o")=$D$4,IFERROR(VLOOKUP(VLOOKUP($B57, Dependencies!$B$2:$G$230, 4,FALSE),$B$14:AE$73, AE$74,FALSE),"o")=$D$4,IFERROR(VLOOKUP(VLOOKUP($B57, Dependencies!$B$2:$G$230, 5,FALSE),$B$14:AE$73, AE$74,FALSE),"o")=$D$4,IFERROR(VLOOKUP(VLOOKUP($B57, Dependencies!$B$2:$G$230, 6,FALSE),$B$14:AE$73, AE$74,FALSE),"o")=$D$4),$D$4,IF(OR(IFERROR(VLOOKUP(VLOOKUP($B57, Dependencies!$B$2:$G$230, 2,FALSE), $B$14:AE$73, AE$74,FALSE),"o")=$D$5,IFERROR(VLOOKUP(VLOOKUP($B57, Dependencies!$B$2:$G$230, 3,FALSE), $B$14:AE$73, AE$74,FALSE),"o")=$D$5,IFERROR(VLOOKUP(VLOOKUP($B57, Dependencies!$B$2:$G$230, 4,FALSE), $B$14:AE$73, AE$74,FALSE),"o")=$D$5,IFERROR(VLOOKUP(VLOOKUP($B57, Dependencies!$B$2:$G$230, 5,FALSE), $B$14:AE$73, AE$74,FALSE),"o")=$D$5,IFERROR(VLOOKUP(VLOOKUP($B57, Dependencies!$B$2:$G$230, 6,FALSE), $B$14:AE$73, AE$74,FALSE),"o")=$D$5),$D$5,AD57)))</f>
        <v>o</v>
      </c>
      <c r="AF57" s="94" t="s">
        <v>323</v>
      </c>
      <c r="AG57" s="72" t="str">
        <f>IF(AF57=$D$4,AF57,IF(OR(IFERROR(VLOOKUP(VLOOKUP($B57, Dependencies!$B$2:$G$230, 2,FALSE),$B$14:AG$73, AG$74,FALSE),"o")=$D$4,IFERROR(VLOOKUP(VLOOKUP($B57, Dependencies!$B$2:$G$230, 3,FALSE),$B$14:AG$73, AG$74,FALSE),"o")=$D$4,IFERROR(VLOOKUP(VLOOKUP($B57, Dependencies!$B$2:$G$230, 4,FALSE),$B$14:AG$73, AG$74,FALSE),"o")=$D$4,IFERROR(VLOOKUP(VLOOKUP($B57, Dependencies!$B$2:$G$230, 5,FALSE),$B$14:AG$73, AG$74,FALSE),"o")=$D$4,IFERROR(VLOOKUP(VLOOKUP($B57, Dependencies!$B$2:$G$230, 6,FALSE),$B$14:AG$73, AG$74,FALSE),"o")=$D$4),$D$4,IF(OR(IFERROR(VLOOKUP(VLOOKUP($B57, Dependencies!$B$2:$G$230, 2,FALSE), $B$14:AG$73, AG$74,FALSE),"o")=$D$5,IFERROR(VLOOKUP(VLOOKUP($B57, Dependencies!$B$2:$G$230, 3,FALSE), $B$14:AG$73, AG$74,FALSE),"o")=$D$5,IFERROR(VLOOKUP(VLOOKUP($B57, Dependencies!$B$2:$G$230, 4,FALSE), $B$14:AG$73, AG$74,FALSE),"o")=$D$5,IFERROR(VLOOKUP(VLOOKUP($B57, Dependencies!$B$2:$G$230, 5,FALSE), $B$14:AG$73, AG$74,FALSE),"o")=$D$5,IFERROR(VLOOKUP(VLOOKUP($B57, Dependencies!$B$2:$G$230, 6,FALSE), $B$14:AG$73, AG$74,FALSE),"o")=$D$5),$D$5,AF57)))</f>
        <v>o</v>
      </c>
      <c r="AH57" s="94" t="s">
        <v>323</v>
      </c>
      <c r="AI57" s="72" t="str">
        <f>IF(AH57=$D$4,AH57,IF(OR(IFERROR(VLOOKUP(VLOOKUP($B57, Dependencies!$B$2:$G$230, 2,FALSE),$B$14:AI$73, AI$74,FALSE),"o")=$D$4,IFERROR(VLOOKUP(VLOOKUP($B57, Dependencies!$B$2:$G$230, 3,FALSE),$B$14:AI$73, AI$74,FALSE),"o")=$D$4,IFERROR(VLOOKUP(VLOOKUP($B57, Dependencies!$B$2:$G$230, 4,FALSE),$B$14:AI$73, AI$74,FALSE),"o")=$D$4,IFERROR(VLOOKUP(VLOOKUP($B57, Dependencies!$B$2:$G$230, 5,FALSE),$B$14:AI$73, AI$74,FALSE),"o")=$D$4,IFERROR(VLOOKUP(VLOOKUP($B57, Dependencies!$B$2:$G$230, 6,FALSE),$B$14:AI$73, AI$74,FALSE),"o")=$D$4),$D$4,IF(OR(IFERROR(VLOOKUP(VLOOKUP($B57, Dependencies!$B$2:$G$230, 2,FALSE), $B$14:AI$73, AI$74,FALSE),"o")=$D$5,IFERROR(VLOOKUP(VLOOKUP($B57, Dependencies!$B$2:$G$230, 3,FALSE), $B$14:AI$73, AI$74,FALSE),"o")=$D$5,IFERROR(VLOOKUP(VLOOKUP($B57, Dependencies!$B$2:$G$230, 4,FALSE), $B$14:AI$73, AI$74,FALSE),"o")=$D$5,IFERROR(VLOOKUP(VLOOKUP($B57, Dependencies!$B$2:$G$230, 5,FALSE), $B$14:AI$73, AI$74,FALSE),"o")=$D$5,IFERROR(VLOOKUP(VLOOKUP($B57, Dependencies!$B$2:$G$230, 6,FALSE), $B$14:AI$73, AI$74,FALSE),"o")=$D$5),$D$5,AH57)))</f>
        <v>o</v>
      </c>
      <c r="AJ57" s="94" t="s">
        <v>323</v>
      </c>
      <c r="AK57" s="72" t="str">
        <f>IF(AJ57=$D$4,AJ57,IF(OR(IFERROR(VLOOKUP(VLOOKUP($B57, Dependencies!$B$2:$G$230, 2,FALSE),$B$14:AK$73, AK$74,FALSE),"o")=$D$4,IFERROR(VLOOKUP(VLOOKUP($B57, Dependencies!$B$2:$G$230, 3,FALSE),$B$14:AK$73, AK$74,FALSE),"o")=$D$4,IFERROR(VLOOKUP(VLOOKUP($B57, Dependencies!$B$2:$G$230, 4,FALSE),$B$14:AK$73, AK$74,FALSE),"o")=$D$4,IFERROR(VLOOKUP(VLOOKUP($B57, Dependencies!$B$2:$G$230, 5,FALSE),$B$14:AK$73, AK$74,FALSE),"o")=$D$4,IFERROR(VLOOKUP(VLOOKUP($B57, Dependencies!$B$2:$G$230, 6,FALSE),$B$14:AK$73, AK$74,FALSE),"o")=$D$4),$D$4,IF(OR(IFERROR(VLOOKUP(VLOOKUP($B57, Dependencies!$B$2:$G$230, 2,FALSE), $B$14:AK$73, AK$74,FALSE),"o")=$D$5,IFERROR(VLOOKUP(VLOOKUP($B57, Dependencies!$B$2:$G$230, 3,FALSE), $B$14:AK$73, AK$74,FALSE),"o")=$D$5,IFERROR(VLOOKUP(VLOOKUP($B57, Dependencies!$B$2:$G$230, 4,FALSE), $B$14:AK$73, AK$74,FALSE),"o")=$D$5,IFERROR(VLOOKUP(VLOOKUP($B57, Dependencies!$B$2:$G$230, 5,FALSE), $B$14:AK$73, AK$74,FALSE),"o")=$D$5,IFERROR(VLOOKUP(VLOOKUP($B57, Dependencies!$B$2:$G$230, 6,FALSE), $B$14:AK$73, AK$74,FALSE),"o")=$D$5),$D$5,AJ57)))</f>
        <v>o</v>
      </c>
      <c r="AL57" s="94" t="s">
        <v>323</v>
      </c>
      <c r="AM57" s="72" t="str">
        <f>IF(AL57=$D$4,AL57,IF(OR(IFERROR(VLOOKUP(VLOOKUP($B57, Dependencies!$B$2:$G$230, 2,FALSE),$B$14:AM$73, AM$74,FALSE),"o")=$D$4,IFERROR(VLOOKUP(VLOOKUP($B57, Dependencies!$B$2:$G$230, 3,FALSE),$B$14:AM$73, AM$74,FALSE),"o")=$D$4,IFERROR(VLOOKUP(VLOOKUP($B57, Dependencies!$B$2:$G$230, 4,FALSE),$B$14:AM$73, AM$74,FALSE),"o")=$D$4,IFERROR(VLOOKUP(VLOOKUP($B57, Dependencies!$B$2:$G$230, 5,FALSE),$B$14:AM$73, AM$74,FALSE),"o")=$D$4,IFERROR(VLOOKUP(VLOOKUP($B57, Dependencies!$B$2:$G$230, 6,FALSE),$B$14:AM$73, AM$74,FALSE),"o")=$D$4),$D$4,IF(OR(IFERROR(VLOOKUP(VLOOKUP($B57, Dependencies!$B$2:$G$230, 2,FALSE), $B$14:AM$73, AM$74,FALSE),"o")=$D$5,IFERROR(VLOOKUP(VLOOKUP($B57, Dependencies!$B$2:$G$230, 3,FALSE), $B$14:AM$73, AM$74,FALSE),"o")=$D$5,IFERROR(VLOOKUP(VLOOKUP($B57, Dependencies!$B$2:$G$230, 4,FALSE), $B$14:AM$73, AM$74,FALSE),"o")=$D$5,IFERROR(VLOOKUP(VLOOKUP($B57, Dependencies!$B$2:$G$230, 5,FALSE), $B$14:AM$73, AM$74,FALSE),"o")=$D$5,IFERROR(VLOOKUP(VLOOKUP($B57, Dependencies!$B$2:$G$230, 6,FALSE), $B$14:AM$73, AM$74,FALSE),"o")=$D$5),$D$5,AL57)))</f>
        <v>o</v>
      </c>
      <c r="AN57" s="94" t="s">
        <v>323</v>
      </c>
      <c r="AO57" s="72" t="str">
        <f>IF(AN57=$D$4,AN57,IF(OR(IFERROR(VLOOKUP(VLOOKUP($B57, Dependencies!$B$2:$G$230, 2,FALSE),$B$14:AO$73, AO$74,FALSE),"o")=$D$4,IFERROR(VLOOKUP(VLOOKUP($B57, Dependencies!$B$2:$G$230, 3,FALSE),$B$14:AO$73, AO$74,FALSE),"o")=$D$4,IFERROR(VLOOKUP(VLOOKUP($B57, Dependencies!$B$2:$G$230, 4,FALSE),$B$14:AO$73, AO$74,FALSE),"o")=$D$4,IFERROR(VLOOKUP(VLOOKUP($B57, Dependencies!$B$2:$G$230, 5,FALSE),$B$14:AO$73, AO$74,FALSE),"o")=$D$4,IFERROR(VLOOKUP(VLOOKUP($B57, Dependencies!$B$2:$G$230, 6,FALSE),$B$14:AO$73, AO$74,FALSE),"o")=$D$4),$D$4,IF(OR(IFERROR(VLOOKUP(VLOOKUP($B57, Dependencies!$B$2:$G$230, 2,FALSE), $B$14:AO$73, AO$74,FALSE),"o")=$D$5,IFERROR(VLOOKUP(VLOOKUP($B57, Dependencies!$B$2:$G$230, 3,FALSE), $B$14:AO$73, AO$74,FALSE),"o")=$D$5,IFERROR(VLOOKUP(VLOOKUP($B57, Dependencies!$B$2:$G$230, 4,FALSE), $B$14:AO$73, AO$74,FALSE),"o")=$D$5,IFERROR(VLOOKUP(VLOOKUP($B57, Dependencies!$B$2:$G$230, 5,FALSE), $B$14:AO$73, AO$74,FALSE),"o")=$D$5,IFERROR(VLOOKUP(VLOOKUP($B57, Dependencies!$B$2:$G$230, 6,FALSE), $B$14:AO$73, AO$74,FALSE),"o")=$D$5),$D$5,AN57)))</f>
        <v>o</v>
      </c>
      <c r="AP57" s="94" t="s">
        <v>323</v>
      </c>
      <c r="AQ57" s="72" t="str">
        <f>IF(AP57=$D$4,AP57,IF(OR(IFERROR(VLOOKUP(VLOOKUP($B57, Dependencies!$B$2:$G$230, 2,FALSE),$B$14:AQ$73, AQ$74,FALSE),"o")=$D$4,IFERROR(VLOOKUP(VLOOKUP($B57, Dependencies!$B$2:$G$230, 3,FALSE),$B$14:AQ$73, AQ$74,FALSE),"o")=$D$4,IFERROR(VLOOKUP(VLOOKUP($B57, Dependencies!$B$2:$G$230, 4,FALSE),$B$14:AQ$73, AQ$74,FALSE),"o")=$D$4,IFERROR(VLOOKUP(VLOOKUP($B57, Dependencies!$B$2:$G$230, 5,FALSE),$B$14:AQ$73, AQ$74,FALSE),"o")=$D$4,IFERROR(VLOOKUP(VLOOKUP($B57, Dependencies!$B$2:$G$230, 6,FALSE),$B$14:AQ$73, AQ$74,FALSE),"o")=$D$4),$D$4,IF(OR(IFERROR(VLOOKUP(VLOOKUP($B57, Dependencies!$B$2:$G$230, 2,FALSE), $B$14:AQ$73, AQ$74,FALSE),"o")=$D$5,IFERROR(VLOOKUP(VLOOKUP($B57, Dependencies!$B$2:$G$230, 3,FALSE), $B$14:AQ$73, AQ$74,FALSE),"o")=$D$5,IFERROR(VLOOKUP(VLOOKUP($B57, Dependencies!$B$2:$G$230, 4,FALSE), $B$14:AQ$73, AQ$74,FALSE),"o")=$D$5,IFERROR(VLOOKUP(VLOOKUP($B57, Dependencies!$B$2:$G$230, 5,FALSE), $B$14:AQ$73, AQ$74,FALSE),"o")=$D$5,IFERROR(VLOOKUP(VLOOKUP($B57, Dependencies!$B$2:$G$230, 6,FALSE), $B$14:AQ$73, AQ$74,FALSE),"o")=$D$5),$D$5,AP57)))</f>
        <v>o</v>
      </c>
      <c r="AR57" s="94" t="s">
        <v>323</v>
      </c>
      <c r="AS57" s="71" t="str">
        <f>IF(AR57=$D$4,AR57,IF(OR(IFERROR(VLOOKUP(VLOOKUP($B57, Dependencies!$B$2:$G$230, 2,FALSE),$B$14:AS$73, AS$74,FALSE),"o")=$D$4,IFERROR(VLOOKUP(VLOOKUP($B57, Dependencies!$B$2:$G$230, 3,FALSE),$B$14:AS$73, AS$74,FALSE),"o")=$D$4,IFERROR(VLOOKUP(VLOOKUP($B57, Dependencies!$B$2:$G$230, 4,FALSE),$B$14:AS$73, AS$74,FALSE),"o")=$D$4,IFERROR(VLOOKUP(VLOOKUP($B57, Dependencies!$B$2:$G$230, 5,FALSE),$B$14:AS$73, AS$74,FALSE),"o")=$D$4,IFERROR(VLOOKUP(VLOOKUP($B57, Dependencies!$B$2:$G$230, 6,FALSE),$B$14:AS$73, AS$74,FALSE),"o")=$D$4),$D$4,IF(OR(IFERROR(VLOOKUP(VLOOKUP($B57, Dependencies!$B$2:$G$230, 2,FALSE), $B$14:AS$73, AS$74,FALSE),"o")=$D$5,IFERROR(VLOOKUP(VLOOKUP($B57, Dependencies!$B$2:$G$230, 3,FALSE), $B$14:AS$73, AS$74,FALSE),"o")=$D$5,IFERROR(VLOOKUP(VLOOKUP($B57, Dependencies!$B$2:$G$230, 4,FALSE), $B$14:AS$73, AS$74,FALSE),"o")=$D$5,IFERROR(VLOOKUP(VLOOKUP($B57, Dependencies!$B$2:$G$230, 5,FALSE), $B$14:AS$73, AS$74,FALSE),"o")=$D$5,IFERROR(VLOOKUP(VLOOKUP($B57, Dependencies!$B$2:$G$230, 6,FALSE), $B$14:AS$73, AS$74,FALSE),"o")=$D$5),$D$5,AR57)))</f>
        <v>o</v>
      </c>
    </row>
    <row r="58" spans="1:45" x14ac:dyDescent="0.2">
      <c r="A58" s="40"/>
      <c r="B58" s="73" t="str">
        <f>MLEOsv2!A46</f>
        <v>MLEO_05_03</v>
      </c>
      <c r="C58" s="73">
        <f>MLEOsv2!C46</f>
        <v>6</v>
      </c>
      <c r="D58" s="42" t="str">
        <f>MLEOsv2!G46</f>
        <v>implement 1:n relations with Collections.</v>
      </c>
      <c r="E58" s="51" t="b">
        <f>MLEOsv2!H46</f>
        <v>0</v>
      </c>
      <c r="F58" s="93" t="s">
        <v>323</v>
      </c>
      <c r="G58" s="70" t="str">
        <f>IF(F58=$D$4,F58,IF(OR(IFERROR(VLOOKUP(VLOOKUP($B58, Dependencies!$B$2:$G$230, 2,FALSE),$B$14:G$73, G$74,FALSE),"o")=$D$4,IFERROR(VLOOKUP(VLOOKUP($B58, Dependencies!$B$2:$G$230, 3,FALSE),$B$14:G$73, G$74,FALSE),"o")=$D$4,IFERROR(VLOOKUP(VLOOKUP($B58, Dependencies!$B$2:$G$230, 4,FALSE),$B$14:G$73, G$74,FALSE),"o")=$D$4,IFERROR(VLOOKUP(VLOOKUP($B58, Dependencies!$B$2:$G$230, 5,FALSE),$B$14:G$73, G$74,FALSE),"o")=$D$4,IFERROR(VLOOKUP(VLOOKUP($B58, Dependencies!$B$2:$G$230, 6,FALSE),$B$14:G$73, G$74,FALSE),"o")=$D$4),$D$4,IF(OR(IFERROR(VLOOKUP(VLOOKUP($B58, Dependencies!$B$2:$G$230, 2,FALSE), $B$14:G$73, G$74,FALSE),"o")=$D$5,IFERROR(VLOOKUP(VLOOKUP($B58, Dependencies!$B$2:$G$230, 3,FALSE), $B$14:G$73, G$74,FALSE),"o")=$D$5,IFERROR(VLOOKUP(VLOOKUP($B58, Dependencies!$B$2:$G$230, 4,FALSE), $B$14:G$73, G$74,FALSE),"o")=$D$5,IFERROR(VLOOKUP(VLOOKUP($B58, Dependencies!$B$2:$G$230, 5,FALSE), $B$14:G$73, G$74,FALSE),"o")=$D$5,IFERROR(VLOOKUP(VLOOKUP($B58, Dependencies!$B$2:$G$230, 6,FALSE), $B$14:G$73, G$74,FALSE),"o")=$D$5),$D$5,F58)))</f>
        <v>o</v>
      </c>
      <c r="H58" s="93" t="s">
        <v>321</v>
      </c>
      <c r="I58" s="70" t="str">
        <f>IF(H58=$D$4,H58,IF(OR(IFERROR(VLOOKUP(VLOOKUP($B58, Dependencies!$B$2:$G$230, 2,FALSE),$B$14:I$73, I$74,FALSE),"o")=$D$4,IFERROR(VLOOKUP(VLOOKUP($B58, Dependencies!$B$2:$G$230, 3,FALSE),$B$14:I$73, I$74,FALSE),"o")=$D$4,IFERROR(VLOOKUP(VLOOKUP($B58, Dependencies!$B$2:$G$230, 4,FALSE),$B$14:I$73, I$74,FALSE),"o")=$D$4,IFERROR(VLOOKUP(VLOOKUP($B58, Dependencies!$B$2:$G$230, 5,FALSE),$B$14:I$73, I$74,FALSE),"o")=$D$4,IFERROR(VLOOKUP(VLOOKUP($B58, Dependencies!$B$2:$G$230, 6,FALSE),$B$14:I$73, I$74,FALSE),"o")=$D$4),$D$4,IF(OR(IFERROR(VLOOKUP(VLOOKUP($B58, Dependencies!$B$2:$G$230, 2,FALSE), $B$14:I$73, I$74,FALSE),"o")=$D$5,IFERROR(VLOOKUP(VLOOKUP($B58, Dependencies!$B$2:$G$230, 3,FALSE), $B$14:I$73, I$74,FALSE),"o")=$D$5,IFERROR(VLOOKUP(VLOOKUP($B58, Dependencies!$B$2:$G$230, 4,FALSE), $B$14:I$73, I$74,FALSE),"o")=$D$5,IFERROR(VLOOKUP(VLOOKUP($B58, Dependencies!$B$2:$G$230, 5,FALSE), $B$14:I$73, I$74,FALSE),"o")=$D$5,IFERROR(VLOOKUP(VLOOKUP($B58, Dependencies!$B$2:$G$230, 6,FALSE), $B$14:I$73, I$74,FALSE),"o")=$D$5),$D$5,H58)))</f>
        <v>pr</v>
      </c>
      <c r="J58" s="93" t="s">
        <v>323</v>
      </c>
      <c r="K58" s="70" t="str">
        <f>IF(J58=$D$4,J58,IF(OR(IFERROR(VLOOKUP(VLOOKUP($B58, Dependencies!$B$2:$G$230, 2,FALSE),$B$14:K$73, K$74,FALSE),"o")=$D$4,IFERROR(VLOOKUP(VLOOKUP($B58, Dependencies!$B$2:$G$230, 3,FALSE),$B$14:K$73, K$74,FALSE),"o")=$D$4,IFERROR(VLOOKUP(VLOOKUP($B58, Dependencies!$B$2:$G$230, 4,FALSE),$B$14:K$73, K$74,FALSE),"o")=$D$4,IFERROR(VLOOKUP(VLOOKUP($B58, Dependencies!$B$2:$G$230, 5,FALSE),$B$14:K$73, K$74,FALSE),"o")=$D$4,IFERROR(VLOOKUP(VLOOKUP($B58, Dependencies!$B$2:$G$230, 6,FALSE),$B$14:K$73, K$74,FALSE),"o")=$D$4),$D$4,IF(OR(IFERROR(VLOOKUP(VLOOKUP($B58, Dependencies!$B$2:$G$230, 2,FALSE), $B$14:K$73, K$74,FALSE),"o")=$D$5,IFERROR(VLOOKUP(VLOOKUP($B58, Dependencies!$B$2:$G$230, 3,FALSE), $B$14:K$73, K$74,FALSE),"o")=$D$5,IFERROR(VLOOKUP(VLOOKUP($B58, Dependencies!$B$2:$G$230, 4,FALSE), $B$14:K$73, K$74,FALSE),"o")=$D$5,IFERROR(VLOOKUP(VLOOKUP($B58, Dependencies!$B$2:$G$230, 5,FALSE), $B$14:K$73, K$74,FALSE),"o")=$D$5,IFERROR(VLOOKUP(VLOOKUP($B58, Dependencies!$B$2:$G$230, 6,FALSE), $B$14:K$73, K$74,FALSE),"o")=$D$5),$D$5,J58)))</f>
        <v>o</v>
      </c>
      <c r="L58" s="93" t="s">
        <v>323</v>
      </c>
      <c r="M58" s="70" t="str">
        <f>IF(L58=$D$4,L58,IF(OR(IFERROR(VLOOKUP(VLOOKUP($B58, Dependencies!$B$2:$G$230, 2,FALSE),$B$14:M$73, M$74,FALSE),"o")=$D$4,IFERROR(VLOOKUP(VLOOKUP($B58, Dependencies!$B$2:$G$230, 3,FALSE),$B$14:M$73, M$74,FALSE),"o")=$D$4,IFERROR(VLOOKUP(VLOOKUP($B58, Dependencies!$B$2:$G$230, 4,FALSE),$B$14:M$73, M$74,FALSE),"o")=$D$4,IFERROR(VLOOKUP(VLOOKUP($B58, Dependencies!$B$2:$G$230, 5,FALSE),$B$14:M$73, M$74,FALSE),"o")=$D$4,IFERROR(VLOOKUP(VLOOKUP($B58, Dependencies!$B$2:$G$230, 6,FALSE),$B$14:M$73, M$74,FALSE),"o")=$D$4),$D$4,IF(OR(IFERROR(VLOOKUP(VLOOKUP($B58, Dependencies!$B$2:$G$230, 2,FALSE), $B$14:M$73, M$74,FALSE),"o")=$D$5,IFERROR(VLOOKUP(VLOOKUP($B58, Dependencies!$B$2:$G$230, 3,FALSE), $B$14:M$73, M$74,FALSE),"o")=$D$5,IFERROR(VLOOKUP(VLOOKUP($B58, Dependencies!$B$2:$G$230, 4,FALSE), $B$14:M$73, M$74,FALSE),"o")=$D$5,IFERROR(VLOOKUP(VLOOKUP($B58, Dependencies!$B$2:$G$230, 5,FALSE), $B$14:M$73, M$74,FALSE),"o")=$D$5,IFERROR(VLOOKUP(VLOOKUP($B58, Dependencies!$B$2:$G$230, 6,FALSE), $B$14:M$73, M$74,FALSE),"o")=$D$5),$D$5,L58)))</f>
        <v>o</v>
      </c>
      <c r="N58" s="93" t="s">
        <v>323</v>
      </c>
      <c r="O58" s="70" t="str">
        <f>IF(N58=$D$4,N58,IF(OR(IFERROR(VLOOKUP(VLOOKUP($B58, Dependencies!$B$2:$G$230, 2,FALSE),$B$14:O$73, O$74,FALSE),"o")=$D$4,IFERROR(VLOOKUP(VLOOKUP($B58, Dependencies!$B$2:$G$230, 3,FALSE),$B$14:O$73, O$74,FALSE),"o")=$D$4,IFERROR(VLOOKUP(VLOOKUP($B58, Dependencies!$B$2:$G$230, 4,FALSE),$B$14:O$73, O$74,FALSE),"o")=$D$4,IFERROR(VLOOKUP(VLOOKUP($B58, Dependencies!$B$2:$G$230, 5,FALSE),$B$14:O$73, O$74,FALSE),"o")=$D$4,IFERROR(VLOOKUP(VLOOKUP($B58, Dependencies!$B$2:$G$230, 6,FALSE),$B$14:O$73, O$74,FALSE),"o")=$D$4),$D$4,IF(OR(IFERROR(VLOOKUP(VLOOKUP($B58, Dependencies!$B$2:$G$230, 2,FALSE), $B$14:O$73, O$74,FALSE),"o")=$D$5,IFERROR(VLOOKUP(VLOOKUP($B58, Dependencies!$B$2:$G$230, 3,FALSE), $B$14:O$73, O$74,FALSE),"o")=$D$5,IFERROR(VLOOKUP(VLOOKUP($B58, Dependencies!$B$2:$G$230, 4,FALSE), $B$14:O$73, O$74,FALSE),"o")=$D$5,IFERROR(VLOOKUP(VLOOKUP($B58, Dependencies!$B$2:$G$230, 5,FALSE), $B$14:O$73, O$74,FALSE),"o")=$D$5,IFERROR(VLOOKUP(VLOOKUP($B58, Dependencies!$B$2:$G$230, 6,FALSE), $B$14:O$73, O$74,FALSE),"o")=$D$5),$D$5,N58)))</f>
        <v>o</v>
      </c>
      <c r="P58" s="93" t="s">
        <v>323</v>
      </c>
      <c r="Q58" s="70" t="str">
        <f>IF(P58=$D$4,P58,IF(OR(IFERROR(VLOOKUP(VLOOKUP($B58, Dependencies!$B$2:$G$230, 2,FALSE),$B$14:Q$73, Q$74,FALSE),"o")=$D$4,IFERROR(VLOOKUP(VLOOKUP($B58, Dependencies!$B$2:$G$230, 3,FALSE),$B$14:Q$73, Q$74,FALSE),"o")=$D$4,IFERROR(VLOOKUP(VLOOKUP($B58, Dependencies!$B$2:$G$230, 4,FALSE),$B$14:Q$73, Q$74,FALSE),"o")=$D$4,IFERROR(VLOOKUP(VLOOKUP($B58, Dependencies!$B$2:$G$230, 5,FALSE),$B$14:Q$73, Q$74,FALSE),"o")=$D$4,IFERROR(VLOOKUP(VLOOKUP($B58, Dependencies!$B$2:$G$230, 6,FALSE),$B$14:Q$73, Q$74,FALSE),"o")=$D$4),$D$4,IF(OR(IFERROR(VLOOKUP(VLOOKUP($B58, Dependencies!$B$2:$G$230, 2,FALSE), $B$14:Q$73, Q$74,FALSE),"o")=$D$5,IFERROR(VLOOKUP(VLOOKUP($B58, Dependencies!$B$2:$G$230, 3,FALSE), $B$14:Q$73, Q$74,FALSE),"o")=$D$5,IFERROR(VLOOKUP(VLOOKUP($B58, Dependencies!$B$2:$G$230, 4,FALSE), $B$14:Q$73, Q$74,FALSE),"o")=$D$5,IFERROR(VLOOKUP(VLOOKUP($B58, Dependencies!$B$2:$G$230, 5,FALSE), $B$14:Q$73, Q$74,FALSE),"o")=$D$5,IFERROR(VLOOKUP(VLOOKUP($B58, Dependencies!$B$2:$G$230, 6,FALSE), $B$14:Q$73, Q$74,FALSE),"o")=$D$5),$D$5,P58)))</f>
        <v>o</v>
      </c>
      <c r="R58" s="93" t="s">
        <v>323</v>
      </c>
      <c r="S58" s="70" t="str">
        <f>IF(R58=$D$4,R58,IF(OR(IFERROR(VLOOKUP(VLOOKUP($B58, Dependencies!$B$2:$G$230, 2,FALSE),$B$14:S$73, S$74,FALSE),"o")=$D$4,IFERROR(VLOOKUP(VLOOKUP($B58, Dependencies!$B$2:$G$230, 3,FALSE),$B$14:S$73, S$74,FALSE),"o")=$D$4,IFERROR(VLOOKUP(VLOOKUP($B58, Dependencies!$B$2:$G$230, 4,FALSE),$B$14:S$73, S$74,FALSE),"o")=$D$4,IFERROR(VLOOKUP(VLOOKUP($B58, Dependencies!$B$2:$G$230, 5,FALSE),$B$14:S$73, S$74,FALSE),"o")=$D$4,IFERROR(VLOOKUP(VLOOKUP($B58, Dependencies!$B$2:$G$230, 6,FALSE),$B$14:S$73, S$74,FALSE),"o")=$D$4),$D$4,IF(OR(IFERROR(VLOOKUP(VLOOKUP($B58, Dependencies!$B$2:$G$230, 2,FALSE), $B$14:S$73, S$74,FALSE),"o")=$D$5,IFERROR(VLOOKUP(VLOOKUP($B58, Dependencies!$B$2:$G$230, 3,FALSE), $B$14:S$73, S$74,FALSE),"o")=$D$5,IFERROR(VLOOKUP(VLOOKUP($B58, Dependencies!$B$2:$G$230, 4,FALSE), $B$14:S$73, S$74,FALSE),"o")=$D$5,IFERROR(VLOOKUP(VLOOKUP($B58, Dependencies!$B$2:$G$230, 5,FALSE), $B$14:S$73, S$74,FALSE),"o")=$D$5,IFERROR(VLOOKUP(VLOOKUP($B58, Dependencies!$B$2:$G$230, 6,FALSE), $B$14:S$73, S$74,FALSE),"o")=$D$5),$D$5,R58)))</f>
        <v>o</v>
      </c>
      <c r="T58" s="93" t="s">
        <v>323</v>
      </c>
      <c r="U58" s="70" t="str">
        <f>IF(T58=$D$4,T58,IF(OR(IFERROR(VLOOKUP(VLOOKUP($B58, Dependencies!$B$2:$G$230, 2,FALSE),$B$14:U$73, U$74,FALSE),"o")=$D$4,IFERROR(VLOOKUP(VLOOKUP($B58, Dependencies!$B$2:$G$230, 3,FALSE),$B$14:U$73, U$74,FALSE),"o")=$D$4,IFERROR(VLOOKUP(VLOOKUP($B58, Dependencies!$B$2:$G$230, 4,FALSE),$B$14:U$73, U$74,FALSE),"o")=$D$4,IFERROR(VLOOKUP(VLOOKUP($B58, Dependencies!$B$2:$G$230, 5,FALSE),$B$14:U$73, U$74,FALSE),"o")=$D$4,IFERROR(VLOOKUP(VLOOKUP($B58, Dependencies!$B$2:$G$230, 6,FALSE),$B$14:U$73, U$74,FALSE),"o")=$D$4),$D$4,IF(OR(IFERROR(VLOOKUP(VLOOKUP($B58, Dependencies!$B$2:$G$230, 2,FALSE), $B$14:U$73, U$74,FALSE),"o")=$D$5,IFERROR(VLOOKUP(VLOOKUP($B58, Dependencies!$B$2:$G$230, 3,FALSE), $B$14:U$73, U$74,FALSE),"o")=$D$5,IFERROR(VLOOKUP(VLOOKUP($B58, Dependencies!$B$2:$G$230, 4,FALSE), $B$14:U$73, U$74,FALSE),"o")=$D$5,IFERROR(VLOOKUP(VLOOKUP($B58, Dependencies!$B$2:$G$230, 5,FALSE), $B$14:U$73, U$74,FALSE),"o")=$D$5,IFERROR(VLOOKUP(VLOOKUP($B58, Dependencies!$B$2:$G$230, 6,FALSE), $B$14:U$73, U$74,FALSE),"o")=$D$5),$D$5,T58)))</f>
        <v>o</v>
      </c>
      <c r="V58" s="93" t="s">
        <v>323</v>
      </c>
      <c r="W58" s="70" t="str">
        <f>IF(V58=$D$4,V58,IF(OR(IFERROR(VLOOKUP(VLOOKUP($B58, Dependencies!$B$2:$G$230, 2,FALSE),$B$14:W$73, W$74,FALSE),"o")=$D$4,IFERROR(VLOOKUP(VLOOKUP($B58, Dependencies!$B$2:$G$230, 3,FALSE),$B$14:W$73, W$74,FALSE),"o")=$D$4,IFERROR(VLOOKUP(VLOOKUP($B58, Dependencies!$B$2:$G$230, 4,FALSE),$B$14:W$73, W$74,FALSE),"o")=$D$4,IFERROR(VLOOKUP(VLOOKUP($B58, Dependencies!$B$2:$G$230, 5,FALSE),$B$14:W$73, W$74,FALSE),"o")=$D$4,IFERROR(VLOOKUP(VLOOKUP($B58, Dependencies!$B$2:$G$230, 6,FALSE),$B$14:W$73, W$74,FALSE),"o")=$D$4),$D$4,IF(OR(IFERROR(VLOOKUP(VLOOKUP($B58, Dependencies!$B$2:$G$230, 2,FALSE), $B$14:W$73, W$74,FALSE),"o")=$D$5,IFERROR(VLOOKUP(VLOOKUP($B58, Dependencies!$B$2:$G$230, 3,FALSE), $B$14:W$73, W$74,FALSE),"o")=$D$5,IFERROR(VLOOKUP(VLOOKUP($B58, Dependencies!$B$2:$G$230, 4,FALSE), $B$14:W$73, W$74,FALSE),"o")=$D$5,IFERROR(VLOOKUP(VLOOKUP($B58, Dependencies!$B$2:$G$230, 5,FALSE), $B$14:W$73, W$74,FALSE),"o")=$D$5,IFERROR(VLOOKUP(VLOOKUP($B58, Dependencies!$B$2:$G$230, 6,FALSE), $B$14:W$73, W$74,FALSE),"o")=$D$5),$D$5,V58)))</f>
        <v>o</v>
      </c>
      <c r="X58" s="93" t="s">
        <v>323</v>
      </c>
      <c r="Y58" s="70" t="str">
        <f>IF(X58=$D$4,X58,IF(OR(IFERROR(VLOOKUP(VLOOKUP($B58, Dependencies!$B$2:$G$230, 2,FALSE),$B$14:Y$73, Y$74,FALSE),"o")=$D$4,IFERROR(VLOOKUP(VLOOKUP($B58, Dependencies!$B$2:$G$230, 3,FALSE),$B$14:Y$73, Y$74,FALSE),"o")=$D$4,IFERROR(VLOOKUP(VLOOKUP($B58, Dependencies!$B$2:$G$230, 4,FALSE),$B$14:Y$73, Y$74,FALSE),"o")=$D$4,IFERROR(VLOOKUP(VLOOKUP($B58, Dependencies!$B$2:$G$230, 5,FALSE),$B$14:Y$73, Y$74,FALSE),"o")=$D$4,IFERROR(VLOOKUP(VLOOKUP($B58, Dependencies!$B$2:$G$230, 6,FALSE),$B$14:Y$73, Y$74,FALSE),"o")=$D$4),$D$4,IF(OR(IFERROR(VLOOKUP(VLOOKUP($B58, Dependencies!$B$2:$G$230, 2,FALSE), $B$14:Y$73, Y$74,FALSE),"o")=$D$5,IFERROR(VLOOKUP(VLOOKUP($B58, Dependencies!$B$2:$G$230, 3,FALSE), $B$14:Y$73, Y$74,FALSE),"o")=$D$5,IFERROR(VLOOKUP(VLOOKUP($B58, Dependencies!$B$2:$G$230, 4,FALSE), $B$14:Y$73, Y$74,FALSE),"o")=$D$5,IFERROR(VLOOKUP(VLOOKUP($B58, Dependencies!$B$2:$G$230, 5,FALSE), $B$14:Y$73, Y$74,FALSE),"o")=$D$5,IFERROR(VLOOKUP(VLOOKUP($B58, Dependencies!$B$2:$G$230, 6,FALSE), $B$14:Y$73, Y$74,FALSE),"o")=$D$5),$D$5,X58)))</f>
        <v>o</v>
      </c>
      <c r="Z58" s="93" t="s">
        <v>323</v>
      </c>
      <c r="AA58" s="70" t="str">
        <f>IF(Z58=$D$4,Z58,IF(OR(IFERROR(VLOOKUP(VLOOKUP($B58, Dependencies!$B$2:$G$230, 2,FALSE),$B$14:AA$73, AA$74,FALSE),"o")=$D$4,IFERROR(VLOOKUP(VLOOKUP($B58, Dependencies!$B$2:$G$230, 3,FALSE),$B$14:AA$73, AA$74,FALSE),"o")=$D$4,IFERROR(VLOOKUP(VLOOKUP($B58, Dependencies!$B$2:$G$230, 4,FALSE),$B$14:AA$73, AA$74,FALSE),"o")=$D$4,IFERROR(VLOOKUP(VLOOKUP($B58, Dependencies!$B$2:$G$230, 5,FALSE),$B$14:AA$73, AA$74,FALSE),"o")=$D$4,IFERROR(VLOOKUP(VLOOKUP($B58, Dependencies!$B$2:$G$230, 6,FALSE),$B$14:AA$73, AA$74,FALSE),"o")=$D$4),$D$4,IF(OR(IFERROR(VLOOKUP(VLOOKUP($B58, Dependencies!$B$2:$G$230, 2,FALSE), $B$14:AA$73, AA$74,FALSE),"o")=$D$5,IFERROR(VLOOKUP(VLOOKUP($B58, Dependencies!$B$2:$G$230, 3,FALSE), $B$14:AA$73, AA$74,FALSE),"o")=$D$5,IFERROR(VLOOKUP(VLOOKUP($B58, Dependencies!$B$2:$G$230, 4,FALSE), $B$14:AA$73, AA$74,FALSE),"o")=$D$5,IFERROR(VLOOKUP(VLOOKUP($B58, Dependencies!$B$2:$G$230, 5,FALSE), $B$14:AA$73, AA$74,FALSE),"o")=$D$5,IFERROR(VLOOKUP(VLOOKUP($B58, Dependencies!$B$2:$G$230, 6,FALSE), $B$14:AA$73, AA$74,FALSE),"o")=$D$5),$D$5,Z58)))</f>
        <v>o</v>
      </c>
      <c r="AB58" s="93" t="s">
        <v>323</v>
      </c>
      <c r="AC58" s="70" t="str">
        <f>IF(AB58=$D$4,AB58,IF(OR(IFERROR(VLOOKUP(VLOOKUP($B58, Dependencies!$B$2:$G$230, 2,FALSE),$B$14:AC$73, AC$74,FALSE),"o")=$D$4,IFERROR(VLOOKUP(VLOOKUP($B58, Dependencies!$B$2:$G$230, 3,FALSE),$B$14:AC$73, AC$74,FALSE),"o")=$D$4,IFERROR(VLOOKUP(VLOOKUP($B58, Dependencies!$B$2:$G$230, 4,FALSE),$B$14:AC$73, AC$74,FALSE),"o")=$D$4,IFERROR(VLOOKUP(VLOOKUP($B58, Dependencies!$B$2:$G$230, 5,FALSE),$B$14:AC$73, AC$74,FALSE),"o")=$D$4,IFERROR(VLOOKUP(VLOOKUP($B58, Dependencies!$B$2:$G$230, 6,FALSE),$B$14:AC$73, AC$74,FALSE),"o")=$D$4),$D$4,IF(OR(IFERROR(VLOOKUP(VLOOKUP($B58, Dependencies!$B$2:$G$230, 2,FALSE), $B$14:AC$73, AC$74,FALSE),"o")=$D$5,IFERROR(VLOOKUP(VLOOKUP($B58, Dependencies!$B$2:$G$230, 3,FALSE), $B$14:AC$73, AC$74,FALSE),"o")=$D$5,IFERROR(VLOOKUP(VLOOKUP($B58, Dependencies!$B$2:$G$230, 4,FALSE), $B$14:AC$73, AC$74,FALSE),"o")=$D$5,IFERROR(VLOOKUP(VLOOKUP($B58, Dependencies!$B$2:$G$230, 5,FALSE), $B$14:AC$73, AC$74,FALSE),"o")=$D$5,IFERROR(VLOOKUP(VLOOKUP($B58, Dependencies!$B$2:$G$230, 6,FALSE), $B$14:AC$73, AC$74,FALSE),"o")=$D$5),$D$5,AB58)))</f>
        <v>o</v>
      </c>
      <c r="AD58" s="93" t="s">
        <v>323</v>
      </c>
      <c r="AE58" s="70" t="str">
        <f>IF(AD58=$D$4,AD58,IF(OR(IFERROR(VLOOKUP(VLOOKUP($B58, Dependencies!$B$2:$G$230, 2,FALSE),$B$14:AE$73, AE$74,FALSE),"o")=$D$4,IFERROR(VLOOKUP(VLOOKUP($B58, Dependencies!$B$2:$G$230, 3,FALSE),$B$14:AE$73, AE$74,FALSE),"o")=$D$4,IFERROR(VLOOKUP(VLOOKUP($B58, Dependencies!$B$2:$G$230, 4,FALSE),$B$14:AE$73, AE$74,FALSE),"o")=$D$4,IFERROR(VLOOKUP(VLOOKUP($B58, Dependencies!$B$2:$G$230, 5,FALSE),$B$14:AE$73, AE$74,FALSE),"o")=$D$4,IFERROR(VLOOKUP(VLOOKUP($B58, Dependencies!$B$2:$G$230, 6,FALSE),$B$14:AE$73, AE$74,FALSE),"o")=$D$4),$D$4,IF(OR(IFERROR(VLOOKUP(VLOOKUP($B58, Dependencies!$B$2:$G$230, 2,FALSE), $B$14:AE$73, AE$74,FALSE),"o")=$D$5,IFERROR(VLOOKUP(VLOOKUP($B58, Dependencies!$B$2:$G$230, 3,FALSE), $B$14:AE$73, AE$74,FALSE),"o")=$D$5,IFERROR(VLOOKUP(VLOOKUP($B58, Dependencies!$B$2:$G$230, 4,FALSE), $B$14:AE$73, AE$74,FALSE),"o")=$D$5,IFERROR(VLOOKUP(VLOOKUP($B58, Dependencies!$B$2:$G$230, 5,FALSE), $B$14:AE$73, AE$74,FALSE),"o")=$D$5,IFERROR(VLOOKUP(VLOOKUP($B58, Dependencies!$B$2:$G$230, 6,FALSE), $B$14:AE$73, AE$74,FALSE),"o")=$D$5),$D$5,AD58)))</f>
        <v>o</v>
      </c>
      <c r="AF58" s="93" t="s">
        <v>323</v>
      </c>
      <c r="AG58" s="70" t="str">
        <f>IF(AF58=$D$4,AF58,IF(OR(IFERROR(VLOOKUP(VLOOKUP($B58, Dependencies!$B$2:$G$230, 2,FALSE),$B$14:AG$73, AG$74,FALSE),"o")=$D$4,IFERROR(VLOOKUP(VLOOKUP($B58, Dependencies!$B$2:$G$230, 3,FALSE),$B$14:AG$73, AG$74,FALSE),"o")=$D$4,IFERROR(VLOOKUP(VLOOKUP($B58, Dependencies!$B$2:$G$230, 4,FALSE),$B$14:AG$73, AG$74,FALSE),"o")=$D$4,IFERROR(VLOOKUP(VLOOKUP($B58, Dependencies!$B$2:$G$230, 5,FALSE),$B$14:AG$73, AG$74,FALSE),"o")=$D$4,IFERROR(VLOOKUP(VLOOKUP($B58, Dependencies!$B$2:$G$230, 6,FALSE),$B$14:AG$73, AG$74,FALSE),"o")=$D$4),$D$4,IF(OR(IFERROR(VLOOKUP(VLOOKUP($B58, Dependencies!$B$2:$G$230, 2,FALSE), $B$14:AG$73, AG$74,FALSE),"o")=$D$5,IFERROR(VLOOKUP(VLOOKUP($B58, Dependencies!$B$2:$G$230, 3,FALSE), $B$14:AG$73, AG$74,FALSE),"o")=$D$5,IFERROR(VLOOKUP(VLOOKUP($B58, Dependencies!$B$2:$G$230, 4,FALSE), $B$14:AG$73, AG$74,FALSE),"o")=$D$5,IFERROR(VLOOKUP(VLOOKUP($B58, Dependencies!$B$2:$G$230, 5,FALSE), $B$14:AG$73, AG$74,FALSE),"o")=$D$5,IFERROR(VLOOKUP(VLOOKUP($B58, Dependencies!$B$2:$G$230, 6,FALSE), $B$14:AG$73, AG$74,FALSE),"o")=$D$5),$D$5,AF58)))</f>
        <v>o</v>
      </c>
      <c r="AH58" s="93" t="s">
        <v>323</v>
      </c>
      <c r="AI58" s="70" t="str">
        <f>IF(AH58=$D$4,AH58,IF(OR(IFERROR(VLOOKUP(VLOOKUP($B58, Dependencies!$B$2:$G$230, 2,FALSE),$B$14:AI$73, AI$74,FALSE),"o")=$D$4,IFERROR(VLOOKUP(VLOOKUP($B58, Dependencies!$B$2:$G$230, 3,FALSE),$B$14:AI$73, AI$74,FALSE),"o")=$D$4,IFERROR(VLOOKUP(VLOOKUP($B58, Dependencies!$B$2:$G$230, 4,FALSE),$B$14:AI$73, AI$74,FALSE),"o")=$D$4,IFERROR(VLOOKUP(VLOOKUP($B58, Dependencies!$B$2:$G$230, 5,FALSE),$B$14:AI$73, AI$74,FALSE),"o")=$D$4,IFERROR(VLOOKUP(VLOOKUP($B58, Dependencies!$B$2:$G$230, 6,FALSE),$B$14:AI$73, AI$74,FALSE),"o")=$D$4),$D$4,IF(OR(IFERROR(VLOOKUP(VLOOKUP($B58, Dependencies!$B$2:$G$230, 2,FALSE), $B$14:AI$73, AI$74,FALSE),"o")=$D$5,IFERROR(VLOOKUP(VLOOKUP($B58, Dependencies!$B$2:$G$230, 3,FALSE), $B$14:AI$73, AI$74,FALSE),"o")=$D$5,IFERROR(VLOOKUP(VLOOKUP($B58, Dependencies!$B$2:$G$230, 4,FALSE), $B$14:AI$73, AI$74,FALSE),"o")=$D$5,IFERROR(VLOOKUP(VLOOKUP($B58, Dependencies!$B$2:$G$230, 5,FALSE), $B$14:AI$73, AI$74,FALSE),"o")=$D$5,IFERROR(VLOOKUP(VLOOKUP($B58, Dependencies!$B$2:$G$230, 6,FALSE), $B$14:AI$73, AI$74,FALSE),"o")=$D$5),$D$5,AH58)))</f>
        <v>o</v>
      </c>
      <c r="AJ58" s="93" t="s">
        <v>323</v>
      </c>
      <c r="AK58" s="70" t="str">
        <f>IF(AJ58=$D$4,AJ58,IF(OR(IFERROR(VLOOKUP(VLOOKUP($B58, Dependencies!$B$2:$G$230, 2,FALSE),$B$14:AK$73, AK$74,FALSE),"o")=$D$4,IFERROR(VLOOKUP(VLOOKUP($B58, Dependencies!$B$2:$G$230, 3,FALSE),$B$14:AK$73, AK$74,FALSE),"o")=$D$4,IFERROR(VLOOKUP(VLOOKUP($B58, Dependencies!$B$2:$G$230, 4,FALSE),$B$14:AK$73, AK$74,FALSE),"o")=$D$4,IFERROR(VLOOKUP(VLOOKUP($B58, Dependencies!$B$2:$G$230, 5,FALSE),$B$14:AK$73, AK$74,FALSE),"o")=$D$4,IFERROR(VLOOKUP(VLOOKUP($B58, Dependencies!$B$2:$G$230, 6,FALSE),$B$14:AK$73, AK$74,FALSE),"o")=$D$4),$D$4,IF(OR(IFERROR(VLOOKUP(VLOOKUP($B58, Dependencies!$B$2:$G$230, 2,FALSE), $B$14:AK$73, AK$74,FALSE),"o")=$D$5,IFERROR(VLOOKUP(VLOOKUP($B58, Dependencies!$B$2:$G$230, 3,FALSE), $B$14:AK$73, AK$74,FALSE),"o")=$D$5,IFERROR(VLOOKUP(VLOOKUP($B58, Dependencies!$B$2:$G$230, 4,FALSE), $B$14:AK$73, AK$74,FALSE),"o")=$D$5,IFERROR(VLOOKUP(VLOOKUP($B58, Dependencies!$B$2:$G$230, 5,FALSE), $B$14:AK$73, AK$74,FALSE),"o")=$D$5,IFERROR(VLOOKUP(VLOOKUP($B58, Dependencies!$B$2:$G$230, 6,FALSE), $B$14:AK$73, AK$74,FALSE),"o")=$D$5),$D$5,AJ58)))</f>
        <v>o</v>
      </c>
      <c r="AL58" s="93" t="s">
        <v>323</v>
      </c>
      <c r="AM58" s="70" t="str">
        <f>IF(AL58=$D$4,AL58,IF(OR(IFERROR(VLOOKUP(VLOOKUP($B58, Dependencies!$B$2:$G$230, 2,FALSE),$B$14:AM$73, AM$74,FALSE),"o")=$D$4,IFERROR(VLOOKUP(VLOOKUP($B58, Dependencies!$B$2:$G$230, 3,FALSE),$B$14:AM$73, AM$74,FALSE),"o")=$D$4,IFERROR(VLOOKUP(VLOOKUP($B58, Dependencies!$B$2:$G$230, 4,FALSE),$B$14:AM$73, AM$74,FALSE),"o")=$D$4,IFERROR(VLOOKUP(VLOOKUP($B58, Dependencies!$B$2:$G$230, 5,FALSE),$B$14:AM$73, AM$74,FALSE),"o")=$D$4,IFERROR(VLOOKUP(VLOOKUP($B58, Dependencies!$B$2:$G$230, 6,FALSE),$B$14:AM$73, AM$74,FALSE),"o")=$D$4),$D$4,IF(OR(IFERROR(VLOOKUP(VLOOKUP($B58, Dependencies!$B$2:$G$230, 2,FALSE), $B$14:AM$73, AM$74,FALSE),"o")=$D$5,IFERROR(VLOOKUP(VLOOKUP($B58, Dependencies!$B$2:$G$230, 3,FALSE), $B$14:AM$73, AM$74,FALSE),"o")=$D$5,IFERROR(VLOOKUP(VLOOKUP($B58, Dependencies!$B$2:$G$230, 4,FALSE), $B$14:AM$73, AM$74,FALSE),"o")=$D$5,IFERROR(VLOOKUP(VLOOKUP($B58, Dependencies!$B$2:$G$230, 5,FALSE), $B$14:AM$73, AM$74,FALSE),"o")=$D$5,IFERROR(VLOOKUP(VLOOKUP($B58, Dependencies!$B$2:$G$230, 6,FALSE), $B$14:AM$73, AM$74,FALSE),"o")=$D$5),$D$5,AL58)))</f>
        <v>o</v>
      </c>
      <c r="AN58" s="93" t="s">
        <v>323</v>
      </c>
      <c r="AO58" s="70" t="str">
        <f>IF(AN58=$D$4,AN58,IF(OR(IFERROR(VLOOKUP(VLOOKUP($B58, Dependencies!$B$2:$G$230, 2,FALSE),$B$14:AO$73, AO$74,FALSE),"o")=$D$4,IFERROR(VLOOKUP(VLOOKUP($B58, Dependencies!$B$2:$G$230, 3,FALSE),$B$14:AO$73, AO$74,FALSE),"o")=$D$4,IFERROR(VLOOKUP(VLOOKUP($B58, Dependencies!$B$2:$G$230, 4,FALSE),$B$14:AO$73, AO$74,FALSE),"o")=$D$4,IFERROR(VLOOKUP(VLOOKUP($B58, Dependencies!$B$2:$G$230, 5,FALSE),$B$14:AO$73, AO$74,FALSE),"o")=$D$4,IFERROR(VLOOKUP(VLOOKUP($B58, Dependencies!$B$2:$G$230, 6,FALSE),$B$14:AO$73, AO$74,FALSE),"o")=$D$4),$D$4,IF(OR(IFERROR(VLOOKUP(VLOOKUP($B58, Dependencies!$B$2:$G$230, 2,FALSE), $B$14:AO$73, AO$74,FALSE),"o")=$D$5,IFERROR(VLOOKUP(VLOOKUP($B58, Dependencies!$B$2:$G$230, 3,FALSE), $B$14:AO$73, AO$74,FALSE),"o")=$D$5,IFERROR(VLOOKUP(VLOOKUP($B58, Dependencies!$B$2:$G$230, 4,FALSE), $B$14:AO$73, AO$74,FALSE),"o")=$D$5,IFERROR(VLOOKUP(VLOOKUP($B58, Dependencies!$B$2:$G$230, 5,FALSE), $B$14:AO$73, AO$74,FALSE),"o")=$D$5,IFERROR(VLOOKUP(VLOOKUP($B58, Dependencies!$B$2:$G$230, 6,FALSE), $B$14:AO$73, AO$74,FALSE),"o")=$D$5),$D$5,AN58)))</f>
        <v>o</v>
      </c>
      <c r="AP58" s="93" t="s">
        <v>323</v>
      </c>
      <c r="AQ58" s="70" t="str">
        <f>IF(AP58=$D$4,AP58,IF(OR(IFERROR(VLOOKUP(VLOOKUP($B58, Dependencies!$B$2:$G$230, 2,FALSE),$B$14:AQ$73, AQ$74,FALSE),"o")=$D$4,IFERROR(VLOOKUP(VLOOKUP($B58, Dependencies!$B$2:$G$230, 3,FALSE),$B$14:AQ$73, AQ$74,FALSE),"o")=$D$4,IFERROR(VLOOKUP(VLOOKUP($B58, Dependencies!$B$2:$G$230, 4,FALSE),$B$14:AQ$73, AQ$74,FALSE),"o")=$D$4,IFERROR(VLOOKUP(VLOOKUP($B58, Dependencies!$B$2:$G$230, 5,FALSE),$B$14:AQ$73, AQ$74,FALSE),"o")=$D$4,IFERROR(VLOOKUP(VLOOKUP($B58, Dependencies!$B$2:$G$230, 6,FALSE),$B$14:AQ$73, AQ$74,FALSE),"o")=$D$4),$D$4,IF(OR(IFERROR(VLOOKUP(VLOOKUP($B58, Dependencies!$B$2:$G$230, 2,FALSE), $B$14:AQ$73, AQ$74,FALSE),"o")=$D$5,IFERROR(VLOOKUP(VLOOKUP($B58, Dependencies!$B$2:$G$230, 3,FALSE), $B$14:AQ$73, AQ$74,FALSE),"o")=$D$5,IFERROR(VLOOKUP(VLOOKUP($B58, Dependencies!$B$2:$G$230, 4,FALSE), $B$14:AQ$73, AQ$74,FALSE),"o")=$D$5,IFERROR(VLOOKUP(VLOOKUP($B58, Dependencies!$B$2:$G$230, 5,FALSE), $B$14:AQ$73, AQ$74,FALSE),"o")=$D$5,IFERROR(VLOOKUP(VLOOKUP($B58, Dependencies!$B$2:$G$230, 6,FALSE), $B$14:AQ$73, AQ$74,FALSE),"o")=$D$5),$D$5,AP58)))</f>
        <v>o</v>
      </c>
      <c r="AR58" s="93" t="s">
        <v>323</v>
      </c>
      <c r="AS58" s="69" t="str">
        <f>IF(AR58=$D$4,AR58,IF(OR(IFERROR(VLOOKUP(VLOOKUP($B58, Dependencies!$B$2:$G$230, 2,FALSE),$B$14:AS$73, AS$74,FALSE),"o")=$D$4,IFERROR(VLOOKUP(VLOOKUP($B58, Dependencies!$B$2:$G$230, 3,FALSE),$B$14:AS$73, AS$74,FALSE),"o")=$D$4,IFERROR(VLOOKUP(VLOOKUP($B58, Dependencies!$B$2:$G$230, 4,FALSE),$B$14:AS$73, AS$74,FALSE),"o")=$D$4,IFERROR(VLOOKUP(VLOOKUP($B58, Dependencies!$B$2:$G$230, 5,FALSE),$B$14:AS$73, AS$74,FALSE),"o")=$D$4,IFERROR(VLOOKUP(VLOOKUP($B58, Dependencies!$B$2:$G$230, 6,FALSE),$B$14:AS$73, AS$74,FALSE),"o")=$D$4),$D$4,IF(OR(IFERROR(VLOOKUP(VLOOKUP($B58, Dependencies!$B$2:$G$230, 2,FALSE), $B$14:AS$73, AS$74,FALSE),"o")=$D$5,IFERROR(VLOOKUP(VLOOKUP($B58, Dependencies!$B$2:$G$230, 3,FALSE), $B$14:AS$73, AS$74,FALSE),"o")=$D$5,IFERROR(VLOOKUP(VLOOKUP($B58, Dependencies!$B$2:$G$230, 4,FALSE), $B$14:AS$73, AS$74,FALSE),"o")=$D$5,IFERROR(VLOOKUP(VLOOKUP($B58, Dependencies!$B$2:$G$230, 5,FALSE), $B$14:AS$73, AS$74,FALSE),"o")=$D$5,IFERROR(VLOOKUP(VLOOKUP($B58, Dependencies!$B$2:$G$230, 6,FALSE), $B$14:AS$73, AS$74,FALSE),"o")=$D$5),$D$5,AR58)))</f>
        <v>o</v>
      </c>
    </row>
    <row r="59" spans="1:45" x14ac:dyDescent="0.2">
      <c r="A59" s="40"/>
      <c r="B59" s="74" t="str">
        <f>MLEOsv2!A47</f>
        <v>MLEO_05_04</v>
      </c>
      <c r="C59" s="74">
        <f>MLEOsv2!C47</f>
        <v>6</v>
      </c>
      <c r="D59" s="44" t="str">
        <f>MLEOsv2!G47</f>
        <v>implement n:m relations Collections.</v>
      </c>
      <c r="E59" s="68" t="b">
        <f>MLEOsv2!H47</f>
        <v>0</v>
      </c>
      <c r="F59" s="94" t="s">
        <v>323</v>
      </c>
      <c r="G59" s="72" t="str">
        <f>IF(F59=$D$4,F59,IF(OR(IFERROR(VLOOKUP(VLOOKUP($B59, Dependencies!$B$2:$G$230, 2,FALSE),$B$14:G$73, G$74,FALSE),"o")=$D$4,IFERROR(VLOOKUP(VLOOKUP($B59, Dependencies!$B$2:$G$230, 3,FALSE),$B$14:G$73, G$74,FALSE),"o")=$D$4,IFERROR(VLOOKUP(VLOOKUP($B59, Dependencies!$B$2:$G$230, 4,FALSE),$B$14:G$73, G$74,FALSE),"o")=$D$4,IFERROR(VLOOKUP(VLOOKUP($B59, Dependencies!$B$2:$G$230, 5,FALSE),$B$14:G$73, G$74,FALSE),"o")=$D$4,IFERROR(VLOOKUP(VLOOKUP($B59, Dependencies!$B$2:$G$230, 6,FALSE),$B$14:G$73, G$74,FALSE),"o")=$D$4),$D$4,IF(OR(IFERROR(VLOOKUP(VLOOKUP($B59, Dependencies!$B$2:$G$230, 2,FALSE), $B$14:G$73, G$74,FALSE),"o")=$D$5,IFERROR(VLOOKUP(VLOOKUP($B59, Dependencies!$B$2:$G$230, 3,FALSE), $B$14:G$73, G$74,FALSE),"o")=$D$5,IFERROR(VLOOKUP(VLOOKUP($B59, Dependencies!$B$2:$G$230, 4,FALSE), $B$14:G$73, G$74,FALSE),"o")=$D$5,IFERROR(VLOOKUP(VLOOKUP($B59, Dependencies!$B$2:$G$230, 5,FALSE), $B$14:G$73, G$74,FALSE),"o")=$D$5,IFERROR(VLOOKUP(VLOOKUP($B59, Dependencies!$B$2:$G$230, 6,FALSE), $B$14:G$73, G$74,FALSE),"o")=$D$5),$D$5,F59)))</f>
        <v>o</v>
      </c>
      <c r="H59" s="94" t="s">
        <v>321</v>
      </c>
      <c r="I59" s="72" t="str">
        <f>IF(H59=$D$4,H59,IF(OR(IFERROR(VLOOKUP(VLOOKUP($B59, Dependencies!$B$2:$G$230, 2,FALSE),$B$14:I$73, I$74,FALSE),"o")=$D$4,IFERROR(VLOOKUP(VLOOKUP($B59, Dependencies!$B$2:$G$230, 3,FALSE),$B$14:I$73, I$74,FALSE),"o")=$D$4,IFERROR(VLOOKUP(VLOOKUP($B59, Dependencies!$B$2:$G$230, 4,FALSE),$B$14:I$73, I$74,FALSE),"o")=$D$4,IFERROR(VLOOKUP(VLOOKUP($B59, Dependencies!$B$2:$G$230, 5,FALSE),$B$14:I$73, I$74,FALSE),"o")=$D$4,IFERROR(VLOOKUP(VLOOKUP($B59, Dependencies!$B$2:$G$230, 6,FALSE),$B$14:I$73, I$74,FALSE),"o")=$D$4),$D$4,IF(OR(IFERROR(VLOOKUP(VLOOKUP($B59, Dependencies!$B$2:$G$230, 2,FALSE), $B$14:I$73, I$74,FALSE),"o")=$D$5,IFERROR(VLOOKUP(VLOOKUP($B59, Dependencies!$B$2:$G$230, 3,FALSE), $B$14:I$73, I$74,FALSE),"o")=$D$5,IFERROR(VLOOKUP(VLOOKUP($B59, Dependencies!$B$2:$G$230, 4,FALSE), $B$14:I$73, I$74,FALSE),"o")=$D$5,IFERROR(VLOOKUP(VLOOKUP($B59, Dependencies!$B$2:$G$230, 5,FALSE), $B$14:I$73, I$74,FALSE),"o")=$D$5,IFERROR(VLOOKUP(VLOOKUP($B59, Dependencies!$B$2:$G$230, 6,FALSE), $B$14:I$73, I$74,FALSE),"o")=$D$5),$D$5,H59)))</f>
        <v>pr</v>
      </c>
      <c r="J59" s="94" t="s">
        <v>320</v>
      </c>
      <c r="K59" s="72" t="str">
        <f>IF(J59=$D$4,J59,IF(OR(IFERROR(VLOOKUP(VLOOKUP($B59, Dependencies!$B$2:$G$230, 2,FALSE),$B$14:K$73, K$74,FALSE),"o")=$D$4,IFERROR(VLOOKUP(VLOOKUP($B59, Dependencies!$B$2:$G$230, 3,FALSE),$B$14:K$73, K$74,FALSE),"o")=$D$4,IFERROR(VLOOKUP(VLOOKUP($B59, Dependencies!$B$2:$G$230, 4,FALSE),$B$14:K$73, K$74,FALSE),"o")=$D$4,IFERROR(VLOOKUP(VLOOKUP($B59, Dependencies!$B$2:$G$230, 5,FALSE),$B$14:K$73, K$74,FALSE),"o")=$D$4,IFERROR(VLOOKUP(VLOOKUP($B59, Dependencies!$B$2:$G$230, 6,FALSE),$B$14:K$73, K$74,FALSE),"o")=$D$4),$D$4,IF(OR(IFERROR(VLOOKUP(VLOOKUP($B59, Dependencies!$B$2:$G$230, 2,FALSE), $B$14:K$73, K$74,FALSE),"o")=$D$5,IFERROR(VLOOKUP(VLOOKUP($B59, Dependencies!$B$2:$G$230, 3,FALSE), $B$14:K$73, K$74,FALSE),"o")=$D$5,IFERROR(VLOOKUP(VLOOKUP($B59, Dependencies!$B$2:$G$230, 4,FALSE), $B$14:K$73, K$74,FALSE),"o")=$D$5,IFERROR(VLOOKUP(VLOOKUP($B59, Dependencies!$B$2:$G$230, 5,FALSE), $B$14:K$73, K$74,FALSE),"o")=$D$5,IFERROR(VLOOKUP(VLOOKUP($B59, Dependencies!$B$2:$G$230, 6,FALSE), $B$14:K$73, K$74,FALSE),"o")=$D$5),$D$5,J59)))</f>
        <v>r</v>
      </c>
      <c r="L59" s="94" t="s">
        <v>323</v>
      </c>
      <c r="M59" s="72" t="str">
        <f>IF(L59=$D$4,L59,IF(OR(IFERROR(VLOOKUP(VLOOKUP($B59, Dependencies!$B$2:$G$230, 2,FALSE),$B$14:M$73, M$74,FALSE),"o")=$D$4,IFERROR(VLOOKUP(VLOOKUP($B59, Dependencies!$B$2:$G$230, 3,FALSE),$B$14:M$73, M$74,FALSE),"o")=$D$4,IFERROR(VLOOKUP(VLOOKUP($B59, Dependencies!$B$2:$G$230, 4,FALSE),$B$14:M$73, M$74,FALSE),"o")=$D$4,IFERROR(VLOOKUP(VLOOKUP($B59, Dependencies!$B$2:$G$230, 5,FALSE),$B$14:M$73, M$74,FALSE),"o")=$D$4,IFERROR(VLOOKUP(VLOOKUP($B59, Dependencies!$B$2:$G$230, 6,FALSE),$B$14:M$73, M$74,FALSE),"o")=$D$4),$D$4,IF(OR(IFERROR(VLOOKUP(VLOOKUP($B59, Dependencies!$B$2:$G$230, 2,FALSE), $B$14:M$73, M$74,FALSE),"o")=$D$5,IFERROR(VLOOKUP(VLOOKUP($B59, Dependencies!$B$2:$G$230, 3,FALSE), $B$14:M$73, M$74,FALSE),"o")=$D$5,IFERROR(VLOOKUP(VLOOKUP($B59, Dependencies!$B$2:$G$230, 4,FALSE), $B$14:M$73, M$74,FALSE),"o")=$D$5,IFERROR(VLOOKUP(VLOOKUP($B59, Dependencies!$B$2:$G$230, 5,FALSE), $B$14:M$73, M$74,FALSE),"o")=$D$5,IFERROR(VLOOKUP(VLOOKUP($B59, Dependencies!$B$2:$G$230, 6,FALSE), $B$14:M$73, M$74,FALSE),"o")=$D$5),$D$5,L59)))</f>
        <v>o</v>
      </c>
      <c r="N59" s="94" t="s">
        <v>323</v>
      </c>
      <c r="O59" s="72" t="str">
        <f>IF(N59=$D$4,N59,IF(OR(IFERROR(VLOOKUP(VLOOKUP($B59, Dependencies!$B$2:$G$230, 2,FALSE),$B$14:O$73, O$74,FALSE),"o")=$D$4,IFERROR(VLOOKUP(VLOOKUP($B59, Dependencies!$B$2:$G$230, 3,FALSE),$B$14:O$73, O$74,FALSE),"o")=$D$4,IFERROR(VLOOKUP(VLOOKUP($B59, Dependencies!$B$2:$G$230, 4,FALSE),$B$14:O$73, O$74,FALSE),"o")=$D$4,IFERROR(VLOOKUP(VLOOKUP($B59, Dependencies!$B$2:$G$230, 5,FALSE),$B$14:O$73, O$74,FALSE),"o")=$D$4,IFERROR(VLOOKUP(VLOOKUP($B59, Dependencies!$B$2:$G$230, 6,FALSE),$B$14:O$73, O$74,FALSE),"o")=$D$4),$D$4,IF(OR(IFERROR(VLOOKUP(VLOOKUP($B59, Dependencies!$B$2:$G$230, 2,FALSE), $B$14:O$73, O$74,FALSE),"o")=$D$5,IFERROR(VLOOKUP(VLOOKUP($B59, Dependencies!$B$2:$G$230, 3,FALSE), $B$14:O$73, O$74,FALSE),"o")=$D$5,IFERROR(VLOOKUP(VLOOKUP($B59, Dependencies!$B$2:$G$230, 4,FALSE), $B$14:O$73, O$74,FALSE),"o")=$D$5,IFERROR(VLOOKUP(VLOOKUP($B59, Dependencies!$B$2:$G$230, 5,FALSE), $B$14:O$73, O$74,FALSE),"o")=$D$5,IFERROR(VLOOKUP(VLOOKUP($B59, Dependencies!$B$2:$G$230, 6,FALSE), $B$14:O$73, O$74,FALSE),"o")=$D$5),$D$5,N59)))</f>
        <v>o</v>
      </c>
      <c r="P59" s="94" t="s">
        <v>323</v>
      </c>
      <c r="Q59" s="72" t="str">
        <f>IF(P59=$D$4,P59,IF(OR(IFERROR(VLOOKUP(VLOOKUP($B59, Dependencies!$B$2:$G$230, 2,FALSE),$B$14:Q$73, Q$74,FALSE),"o")=$D$4,IFERROR(VLOOKUP(VLOOKUP($B59, Dependencies!$B$2:$G$230, 3,FALSE),$B$14:Q$73, Q$74,FALSE),"o")=$D$4,IFERROR(VLOOKUP(VLOOKUP($B59, Dependencies!$B$2:$G$230, 4,FALSE),$B$14:Q$73, Q$74,FALSE),"o")=$D$4,IFERROR(VLOOKUP(VLOOKUP($B59, Dependencies!$B$2:$G$230, 5,FALSE),$B$14:Q$73, Q$74,FALSE),"o")=$D$4,IFERROR(VLOOKUP(VLOOKUP($B59, Dependencies!$B$2:$G$230, 6,FALSE),$B$14:Q$73, Q$74,FALSE),"o")=$D$4),$D$4,IF(OR(IFERROR(VLOOKUP(VLOOKUP($B59, Dependencies!$B$2:$G$230, 2,FALSE), $B$14:Q$73, Q$74,FALSE),"o")=$D$5,IFERROR(VLOOKUP(VLOOKUP($B59, Dependencies!$B$2:$G$230, 3,FALSE), $B$14:Q$73, Q$74,FALSE),"o")=$D$5,IFERROR(VLOOKUP(VLOOKUP($B59, Dependencies!$B$2:$G$230, 4,FALSE), $B$14:Q$73, Q$74,FALSE),"o")=$D$5,IFERROR(VLOOKUP(VLOOKUP($B59, Dependencies!$B$2:$G$230, 5,FALSE), $B$14:Q$73, Q$74,FALSE),"o")=$D$5,IFERROR(VLOOKUP(VLOOKUP($B59, Dependencies!$B$2:$G$230, 6,FALSE), $B$14:Q$73, Q$74,FALSE),"o")=$D$5),$D$5,P59)))</f>
        <v>o</v>
      </c>
      <c r="R59" s="94" t="s">
        <v>323</v>
      </c>
      <c r="S59" s="72" t="str">
        <f>IF(R59=$D$4,R59,IF(OR(IFERROR(VLOOKUP(VLOOKUP($B59, Dependencies!$B$2:$G$230, 2,FALSE),$B$14:S$73, S$74,FALSE),"o")=$D$4,IFERROR(VLOOKUP(VLOOKUP($B59, Dependencies!$B$2:$G$230, 3,FALSE),$B$14:S$73, S$74,FALSE),"o")=$D$4,IFERROR(VLOOKUP(VLOOKUP($B59, Dependencies!$B$2:$G$230, 4,FALSE),$B$14:S$73, S$74,FALSE),"o")=$D$4,IFERROR(VLOOKUP(VLOOKUP($B59, Dependencies!$B$2:$G$230, 5,FALSE),$B$14:S$73, S$74,FALSE),"o")=$D$4,IFERROR(VLOOKUP(VLOOKUP($B59, Dependencies!$B$2:$G$230, 6,FALSE),$B$14:S$73, S$74,FALSE),"o")=$D$4),$D$4,IF(OR(IFERROR(VLOOKUP(VLOOKUP($B59, Dependencies!$B$2:$G$230, 2,FALSE), $B$14:S$73, S$74,FALSE),"o")=$D$5,IFERROR(VLOOKUP(VLOOKUP($B59, Dependencies!$B$2:$G$230, 3,FALSE), $B$14:S$73, S$74,FALSE),"o")=$D$5,IFERROR(VLOOKUP(VLOOKUP($B59, Dependencies!$B$2:$G$230, 4,FALSE), $B$14:S$73, S$74,FALSE),"o")=$D$5,IFERROR(VLOOKUP(VLOOKUP($B59, Dependencies!$B$2:$G$230, 5,FALSE), $B$14:S$73, S$74,FALSE),"o")=$D$5,IFERROR(VLOOKUP(VLOOKUP($B59, Dependencies!$B$2:$G$230, 6,FALSE), $B$14:S$73, S$74,FALSE),"o")=$D$5),$D$5,R59)))</f>
        <v>o</v>
      </c>
      <c r="T59" s="94" t="s">
        <v>323</v>
      </c>
      <c r="U59" s="72" t="str">
        <f>IF(T59=$D$4,T59,IF(OR(IFERROR(VLOOKUP(VLOOKUP($B59, Dependencies!$B$2:$G$230, 2,FALSE),$B$14:U$73, U$74,FALSE),"o")=$D$4,IFERROR(VLOOKUP(VLOOKUP($B59, Dependencies!$B$2:$G$230, 3,FALSE),$B$14:U$73, U$74,FALSE),"o")=$D$4,IFERROR(VLOOKUP(VLOOKUP($B59, Dependencies!$B$2:$G$230, 4,FALSE),$B$14:U$73, U$74,FALSE),"o")=$D$4,IFERROR(VLOOKUP(VLOOKUP($B59, Dependencies!$B$2:$G$230, 5,FALSE),$B$14:U$73, U$74,FALSE),"o")=$D$4,IFERROR(VLOOKUP(VLOOKUP($B59, Dependencies!$B$2:$G$230, 6,FALSE),$B$14:U$73, U$74,FALSE),"o")=$D$4),$D$4,IF(OR(IFERROR(VLOOKUP(VLOOKUP($B59, Dependencies!$B$2:$G$230, 2,FALSE), $B$14:U$73, U$74,FALSE),"o")=$D$5,IFERROR(VLOOKUP(VLOOKUP($B59, Dependencies!$B$2:$G$230, 3,FALSE), $B$14:U$73, U$74,FALSE),"o")=$D$5,IFERROR(VLOOKUP(VLOOKUP($B59, Dependencies!$B$2:$G$230, 4,FALSE), $B$14:U$73, U$74,FALSE),"o")=$D$5,IFERROR(VLOOKUP(VLOOKUP($B59, Dependencies!$B$2:$G$230, 5,FALSE), $B$14:U$73, U$74,FALSE),"o")=$D$5,IFERROR(VLOOKUP(VLOOKUP($B59, Dependencies!$B$2:$G$230, 6,FALSE), $B$14:U$73, U$74,FALSE),"o")=$D$5),$D$5,T59)))</f>
        <v>o</v>
      </c>
      <c r="V59" s="94" t="s">
        <v>323</v>
      </c>
      <c r="W59" s="72" t="str">
        <f>IF(V59=$D$4,V59,IF(OR(IFERROR(VLOOKUP(VLOOKUP($B59, Dependencies!$B$2:$G$230, 2,FALSE),$B$14:W$73, W$74,FALSE),"o")=$D$4,IFERROR(VLOOKUP(VLOOKUP($B59, Dependencies!$B$2:$G$230, 3,FALSE),$B$14:W$73, W$74,FALSE),"o")=$D$4,IFERROR(VLOOKUP(VLOOKUP($B59, Dependencies!$B$2:$G$230, 4,FALSE),$B$14:W$73, W$74,FALSE),"o")=$D$4,IFERROR(VLOOKUP(VLOOKUP($B59, Dependencies!$B$2:$G$230, 5,FALSE),$B$14:W$73, W$74,FALSE),"o")=$D$4,IFERROR(VLOOKUP(VLOOKUP($B59, Dependencies!$B$2:$G$230, 6,FALSE),$B$14:W$73, W$74,FALSE),"o")=$D$4),$D$4,IF(OR(IFERROR(VLOOKUP(VLOOKUP($B59, Dependencies!$B$2:$G$230, 2,FALSE), $B$14:W$73, W$74,FALSE),"o")=$D$5,IFERROR(VLOOKUP(VLOOKUP($B59, Dependencies!$B$2:$G$230, 3,FALSE), $B$14:W$73, W$74,FALSE),"o")=$D$5,IFERROR(VLOOKUP(VLOOKUP($B59, Dependencies!$B$2:$G$230, 4,FALSE), $B$14:W$73, W$74,FALSE),"o")=$D$5,IFERROR(VLOOKUP(VLOOKUP($B59, Dependencies!$B$2:$G$230, 5,FALSE), $B$14:W$73, W$74,FALSE),"o")=$D$5,IFERROR(VLOOKUP(VLOOKUP($B59, Dependencies!$B$2:$G$230, 6,FALSE), $B$14:W$73, W$74,FALSE),"o")=$D$5),$D$5,V59)))</f>
        <v>o</v>
      </c>
      <c r="X59" s="94" t="s">
        <v>323</v>
      </c>
      <c r="Y59" s="72" t="str">
        <f>IF(X59=$D$4,X59,IF(OR(IFERROR(VLOOKUP(VLOOKUP($B59, Dependencies!$B$2:$G$230, 2,FALSE),$B$14:Y$73, Y$74,FALSE),"o")=$D$4,IFERROR(VLOOKUP(VLOOKUP($B59, Dependencies!$B$2:$G$230, 3,FALSE),$B$14:Y$73, Y$74,FALSE),"o")=$D$4,IFERROR(VLOOKUP(VLOOKUP($B59, Dependencies!$B$2:$G$230, 4,FALSE),$B$14:Y$73, Y$74,FALSE),"o")=$D$4,IFERROR(VLOOKUP(VLOOKUP($B59, Dependencies!$B$2:$G$230, 5,FALSE),$B$14:Y$73, Y$74,FALSE),"o")=$D$4,IFERROR(VLOOKUP(VLOOKUP($B59, Dependencies!$B$2:$G$230, 6,FALSE),$B$14:Y$73, Y$74,FALSE),"o")=$D$4),$D$4,IF(OR(IFERROR(VLOOKUP(VLOOKUP($B59, Dependencies!$B$2:$G$230, 2,FALSE), $B$14:Y$73, Y$74,FALSE),"o")=$D$5,IFERROR(VLOOKUP(VLOOKUP($B59, Dependencies!$B$2:$G$230, 3,FALSE), $B$14:Y$73, Y$74,FALSE),"o")=$D$5,IFERROR(VLOOKUP(VLOOKUP($B59, Dependencies!$B$2:$G$230, 4,FALSE), $B$14:Y$73, Y$74,FALSE),"o")=$D$5,IFERROR(VLOOKUP(VLOOKUP($B59, Dependencies!$B$2:$G$230, 5,FALSE), $B$14:Y$73, Y$74,FALSE),"o")=$D$5,IFERROR(VLOOKUP(VLOOKUP($B59, Dependencies!$B$2:$G$230, 6,FALSE), $B$14:Y$73, Y$74,FALSE),"o")=$D$5),$D$5,X59)))</f>
        <v>o</v>
      </c>
      <c r="Z59" s="94" t="s">
        <v>323</v>
      </c>
      <c r="AA59" s="72" t="str">
        <f>IF(Z59=$D$4,Z59,IF(OR(IFERROR(VLOOKUP(VLOOKUP($B59, Dependencies!$B$2:$G$230, 2,FALSE),$B$14:AA$73, AA$74,FALSE),"o")=$D$4,IFERROR(VLOOKUP(VLOOKUP($B59, Dependencies!$B$2:$G$230, 3,FALSE),$B$14:AA$73, AA$74,FALSE),"o")=$D$4,IFERROR(VLOOKUP(VLOOKUP($B59, Dependencies!$B$2:$G$230, 4,FALSE),$B$14:AA$73, AA$74,FALSE),"o")=$D$4,IFERROR(VLOOKUP(VLOOKUP($B59, Dependencies!$B$2:$G$230, 5,FALSE),$B$14:AA$73, AA$74,FALSE),"o")=$D$4,IFERROR(VLOOKUP(VLOOKUP($B59, Dependencies!$B$2:$G$230, 6,FALSE),$B$14:AA$73, AA$74,FALSE),"o")=$D$4),$D$4,IF(OR(IFERROR(VLOOKUP(VLOOKUP($B59, Dependencies!$B$2:$G$230, 2,FALSE), $B$14:AA$73, AA$74,FALSE),"o")=$D$5,IFERROR(VLOOKUP(VLOOKUP($B59, Dependencies!$B$2:$G$230, 3,FALSE), $B$14:AA$73, AA$74,FALSE),"o")=$D$5,IFERROR(VLOOKUP(VLOOKUP($B59, Dependencies!$B$2:$G$230, 4,FALSE), $B$14:AA$73, AA$74,FALSE),"o")=$D$5,IFERROR(VLOOKUP(VLOOKUP($B59, Dependencies!$B$2:$G$230, 5,FALSE), $B$14:AA$73, AA$74,FALSE),"o")=$D$5,IFERROR(VLOOKUP(VLOOKUP($B59, Dependencies!$B$2:$G$230, 6,FALSE), $B$14:AA$73, AA$74,FALSE),"o")=$D$5),$D$5,Z59)))</f>
        <v>o</v>
      </c>
      <c r="AB59" s="94" t="s">
        <v>323</v>
      </c>
      <c r="AC59" s="72" t="str">
        <f>IF(AB59=$D$4,AB59,IF(OR(IFERROR(VLOOKUP(VLOOKUP($B59, Dependencies!$B$2:$G$230, 2,FALSE),$B$14:AC$73, AC$74,FALSE),"o")=$D$4,IFERROR(VLOOKUP(VLOOKUP($B59, Dependencies!$B$2:$G$230, 3,FALSE),$B$14:AC$73, AC$74,FALSE),"o")=$D$4,IFERROR(VLOOKUP(VLOOKUP($B59, Dependencies!$B$2:$G$230, 4,FALSE),$B$14:AC$73, AC$74,FALSE),"o")=$D$4,IFERROR(VLOOKUP(VLOOKUP($B59, Dependencies!$B$2:$G$230, 5,FALSE),$B$14:AC$73, AC$74,FALSE),"o")=$D$4,IFERROR(VLOOKUP(VLOOKUP($B59, Dependencies!$B$2:$G$230, 6,FALSE),$B$14:AC$73, AC$74,FALSE),"o")=$D$4),$D$4,IF(OR(IFERROR(VLOOKUP(VLOOKUP($B59, Dependencies!$B$2:$G$230, 2,FALSE), $B$14:AC$73, AC$74,FALSE),"o")=$D$5,IFERROR(VLOOKUP(VLOOKUP($B59, Dependencies!$B$2:$G$230, 3,FALSE), $B$14:AC$73, AC$74,FALSE),"o")=$D$5,IFERROR(VLOOKUP(VLOOKUP($B59, Dependencies!$B$2:$G$230, 4,FALSE), $B$14:AC$73, AC$74,FALSE),"o")=$D$5,IFERROR(VLOOKUP(VLOOKUP($B59, Dependencies!$B$2:$G$230, 5,FALSE), $B$14:AC$73, AC$74,FALSE),"o")=$D$5,IFERROR(VLOOKUP(VLOOKUP($B59, Dependencies!$B$2:$G$230, 6,FALSE), $B$14:AC$73, AC$74,FALSE),"o")=$D$5),$D$5,AB59)))</f>
        <v>o</v>
      </c>
      <c r="AD59" s="94" t="s">
        <v>323</v>
      </c>
      <c r="AE59" s="72" t="str">
        <f>IF(AD59=$D$4,AD59,IF(OR(IFERROR(VLOOKUP(VLOOKUP($B59, Dependencies!$B$2:$G$230, 2,FALSE),$B$14:AE$73, AE$74,FALSE),"o")=$D$4,IFERROR(VLOOKUP(VLOOKUP($B59, Dependencies!$B$2:$G$230, 3,FALSE),$B$14:AE$73, AE$74,FALSE),"o")=$D$4,IFERROR(VLOOKUP(VLOOKUP($B59, Dependencies!$B$2:$G$230, 4,FALSE),$B$14:AE$73, AE$74,FALSE),"o")=$D$4,IFERROR(VLOOKUP(VLOOKUP($B59, Dependencies!$B$2:$G$230, 5,FALSE),$B$14:AE$73, AE$74,FALSE),"o")=$D$4,IFERROR(VLOOKUP(VLOOKUP($B59, Dependencies!$B$2:$G$230, 6,FALSE),$B$14:AE$73, AE$74,FALSE),"o")=$D$4),$D$4,IF(OR(IFERROR(VLOOKUP(VLOOKUP($B59, Dependencies!$B$2:$G$230, 2,FALSE), $B$14:AE$73, AE$74,FALSE),"o")=$D$5,IFERROR(VLOOKUP(VLOOKUP($B59, Dependencies!$B$2:$G$230, 3,FALSE), $B$14:AE$73, AE$74,FALSE),"o")=$D$5,IFERROR(VLOOKUP(VLOOKUP($B59, Dependencies!$B$2:$G$230, 4,FALSE), $B$14:AE$73, AE$74,FALSE),"o")=$D$5,IFERROR(VLOOKUP(VLOOKUP($B59, Dependencies!$B$2:$G$230, 5,FALSE), $B$14:AE$73, AE$74,FALSE),"o")=$D$5,IFERROR(VLOOKUP(VLOOKUP($B59, Dependencies!$B$2:$G$230, 6,FALSE), $B$14:AE$73, AE$74,FALSE),"o")=$D$5),$D$5,AD59)))</f>
        <v>o</v>
      </c>
      <c r="AF59" s="94" t="s">
        <v>323</v>
      </c>
      <c r="AG59" s="72" t="str">
        <f>IF(AF59=$D$4,AF59,IF(OR(IFERROR(VLOOKUP(VLOOKUP($B59, Dependencies!$B$2:$G$230, 2,FALSE),$B$14:AG$73, AG$74,FALSE),"o")=$D$4,IFERROR(VLOOKUP(VLOOKUP($B59, Dependencies!$B$2:$G$230, 3,FALSE),$B$14:AG$73, AG$74,FALSE),"o")=$D$4,IFERROR(VLOOKUP(VLOOKUP($B59, Dependencies!$B$2:$G$230, 4,FALSE),$B$14:AG$73, AG$74,FALSE),"o")=$D$4,IFERROR(VLOOKUP(VLOOKUP($B59, Dependencies!$B$2:$G$230, 5,FALSE),$B$14:AG$73, AG$74,FALSE),"o")=$D$4,IFERROR(VLOOKUP(VLOOKUP($B59, Dependencies!$B$2:$G$230, 6,FALSE),$B$14:AG$73, AG$74,FALSE),"o")=$D$4),$D$4,IF(OR(IFERROR(VLOOKUP(VLOOKUP($B59, Dependencies!$B$2:$G$230, 2,FALSE), $B$14:AG$73, AG$74,FALSE),"o")=$D$5,IFERROR(VLOOKUP(VLOOKUP($B59, Dependencies!$B$2:$G$230, 3,FALSE), $B$14:AG$73, AG$74,FALSE),"o")=$D$5,IFERROR(VLOOKUP(VLOOKUP($B59, Dependencies!$B$2:$G$230, 4,FALSE), $B$14:AG$73, AG$74,FALSE),"o")=$D$5,IFERROR(VLOOKUP(VLOOKUP($B59, Dependencies!$B$2:$G$230, 5,FALSE), $B$14:AG$73, AG$74,FALSE),"o")=$D$5,IFERROR(VLOOKUP(VLOOKUP($B59, Dependencies!$B$2:$G$230, 6,FALSE), $B$14:AG$73, AG$74,FALSE),"o")=$D$5),$D$5,AF59)))</f>
        <v>o</v>
      </c>
      <c r="AH59" s="94" t="s">
        <v>323</v>
      </c>
      <c r="AI59" s="72" t="str">
        <f>IF(AH59=$D$4,AH59,IF(OR(IFERROR(VLOOKUP(VLOOKUP($B59, Dependencies!$B$2:$G$230, 2,FALSE),$B$14:AI$73, AI$74,FALSE),"o")=$D$4,IFERROR(VLOOKUP(VLOOKUP($B59, Dependencies!$B$2:$G$230, 3,FALSE),$B$14:AI$73, AI$74,FALSE),"o")=$D$4,IFERROR(VLOOKUP(VLOOKUP($B59, Dependencies!$B$2:$G$230, 4,FALSE),$B$14:AI$73, AI$74,FALSE),"o")=$D$4,IFERROR(VLOOKUP(VLOOKUP($B59, Dependencies!$B$2:$G$230, 5,FALSE),$B$14:AI$73, AI$74,FALSE),"o")=$D$4,IFERROR(VLOOKUP(VLOOKUP($B59, Dependencies!$B$2:$G$230, 6,FALSE),$B$14:AI$73, AI$74,FALSE),"o")=$D$4),$D$4,IF(OR(IFERROR(VLOOKUP(VLOOKUP($B59, Dependencies!$B$2:$G$230, 2,FALSE), $B$14:AI$73, AI$74,FALSE),"o")=$D$5,IFERROR(VLOOKUP(VLOOKUP($B59, Dependencies!$B$2:$G$230, 3,FALSE), $B$14:AI$73, AI$74,FALSE),"o")=$D$5,IFERROR(VLOOKUP(VLOOKUP($B59, Dependencies!$B$2:$G$230, 4,FALSE), $B$14:AI$73, AI$74,FALSE),"o")=$D$5,IFERROR(VLOOKUP(VLOOKUP($B59, Dependencies!$B$2:$G$230, 5,FALSE), $B$14:AI$73, AI$74,FALSE),"o")=$D$5,IFERROR(VLOOKUP(VLOOKUP($B59, Dependencies!$B$2:$G$230, 6,FALSE), $B$14:AI$73, AI$74,FALSE),"o")=$D$5),$D$5,AH59)))</f>
        <v>o</v>
      </c>
      <c r="AJ59" s="94" t="s">
        <v>323</v>
      </c>
      <c r="AK59" s="72" t="str">
        <f>IF(AJ59=$D$4,AJ59,IF(OR(IFERROR(VLOOKUP(VLOOKUP($B59, Dependencies!$B$2:$G$230, 2,FALSE),$B$14:AK$73, AK$74,FALSE),"o")=$D$4,IFERROR(VLOOKUP(VLOOKUP($B59, Dependencies!$B$2:$G$230, 3,FALSE),$B$14:AK$73, AK$74,FALSE),"o")=$D$4,IFERROR(VLOOKUP(VLOOKUP($B59, Dependencies!$B$2:$G$230, 4,FALSE),$B$14:AK$73, AK$74,FALSE),"o")=$D$4,IFERROR(VLOOKUP(VLOOKUP($B59, Dependencies!$B$2:$G$230, 5,FALSE),$B$14:AK$73, AK$74,FALSE),"o")=$D$4,IFERROR(VLOOKUP(VLOOKUP($B59, Dependencies!$B$2:$G$230, 6,FALSE),$B$14:AK$73, AK$74,FALSE),"o")=$D$4),$D$4,IF(OR(IFERROR(VLOOKUP(VLOOKUP($B59, Dependencies!$B$2:$G$230, 2,FALSE), $B$14:AK$73, AK$74,FALSE),"o")=$D$5,IFERROR(VLOOKUP(VLOOKUP($B59, Dependencies!$B$2:$G$230, 3,FALSE), $B$14:AK$73, AK$74,FALSE),"o")=$D$5,IFERROR(VLOOKUP(VLOOKUP($B59, Dependencies!$B$2:$G$230, 4,FALSE), $B$14:AK$73, AK$74,FALSE),"o")=$D$5,IFERROR(VLOOKUP(VLOOKUP($B59, Dependencies!$B$2:$G$230, 5,FALSE), $B$14:AK$73, AK$74,FALSE),"o")=$D$5,IFERROR(VLOOKUP(VLOOKUP($B59, Dependencies!$B$2:$G$230, 6,FALSE), $B$14:AK$73, AK$74,FALSE),"o")=$D$5),$D$5,AJ59)))</f>
        <v>o</v>
      </c>
      <c r="AL59" s="94" t="s">
        <v>323</v>
      </c>
      <c r="AM59" s="72" t="str">
        <f>IF(AL59=$D$4,AL59,IF(OR(IFERROR(VLOOKUP(VLOOKUP($B59, Dependencies!$B$2:$G$230, 2,FALSE),$B$14:AM$73, AM$74,FALSE),"o")=$D$4,IFERROR(VLOOKUP(VLOOKUP($B59, Dependencies!$B$2:$G$230, 3,FALSE),$B$14:AM$73, AM$74,FALSE),"o")=$D$4,IFERROR(VLOOKUP(VLOOKUP($B59, Dependencies!$B$2:$G$230, 4,FALSE),$B$14:AM$73, AM$74,FALSE),"o")=$D$4,IFERROR(VLOOKUP(VLOOKUP($B59, Dependencies!$B$2:$G$230, 5,FALSE),$B$14:AM$73, AM$74,FALSE),"o")=$D$4,IFERROR(VLOOKUP(VLOOKUP($B59, Dependencies!$B$2:$G$230, 6,FALSE),$B$14:AM$73, AM$74,FALSE),"o")=$D$4),$D$4,IF(OR(IFERROR(VLOOKUP(VLOOKUP($B59, Dependencies!$B$2:$G$230, 2,FALSE), $B$14:AM$73, AM$74,FALSE),"o")=$D$5,IFERROR(VLOOKUP(VLOOKUP($B59, Dependencies!$B$2:$G$230, 3,FALSE), $B$14:AM$73, AM$74,FALSE),"o")=$D$5,IFERROR(VLOOKUP(VLOOKUP($B59, Dependencies!$B$2:$G$230, 4,FALSE), $B$14:AM$73, AM$74,FALSE),"o")=$D$5,IFERROR(VLOOKUP(VLOOKUP($B59, Dependencies!$B$2:$G$230, 5,FALSE), $B$14:AM$73, AM$74,FALSE),"o")=$D$5,IFERROR(VLOOKUP(VLOOKUP($B59, Dependencies!$B$2:$G$230, 6,FALSE), $B$14:AM$73, AM$74,FALSE),"o")=$D$5),$D$5,AL59)))</f>
        <v>o</v>
      </c>
      <c r="AN59" s="94" t="s">
        <v>323</v>
      </c>
      <c r="AO59" s="72" t="str">
        <f>IF(AN59=$D$4,AN59,IF(OR(IFERROR(VLOOKUP(VLOOKUP($B59, Dependencies!$B$2:$G$230, 2,FALSE),$B$14:AO$73, AO$74,FALSE),"o")=$D$4,IFERROR(VLOOKUP(VLOOKUP($B59, Dependencies!$B$2:$G$230, 3,FALSE),$B$14:AO$73, AO$74,FALSE),"o")=$D$4,IFERROR(VLOOKUP(VLOOKUP($B59, Dependencies!$B$2:$G$230, 4,FALSE),$B$14:AO$73, AO$74,FALSE),"o")=$D$4,IFERROR(VLOOKUP(VLOOKUP($B59, Dependencies!$B$2:$G$230, 5,FALSE),$B$14:AO$73, AO$74,FALSE),"o")=$D$4,IFERROR(VLOOKUP(VLOOKUP($B59, Dependencies!$B$2:$G$230, 6,FALSE),$B$14:AO$73, AO$74,FALSE),"o")=$D$4),$D$4,IF(OR(IFERROR(VLOOKUP(VLOOKUP($B59, Dependencies!$B$2:$G$230, 2,FALSE), $B$14:AO$73, AO$74,FALSE),"o")=$D$5,IFERROR(VLOOKUP(VLOOKUP($B59, Dependencies!$B$2:$G$230, 3,FALSE), $B$14:AO$73, AO$74,FALSE),"o")=$D$5,IFERROR(VLOOKUP(VLOOKUP($B59, Dependencies!$B$2:$G$230, 4,FALSE), $B$14:AO$73, AO$74,FALSE),"o")=$D$5,IFERROR(VLOOKUP(VLOOKUP($B59, Dependencies!$B$2:$G$230, 5,FALSE), $B$14:AO$73, AO$74,FALSE),"o")=$D$5,IFERROR(VLOOKUP(VLOOKUP($B59, Dependencies!$B$2:$G$230, 6,FALSE), $B$14:AO$73, AO$74,FALSE),"o")=$D$5),$D$5,AN59)))</f>
        <v>o</v>
      </c>
      <c r="AP59" s="94" t="s">
        <v>323</v>
      </c>
      <c r="AQ59" s="72" t="str">
        <f>IF(AP59=$D$4,AP59,IF(OR(IFERROR(VLOOKUP(VLOOKUP($B59, Dependencies!$B$2:$G$230, 2,FALSE),$B$14:AQ$73, AQ$74,FALSE),"o")=$D$4,IFERROR(VLOOKUP(VLOOKUP($B59, Dependencies!$B$2:$G$230, 3,FALSE),$B$14:AQ$73, AQ$74,FALSE),"o")=$D$4,IFERROR(VLOOKUP(VLOOKUP($B59, Dependencies!$B$2:$G$230, 4,FALSE),$B$14:AQ$73, AQ$74,FALSE),"o")=$D$4,IFERROR(VLOOKUP(VLOOKUP($B59, Dependencies!$B$2:$G$230, 5,FALSE),$B$14:AQ$73, AQ$74,FALSE),"o")=$D$4,IFERROR(VLOOKUP(VLOOKUP($B59, Dependencies!$B$2:$G$230, 6,FALSE),$B$14:AQ$73, AQ$74,FALSE),"o")=$D$4),$D$4,IF(OR(IFERROR(VLOOKUP(VLOOKUP($B59, Dependencies!$B$2:$G$230, 2,FALSE), $B$14:AQ$73, AQ$74,FALSE),"o")=$D$5,IFERROR(VLOOKUP(VLOOKUP($B59, Dependencies!$B$2:$G$230, 3,FALSE), $B$14:AQ$73, AQ$74,FALSE),"o")=$D$5,IFERROR(VLOOKUP(VLOOKUP($B59, Dependencies!$B$2:$G$230, 4,FALSE), $B$14:AQ$73, AQ$74,FALSE),"o")=$D$5,IFERROR(VLOOKUP(VLOOKUP($B59, Dependencies!$B$2:$G$230, 5,FALSE), $B$14:AQ$73, AQ$74,FALSE),"o")=$D$5,IFERROR(VLOOKUP(VLOOKUP($B59, Dependencies!$B$2:$G$230, 6,FALSE), $B$14:AQ$73, AQ$74,FALSE),"o")=$D$5),$D$5,AP59)))</f>
        <v>o</v>
      </c>
      <c r="AR59" s="94" t="s">
        <v>323</v>
      </c>
      <c r="AS59" s="71" t="str">
        <f>IF(AR59=$D$4,AR59,IF(OR(IFERROR(VLOOKUP(VLOOKUP($B59, Dependencies!$B$2:$G$230, 2,FALSE),$B$14:AS$73, AS$74,FALSE),"o")=$D$4,IFERROR(VLOOKUP(VLOOKUP($B59, Dependencies!$B$2:$G$230, 3,FALSE),$B$14:AS$73, AS$74,FALSE),"o")=$D$4,IFERROR(VLOOKUP(VLOOKUP($B59, Dependencies!$B$2:$G$230, 4,FALSE),$B$14:AS$73, AS$74,FALSE),"o")=$D$4,IFERROR(VLOOKUP(VLOOKUP($B59, Dependencies!$B$2:$G$230, 5,FALSE),$B$14:AS$73, AS$74,FALSE),"o")=$D$4,IFERROR(VLOOKUP(VLOOKUP($B59, Dependencies!$B$2:$G$230, 6,FALSE),$B$14:AS$73, AS$74,FALSE),"o")=$D$4),$D$4,IF(OR(IFERROR(VLOOKUP(VLOOKUP($B59, Dependencies!$B$2:$G$230, 2,FALSE), $B$14:AS$73, AS$74,FALSE),"o")=$D$5,IFERROR(VLOOKUP(VLOOKUP($B59, Dependencies!$B$2:$G$230, 3,FALSE), $B$14:AS$73, AS$74,FALSE),"o")=$D$5,IFERROR(VLOOKUP(VLOOKUP($B59, Dependencies!$B$2:$G$230, 4,FALSE), $B$14:AS$73, AS$74,FALSE),"o")=$D$5,IFERROR(VLOOKUP(VLOOKUP($B59, Dependencies!$B$2:$G$230, 5,FALSE), $B$14:AS$73, AS$74,FALSE),"o")=$D$5,IFERROR(VLOOKUP(VLOOKUP($B59, Dependencies!$B$2:$G$230, 6,FALSE), $B$14:AS$73, AS$74,FALSE),"o")=$D$5),$D$5,AR59)))</f>
        <v>o</v>
      </c>
    </row>
    <row r="60" spans="1:45" x14ac:dyDescent="0.2">
      <c r="A60" s="40"/>
      <c r="B60" s="73" t="str">
        <f>MLEOsv2!A48</f>
        <v>MLEO_05_05</v>
      </c>
      <c r="C60" s="73">
        <f>MLEOsv2!C48</f>
        <v>6</v>
      </c>
      <c r="D60" s="42" t="str">
        <f>MLEOsv2!G48</f>
        <v>use streams, lambdas and method references to work with collections.</v>
      </c>
      <c r="E60" s="51" t="b">
        <f>MLEOsv2!H48</f>
        <v>0</v>
      </c>
      <c r="F60" s="93" t="s">
        <v>323</v>
      </c>
      <c r="G60" s="70" t="str">
        <f>IF(F60=$D$4,F60,IF(OR(IFERROR(VLOOKUP(VLOOKUP($B60, Dependencies!$B$2:$G$230, 2,FALSE),$B$14:G$73, G$74,FALSE),"o")=$D$4,IFERROR(VLOOKUP(VLOOKUP($B60, Dependencies!$B$2:$G$230, 3,FALSE),$B$14:G$73, G$74,FALSE),"o")=$D$4,IFERROR(VLOOKUP(VLOOKUP($B60, Dependencies!$B$2:$G$230, 4,FALSE),$B$14:G$73, G$74,FALSE),"o")=$D$4,IFERROR(VLOOKUP(VLOOKUP($B60, Dependencies!$B$2:$G$230, 5,FALSE),$B$14:G$73, G$74,FALSE),"o")=$D$4,IFERROR(VLOOKUP(VLOOKUP($B60, Dependencies!$B$2:$G$230, 6,FALSE),$B$14:G$73, G$74,FALSE),"o")=$D$4),$D$4,IF(OR(IFERROR(VLOOKUP(VLOOKUP($B60, Dependencies!$B$2:$G$230, 2,FALSE), $B$14:G$73, G$74,FALSE),"o")=$D$5,IFERROR(VLOOKUP(VLOOKUP($B60, Dependencies!$B$2:$G$230, 3,FALSE), $B$14:G$73, G$74,FALSE),"o")=$D$5,IFERROR(VLOOKUP(VLOOKUP($B60, Dependencies!$B$2:$G$230, 4,FALSE), $B$14:G$73, G$74,FALSE),"o")=$D$5,IFERROR(VLOOKUP(VLOOKUP($B60, Dependencies!$B$2:$G$230, 5,FALSE), $B$14:G$73, G$74,FALSE),"o")=$D$5,IFERROR(VLOOKUP(VLOOKUP($B60, Dependencies!$B$2:$G$230, 6,FALSE), $B$14:G$73, G$74,FALSE),"o")=$D$5),$D$5,F60)))</f>
        <v>o</v>
      </c>
      <c r="H60" s="93" t="s">
        <v>321</v>
      </c>
      <c r="I60" s="70" t="str">
        <f>IF(H60=$D$4,H60,IF(OR(IFERROR(VLOOKUP(VLOOKUP($B60, Dependencies!$B$2:$G$230, 2,FALSE),$B$14:I$73, I$74,FALSE),"o")=$D$4,IFERROR(VLOOKUP(VLOOKUP($B60, Dependencies!$B$2:$G$230, 3,FALSE),$B$14:I$73, I$74,FALSE),"o")=$D$4,IFERROR(VLOOKUP(VLOOKUP($B60, Dependencies!$B$2:$G$230, 4,FALSE),$B$14:I$73, I$74,FALSE),"o")=$D$4,IFERROR(VLOOKUP(VLOOKUP($B60, Dependencies!$B$2:$G$230, 5,FALSE),$B$14:I$73, I$74,FALSE),"o")=$D$4,IFERROR(VLOOKUP(VLOOKUP($B60, Dependencies!$B$2:$G$230, 6,FALSE),$B$14:I$73, I$74,FALSE),"o")=$D$4),$D$4,IF(OR(IFERROR(VLOOKUP(VLOOKUP($B60, Dependencies!$B$2:$G$230, 2,FALSE), $B$14:I$73, I$74,FALSE),"o")=$D$5,IFERROR(VLOOKUP(VLOOKUP($B60, Dependencies!$B$2:$G$230, 3,FALSE), $B$14:I$73, I$74,FALSE),"o")=$D$5,IFERROR(VLOOKUP(VLOOKUP($B60, Dependencies!$B$2:$G$230, 4,FALSE), $B$14:I$73, I$74,FALSE),"o")=$D$5,IFERROR(VLOOKUP(VLOOKUP($B60, Dependencies!$B$2:$G$230, 5,FALSE), $B$14:I$73, I$74,FALSE),"o")=$D$5,IFERROR(VLOOKUP(VLOOKUP($B60, Dependencies!$B$2:$G$230, 6,FALSE), $B$14:I$73, I$74,FALSE),"o")=$D$5),$D$5,H60)))</f>
        <v>pr</v>
      </c>
      <c r="J60" s="93" t="s">
        <v>323</v>
      </c>
      <c r="K60" s="70" t="str">
        <f>IF(J60=$D$4,J60,IF(OR(IFERROR(VLOOKUP(VLOOKUP($B60, Dependencies!$B$2:$G$230, 2,FALSE),$B$14:K$73, K$74,FALSE),"o")=$D$4,IFERROR(VLOOKUP(VLOOKUP($B60, Dependencies!$B$2:$G$230, 3,FALSE),$B$14:K$73, K$74,FALSE),"o")=$D$4,IFERROR(VLOOKUP(VLOOKUP($B60, Dependencies!$B$2:$G$230, 4,FALSE),$B$14:K$73, K$74,FALSE),"o")=$D$4,IFERROR(VLOOKUP(VLOOKUP($B60, Dependencies!$B$2:$G$230, 5,FALSE),$B$14:K$73, K$74,FALSE),"o")=$D$4,IFERROR(VLOOKUP(VLOOKUP($B60, Dependencies!$B$2:$G$230, 6,FALSE),$B$14:K$73, K$74,FALSE),"o")=$D$4),$D$4,IF(OR(IFERROR(VLOOKUP(VLOOKUP($B60, Dependencies!$B$2:$G$230, 2,FALSE), $B$14:K$73, K$74,FALSE),"o")=$D$5,IFERROR(VLOOKUP(VLOOKUP($B60, Dependencies!$B$2:$G$230, 3,FALSE), $B$14:K$73, K$74,FALSE),"o")=$D$5,IFERROR(VLOOKUP(VLOOKUP($B60, Dependencies!$B$2:$G$230, 4,FALSE), $B$14:K$73, K$74,FALSE),"o")=$D$5,IFERROR(VLOOKUP(VLOOKUP($B60, Dependencies!$B$2:$G$230, 5,FALSE), $B$14:K$73, K$74,FALSE),"o")=$D$5,IFERROR(VLOOKUP(VLOOKUP($B60, Dependencies!$B$2:$G$230, 6,FALSE), $B$14:K$73, K$74,FALSE),"o")=$D$5),$D$5,J60)))</f>
        <v>o</v>
      </c>
      <c r="L60" s="93" t="s">
        <v>323</v>
      </c>
      <c r="M60" s="70" t="str">
        <f>IF(L60=$D$4,L60,IF(OR(IFERROR(VLOOKUP(VLOOKUP($B60, Dependencies!$B$2:$G$230, 2,FALSE),$B$14:M$73, M$74,FALSE),"o")=$D$4,IFERROR(VLOOKUP(VLOOKUP($B60, Dependencies!$B$2:$G$230, 3,FALSE),$B$14:M$73, M$74,FALSE),"o")=$D$4,IFERROR(VLOOKUP(VLOOKUP($B60, Dependencies!$B$2:$G$230, 4,FALSE),$B$14:M$73, M$74,FALSE),"o")=$D$4,IFERROR(VLOOKUP(VLOOKUP($B60, Dependencies!$B$2:$G$230, 5,FALSE),$B$14:M$73, M$74,FALSE),"o")=$D$4,IFERROR(VLOOKUP(VLOOKUP($B60, Dependencies!$B$2:$G$230, 6,FALSE),$B$14:M$73, M$74,FALSE),"o")=$D$4),$D$4,IF(OR(IFERROR(VLOOKUP(VLOOKUP($B60, Dependencies!$B$2:$G$230, 2,FALSE), $B$14:M$73, M$74,FALSE),"o")=$D$5,IFERROR(VLOOKUP(VLOOKUP($B60, Dependencies!$B$2:$G$230, 3,FALSE), $B$14:M$73, M$74,FALSE),"o")=$D$5,IFERROR(VLOOKUP(VLOOKUP($B60, Dependencies!$B$2:$G$230, 4,FALSE), $B$14:M$73, M$74,FALSE),"o")=$D$5,IFERROR(VLOOKUP(VLOOKUP($B60, Dependencies!$B$2:$G$230, 5,FALSE), $B$14:M$73, M$74,FALSE),"o")=$D$5,IFERROR(VLOOKUP(VLOOKUP($B60, Dependencies!$B$2:$G$230, 6,FALSE), $B$14:M$73, M$74,FALSE),"o")=$D$5),$D$5,L60)))</f>
        <v>o</v>
      </c>
      <c r="N60" s="93" t="s">
        <v>323</v>
      </c>
      <c r="O60" s="70" t="str">
        <f>IF(N60=$D$4,N60,IF(OR(IFERROR(VLOOKUP(VLOOKUP($B60, Dependencies!$B$2:$G$230, 2,FALSE),$B$14:O$73, O$74,FALSE),"o")=$D$4,IFERROR(VLOOKUP(VLOOKUP($B60, Dependencies!$B$2:$G$230, 3,FALSE),$B$14:O$73, O$74,FALSE),"o")=$D$4,IFERROR(VLOOKUP(VLOOKUP($B60, Dependencies!$B$2:$G$230, 4,FALSE),$B$14:O$73, O$74,FALSE),"o")=$D$4,IFERROR(VLOOKUP(VLOOKUP($B60, Dependencies!$B$2:$G$230, 5,FALSE),$B$14:O$73, O$74,FALSE),"o")=$D$4,IFERROR(VLOOKUP(VLOOKUP($B60, Dependencies!$B$2:$G$230, 6,FALSE),$B$14:O$73, O$74,FALSE),"o")=$D$4),$D$4,IF(OR(IFERROR(VLOOKUP(VLOOKUP($B60, Dependencies!$B$2:$G$230, 2,FALSE), $B$14:O$73, O$74,FALSE),"o")=$D$5,IFERROR(VLOOKUP(VLOOKUP($B60, Dependencies!$B$2:$G$230, 3,FALSE), $B$14:O$73, O$74,FALSE),"o")=$D$5,IFERROR(VLOOKUP(VLOOKUP($B60, Dependencies!$B$2:$G$230, 4,FALSE), $B$14:O$73, O$74,FALSE),"o")=$D$5,IFERROR(VLOOKUP(VLOOKUP($B60, Dependencies!$B$2:$G$230, 5,FALSE), $B$14:O$73, O$74,FALSE),"o")=$D$5,IFERROR(VLOOKUP(VLOOKUP($B60, Dependencies!$B$2:$G$230, 6,FALSE), $B$14:O$73, O$74,FALSE),"o")=$D$5),$D$5,N60)))</f>
        <v>o</v>
      </c>
      <c r="P60" s="93" t="s">
        <v>323</v>
      </c>
      <c r="Q60" s="70" t="str">
        <f>IF(P60=$D$4,P60,IF(OR(IFERROR(VLOOKUP(VLOOKUP($B60, Dependencies!$B$2:$G$230, 2,FALSE),$B$14:Q$73, Q$74,FALSE),"o")=$D$4,IFERROR(VLOOKUP(VLOOKUP($B60, Dependencies!$B$2:$G$230, 3,FALSE),$B$14:Q$73, Q$74,FALSE),"o")=$D$4,IFERROR(VLOOKUP(VLOOKUP($B60, Dependencies!$B$2:$G$230, 4,FALSE),$B$14:Q$73, Q$74,FALSE),"o")=$D$4,IFERROR(VLOOKUP(VLOOKUP($B60, Dependencies!$B$2:$G$230, 5,FALSE),$B$14:Q$73, Q$74,FALSE),"o")=$D$4,IFERROR(VLOOKUP(VLOOKUP($B60, Dependencies!$B$2:$G$230, 6,FALSE),$B$14:Q$73, Q$74,FALSE),"o")=$D$4),$D$4,IF(OR(IFERROR(VLOOKUP(VLOOKUP($B60, Dependencies!$B$2:$G$230, 2,FALSE), $B$14:Q$73, Q$74,FALSE),"o")=$D$5,IFERROR(VLOOKUP(VLOOKUP($B60, Dependencies!$B$2:$G$230, 3,FALSE), $B$14:Q$73, Q$74,FALSE),"o")=$D$5,IFERROR(VLOOKUP(VLOOKUP($B60, Dependencies!$B$2:$G$230, 4,FALSE), $B$14:Q$73, Q$74,FALSE),"o")=$D$5,IFERROR(VLOOKUP(VLOOKUP($B60, Dependencies!$B$2:$G$230, 5,FALSE), $B$14:Q$73, Q$74,FALSE),"o")=$D$5,IFERROR(VLOOKUP(VLOOKUP($B60, Dependencies!$B$2:$G$230, 6,FALSE), $B$14:Q$73, Q$74,FALSE),"o")=$D$5),$D$5,P60)))</f>
        <v>o</v>
      </c>
      <c r="R60" s="93" t="s">
        <v>323</v>
      </c>
      <c r="S60" s="70" t="str">
        <f>IF(R60=$D$4,R60,IF(OR(IFERROR(VLOOKUP(VLOOKUP($B60, Dependencies!$B$2:$G$230, 2,FALSE),$B$14:S$73, S$74,FALSE),"o")=$D$4,IFERROR(VLOOKUP(VLOOKUP($B60, Dependencies!$B$2:$G$230, 3,FALSE),$B$14:S$73, S$74,FALSE),"o")=$D$4,IFERROR(VLOOKUP(VLOOKUP($B60, Dependencies!$B$2:$G$230, 4,FALSE),$B$14:S$73, S$74,FALSE),"o")=$D$4,IFERROR(VLOOKUP(VLOOKUP($B60, Dependencies!$B$2:$G$230, 5,FALSE),$B$14:S$73, S$74,FALSE),"o")=$D$4,IFERROR(VLOOKUP(VLOOKUP($B60, Dependencies!$B$2:$G$230, 6,FALSE),$B$14:S$73, S$74,FALSE),"o")=$D$4),$D$4,IF(OR(IFERROR(VLOOKUP(VLOOKUP($B60, Dependencies!$B$2:$G$230, 2,FALSE), $B$14:S$73, S$74,FALSE),"o")=$D$5,IFERROR(VLOOKUP(VLOOKUP($B60, Dependencies!$B$2:$G$230, 3,FALSE), $B$14:S$73, S$74,FALSE),"o")=$D$5,IFERROR(VLOOKUP(VLOOKUP($B60, Dependencies!$B$2:$G$230, 4,FALSE), $B$14:S$73, S$74,FALSE),"o")=$D$5,IFERROR(VLOOKUP(VLOOKUP($B60, Dependencies!$B$2:$G$230, 5,FALSE), $B$14:S$73, S$74,FALSE),"o")=$D$5,IFERROR(VLOOKUP(VLOOKUP($B60, Dependencies!$B$2:$G$230, 6,FALSE), $B$14:S$73, S$74,FALSE),"o")=$D$5),$D$5,R60)))</f>
        <v>o</v>
      </c>
      <c r="T60" s="93" t="s">
        <v>323</v>
      </c>
      <c r="U60" s="70" t="str">
        <f>IF(T60=$D$4,T60,IF(OR(IFERROR(VLOOKUP(VLOOKUP($B60, Dependencies!$B$2:$G$230, 2,FALSE),$B$14:U$73, U$74,FALSE),"o")=$D$4,IFERROR(VLOOKUP(VLOOKUP($B60, Dependencies!$B$2:$G$230, 3,FALSE),$B$14:U$73, U$74,FALSE),"o")=$D$4,IFERROR(VLOOKUP(VLOOKUP($B60, Dependencies!$B$2:$G$230, 4,FALSE),$B$14:U$73, U$74,FALSE),"o")=$D$4,IFERROR(VLOOKUP(VLOOKUP($B60, Dependencies!$B$2:$G$230, 5,FALSE),$B$14:U$73, U$74,FALSE),"o")=$D$4,IFERROR(VLOOKUP(VLOOKUP($B60, Dependencies!$B$2:$G$230, 6,FALSE),$B$14:U$73, U$74,FALSE),"o")=$D$4),$D$4,IF(OR(IFERROR(VLOOKUP(VLOOKUP($B60, Dependencies!$B$2:$G$230, 2,FALSE), $B$14:U$73, U$74,FALSE),"o")=$D$5,IFERROR(VLOOKUP(VLOOKUP($B60, Dependencies!$B$2:$G$230, 3,FALSE), $B$14:U$73, U$74,FALSE),"o")=$D$5,IFERROR(VLOOKUP(VLOOKUP($B60, Dependencies!$B$2:$G$230, 4,FALSE), $B$14:U$73, U$74,FALSE),"o")=$D$5,IFERROR(VLOOKUP(VLOOKUP($B60, Dependencies!$B$2:$G$230, 5,FALSE), $B$14:U$73, U$74,FALSE),"o")=$D$5,IFERROR(VLOOKUP(VLOOKUP($B60, Dependencies!$B$2:$G$230, 6,FALSE), $B$14:U$73, U$74,FALSE),"o")=$D$5),$D$5,T60)))</f>
        <v>o</v>
      </c>
      <c r="V60" s="93" t="s">
        <v>323</v>
      </c>
      <c r="W60" s="70" t="str">
        <f>IF(V60=$D$4,V60,IF(OR(IFERROR(VLOOKUP(VLOOKUP($B60, Dependencies!$B$2:$G$230, 2,FALSE),$B$14:W$73, W$74,FALSE),"o")=$D$4,IFERROR(VLOOKUP(VLOOKUP($B60, Dependencies!$B$2:$G$230, 3,FALSE),$B$14:W$73, W$74,FALSE),"o")=$D$4,IFERROR(VLOOKUP(VLOOKUP($B60, Dependencies!$B$2:$G$230, 4,FALSE),$B$14:W$73, W$74,FALSE),"o")=$D$4,IFERROR(VLOOKUP(VLOOKUP($B60, Dependencies!$B$2:$G$230, 5,FALSE),$B$14:W$73, W$74,FALSE),"o")=$D$4,IFERROR(VLOOKUP(VLOOKUP($B60, Dependencies!$B$2:$G$230, 6,FALSE),$B$14:W$73, W$74,FALSE),"o")=$D$4),$D$4,IF(OR(IFERROR(VLOOKUP(VLOOKUP($B60, Dependencies!$B$2:$G$230, 2,FALSE), $B$14:W$73, W$74,FALSE),"o")=$D$5,IFERROR(VLOOKUP(VLOOKUP($B60, Dependencies!$B$2:$G$230, 3,FALSE), $B$14:W$73, W$74,FALSE),"o")=$D$5,IFERROR(VLOOKUP(VLOOKUP($B60, Dependencies!$B$2:$G$230, 4,FALSE), $B$14:W$73, W$74,FALSE),"o")=$D$5,IFERROR(VLOOKUP(VLOOKUP($B60, Dependencies!$B$2:$G$230, 5,FALSE), $B$14:W$73, W$74,FALSE),"o")=$D$5,IFERROR(VLOOKUP(VLOOKUP($B60, Dependencies!$B$2:$G$230, 6,FALSE), $B$14:W$73, W$74,FALSE),"o")=$D$5),$D$5,V60)))</f>
        <v>o</v>
      </c>
      <c r="X60" s="93" t="s">
        <v>323</v>
      </c>
      <c r="Y60" s="70" t="str">
        <f>IF(X60=$D$4,X60,IF(OR(IFERROR(VLOOKUP(VLOOKUP($B60, Dependencies!$B$2:$G$230, 2,FALSE),$B$14:Y$73, Y$74,FALSE),"o")=$D$4,IFERROR(VLOOKUP(VLOOKUP($B60, Dependencies!$B$2:$G$230, 3,FALSE),$B$14:Y$73, Y$74,FALSE),"o")=$D$4,IFERROR(VLOOKUP(VLOOKUP($B60, Dependencies!$B$2:$G$230, 4,FALSE),$B$14:Y$73, Y$74,FALSE),"o")=$D$4,IFERROR(VLOOKUP(VLOOKUP($B60, Dependencies!$B$2:$G$230, 5,FALSE),$B$14:Y$73, Y$74,FALSE),"o")=$D$4,IFERROR(VLOOKUP(VLOOKUP($B60, Dependencies!$B$2:$G$230, 6,FALSE),$B$14:Y$73, Y$74,FALSE),"o")=$D$4),$D$4,IF(OR(IFERROR(VLOOKUP(VLOOKUP($B60, Dependencies!$B$2:$G$230, 2,FALSE), $B$14:Y$73, Y$74,FALSE),"o")=$D$5,IFERROR(VLOOKUP(VLOOKUP($B60, Dependencies!$B$2:$G$230, 3,FALSE), $B$14:Y$73, Y$74,FALSE),"o")=$D$5,IFERROR(VLOOKUP(VLOOKUP($B60, Dependencies!$B$2:$G$230, 4,FALSE), $B$14:Y$73, Y$74,FALSE),"o")=$D$5,IFERROR(VLOOKUP(VLOOKUP($B60, Dependencies!$B$2:$G$230, 5,FALSE), $B$14:Y$73, Y$74,FALSE),"o")=$D$5,IFERROR(VLOOKUP(VLOOKUP($B60, Dependencies!$B$2:$G$230, 6,FALSE), $B$14:Y$73, Y$74,FALSE),"o")=$D$5),$D$5,X60)))</f>
        <v>o</v>
      </c>
      <c r="Z60" s="93" t="s">
        <v>323</v>
      </c>
      <c r="AA60" s="70" t="str">
        <f>IF(Z60=$D$4,Z60,IF(OR(IFERROR(VLOOKUP(VLOOKUP($B60, Dependencies!$B$2:$G$230, 2,FALSE),$B$14:AA$73, AA$74,FALSE),"o")=$D$4,IFERROR(VLOOKUP(VLOOKUP($B60, Dependencies!$B$2:$G$230, 3,FALSE),$B$14:AA$73, AA$74,FALSE),"o")=$D$4,IFERROR(VLOOKUP(VLOOKUP($B60, Dependencies!$B$2:$G$230, 4,FALSE),$B$14:AA$73, AA$74,FALSE),"o")=$D$4,IFERROR(VLOOKUP(VLOOKUP($B60, Dependencies!$B$2:$G$230, 5,FALSE),$B$14:AA$73, AA$74,FALSE),"o")=$D$4,IFERROR(VLOOKUP(VLOOKUP($B60, Dependencies!$B$2:$G$230, 6,FALSE),$B$14:AA$73, AA$74,FALSE),"o")=$D$4),$D$4,IF(OR(IFERROR(VLOOKUP(VLOOKUP($B60, Dependencies!$B$2:$G$230, 2,FALSE), $B$14:AA$73, AA$74,FALSE),"o")=$D$5,IFERROR(VLOOKUP(VLOOKUP($B60, Dependencies!$B$2:$G$230, 3,FALSE), $B$14:AA$73, AA$74,FALSE),"o")=$D$5,IFERROR(VLOOKUP(VLOOKUP($B60, Dependencies!$B$2:$G$230, 4,FALSE), $B$14:AA$73, AA$74,FALSE),"o")=$D$5,IFERROR(VLOOKUP(VLOOKUP($B60, Dependencies!$B$2:$G$230, 5,FALSE), $B$14:AA$73, AA$74,FALSE),"o")=$D$5,IFERROR(VLOOKUP(VLOOKUP($B60, Dependencies!$B$2:$G$230, 6,FALSE), $B$14:AA$73, AA$74,FALSE),"o")=$D$5),$D$5,Z60)))</f>
        <v>o</v>
      </c>
      <c r="AB60" s="93" t="s">
        <v>323</v>
      </c>
      <c r="AC60" s="70" t="str">
        <f>IF(AB60=$D$4,AB60,IF(OR(IFERROR(VLOOKUP(VLOOKUP($B60, Dependencies!$B$2:$G$230, 2,FALSE),$B$14:AC$73, AC$74,FALSE),"o")=$D$4,IFERROR(VLOOKUP(VLOOKUP($B60, Dependencies!$B$2:$G$230, 3,FALSE),$B$14:AC$73, AC$74,FALSE),"o")=$D$4,IFERROR(VLOOKUP(VLOOKUP($B60, Dependencies!$B$2:$G$230, 4,FALSE),$B$14:AC$73, AC$74,FALSE),"o")=$D$4,IFERROR(VLOOKUP(VLOOKUP($B60, Dependencies!$B$2:$G$230, 5,FALSE),$B$14:AC$73, AC$74,FALSE),"o")=$D$4,IFERROR(VLOOKUP(VLOOKUP($B60, Dependencies!$B$2:$G$230, 6,FALSE),$B$14:AC$73, AC$74,FALSE),"o")=$D$4),$D$4,IF(OR(IFERROR(VLOOKUP(VLOOKUP($B60, Dependencies!$B$2:$G$230, 2,FALSE), $B$14:AC$73, AC$74,FALSE),"o")=$D$5,IFERROR(VLOOKUP(VLOOKUP($B60, Dependencies!$B$2:$G$230, 3,FALSE), $B$14:AC$73, AC$74,FALSE),"o")=$D$5,IFERROR(VLOOKUP(VLOOKUP($B60, Dependencies!$B$2:$G$230, 4,FALSE), $B$14:AC$73, AC$74,FALSE),"o")=$D$5,IFERROR(VLOOKUP(VLOOKUP($B60, Dependencies!$B$2:$G$230, 5,FALSE), $B$14:AC$73, AC$74,FALSE),"o")=$D$5,IFERROR(VLOOKUP(VLOOKUP($B60, Dependencies!$B$2:$G$230, 6,FALSE), $B$14:AC$73, AC$74,FALSE),"o")=$D$5),$D$5,AB60)))</f>
        <v>o</v>
      </c>
      <c r="AD60" s="93" t="s">
        <v>323</v>
      </c>
      <c r="AE60" s="70" t="str">
        <f>IF(AD60=$D$4,AD60,IF(OR(IFERROR(VLOOKUP(VLOOKUP($B60, Dependencies!$B$2:$G$230, 2,FALSE),$B$14:AE$73, AE$74,FALSE),"o")=$D$4,IFERROR(VLOOKUP(VLOOKUP($B60, Dependencies!$B$2:$G$230, 3,FALSE),$B$14:AE$73, AE$74,FALSE),"o")=$D$4,IFERROR(VLOOKUP(VLOOKUP($B60, Dependencies!$B$2:$G$230, 4,FALSE),$B$14:AE$73, AE$74,FALSE),"o")=$D$4,IFERROR(VLOOKUP(VLOOKUP($B60, Dependencies!$B$2:$G$230, 5,FALSE),$B$14:AE$73, AE$74,FALSE),"o")=$D$4,IFERROR(VLOOKUP(VLOOKUP($B60, Dependencies!$B$2:$G$230, 6,FALSE),$B$14:AE$73, AE$74,FALSE),"o")=$D$4),$D$4,IF(OR(IFERROR(VLOOKUP(VLOOKUP($B60, Dependencies!$B$2:$G$230, 2,FALSE), $B$14:AE$73, AE$74,FALSE),"o")=$D$5,IFERROR(VLOOKUP(VLOOKUP($B60, Dependencies!$B$2:$G$230, 3,FALSE), $B$14:AE$73, AE$74,FALSE),"o")=$D$5,IFERROR(VLOOKUP(VLOOKUP($B60, Dependencies!$B$2:$G$230, 4,FALSE), $B$14:AE$73, AE$74,FALSE),"o")=$D$5,IFERROR(VLOOKUP(VLOOKUP($B60, Dependencies!$B$2:$G$230, 5,FALSE), $B$14:AE$73, AE$74,FALSE),"o")=$D$5,IFERROR(VLOOKUP(VLOOKUP($B60, Dependencies!$B$2:$G$230, 6,FALSE), $B$14:AE$73, AE$74,FALSE),"o")=$D$5),$D$5,AD60)))</f>
        <v>o</v>
      </c>
      <c r="AF60" s="93" t="s">
        <v>323</v>
      </c>
      <c r="AG60" s="70" t="str">
        <f>IF(AF60=$D$4,AF60,IF(OR(IFERROR(VLOOKUP(VLOOKUP($B60, Dependencies!$B$2:$G$230, 2,FALSE),$B$14:AG$73, AG$74,FALSE),"o")=$D$4,IFERROR(VLOOKUP(VLOOKUP($B60, Dependencies!$B$2:$G$230, 3,FALSE),$B$14:AG$73, AG$74,FALSE),"o")=$D$4,IFERROR(VLOOKUP(VLOOKUP($B60, Dependencies!$B$2:$G$230, 4,FALSE),$B$14:AG$73, AG$74,FALSE),"o")=$D$4,IFERROR(VLOOKUP(VLOOKUP($B60, Dependencies!$B$2:$G$230, 5,FALSE),$B$14:AG$73, AG$74,FALSE),"o")=$D$4,IFERROR(VLOOKUP(VLOOKUP($B60, Dependencies!$B$2:$G$230, 6,FALSE),$B$14:AG$73, AG$74,FALSE),"o")=$D$4),$D$4,IF(OR(IFERROR(VLOOKUP(VLOOKUP($B60, Dependencies!$B$2:$G$230, 2,FALSE), $B$14:AG$73, AG$74,FALSE),"o")=$D$5,IFERROR(VLOOKUP(VLOOKUP($B60, Dependencies!$B$2:$G$230, 3,FALSE), $B$14:AG$73, AG$74,FALSE),"o")=$D$5,IFERROR(VLOOKUP(VLOOKUP($B60, Dependencies!$B$2:$G$230, 4,FALSE), $B$14:AG$73, AG$74,FALSE),"o")=$D$5,IFERROR(VLOOKUP(VLOOKUP($B60, Dependencies!$B$2:$G$230, 5,FALSE), $B$14:AG$73, AG$74,FALSE),"o")=$D$5,IFERROR(VLOOKUP(VLOOKUP($B60, Dependencies!$B$2:$G$230, 6,FALSE), $B$14:AG$73, AG$74,FALSE),"o")=$D$5),$D$5,AF60)))</f>
        <v>o</v>
      </c>
      <c r="AH60" s="93" t="s">
        <v>323</v>
      </c>
      <c r="AI60" s="70" t="str">
        <f>IF(AH60=$D$4,AH60,IF(OR(IFERROR(VLOOKUP(VLOOKUP($B60, Dependencies!$B$2:$G$230, 2,FALSE),$B$14:AI$73, AI$74,FALSE),"o")=$D$4,IFERROR(VLOOKUP(VLOOKUP($B60, Dependencies!$B$2:$G$230, 3,FALSE),$B$14:AI$73, AI$74,FALSE),"o")=$D$4,IFERROR(VLOOKUP(VLOOKUP($B60, Dependencies!$B$2:$G$230, 4,FALSE),$B$14:AI$73, AI$74,FALSE),"o")=$D$4,IFERROR(VLOOKUP(VLOOKUP($B60, Dependencies!$B$2:$G$230, 5,FALSE),$B$14:AI$73, AI$74,FALSE),"o")=$D$4,IFERROR(VLOOKUP(VLOOKUP($B60, Dependencies!$B$2:$G$230, 6,FALSE),$B$14:AI$73, AI$74,FALSE),"o")=$D$4),$D$4,IF(OR(IFERROR(VLOOKUP(VLOOKUP($B60, Dependencies!$B$2:$G$230, 2,FALSE), $B$14:AI$73, AI$74,FALSE),"o")=$D$5,IFERROR(VLOOKUP(VLOOKUP($B60, Dependencies!$B$2:$G$230, 3,FALSE), $B$14:AI$73, AI$74,FALSE),"o")=$D$5,IFERROR(VLOOKUP(VLOOKUP($B60, Dependencies!$B$2:$G$230, 4,FALSE), $B$14:AI$73, AI$74,FALSE),"o")=$D$5,IFERROR(VLOOKUP(VLOOKUP($B60, Dependencies!$B$2:$G$230, 5,FALSE), $B$14:AI$73, AI$74,FALSE),"o")=$D$5,IFERROR(VLOOKUP(VLOOKUP($B60, Dependencies!$B$2:$G$230, 6,FALSE), $B$14:AI$73, AI$74,FALSE),"o")=$D$5),$D$5,AH60)))</f>
        <v>o</v>
      </c>
      <c r="AJ60" s="93" t="s">
        <v>323</v>
      </c>
      <c r="AK60" s="70" t="str">
        <f>IF(AJ60=$D$4,AJ60,IF(OR(IFERROR(VLOOKUP(VLOOKUP($B60, Dependencies!$B$2:$G$230, 2,FALSE),$B$14:AK$73, AK$74,FALSE),"o")=$D$4,IFERROR(VLOOKUP(VLOOKUP($B60, Dependencies!$B$2:$G$230, 3,FALSE),$B$14:AK$73, AK$74,FALSE),"o")=$D$4,IFERROR(VLOOKUP(VLOOKUP($B60, Dependencies!$B$2:$G$230, 4,FALSE),$B$14:AK$73, AK$74,FALSE),"o")=$D$4,IFERROR(VLOOKUP(VLOOKUP($B60, Dependencies!$B$2:$G$230, 5,FALSE),$B$14:AK$73, AK$74,FALSE),"o")=$D$4,IFERROR(VLOOKUP(VLOOKUP($B60, Dependencies!$B$2:$G$230, 6,FALSE),$B$14:AK$73, AK$74,FALSE),"o")=$D$4),$D$4,IF(OR(IFERROR(VLOOKUP(VLOOKUP($B60, Dependencies!$B$2:$G$230, 2,FALSE), $B$14:AK$73, AK$74,FALSE),"o")=$D$5,IFERROR(VLOOKUP(VLOOKUP($B60, Dependencies!$B$2:$G$230, 3,FALSE), $B$14:AK$73, AK$74,FALSE),"o")=$D$5,IFERROR(VLOOKUP(VLOOKUP($B60, Dependencies!$B$2:$G$230, 4,FALSE), $B$14:AK$73, AK$74,FALSE),"o")=$D$5,IFERROR(VLOOKUP(VLOOKUP($B60, Dependencies!$B$2:$G$230, 5,FALSE), $B$14:AK$73, AK$74,FALSE),"o")=$D$5,IFERROR(VLOOKUP(VLOOKUP($B60, Dependencies!$B$2:$G$230, 6,FALSE), $B$14:AK$73, AK$74,FALSE),"o")=$D$5),$D$5,AJ60)))</f>
        <v>o</v>
      </c>
      <c r="AL60" s="93" t="s">
        <v>323</v>
      </c>
      <c r="AM60" s="70" t="str">
        <f>IF(AL60=$D$4,AL60,IF(OR(IFERROR(VLOOKUP(VLOOKUP($B60, Dependencies!$B$2:$G$230, 2,FALSE),$B$14:AM$73, AM$74,FALSE),"o")=$D$4,IFERROR(VLOOKUP(VLOOKUP($B60, Dependencies!$B$2:$G$230, 3,FALSE),$B$14:AM$73, AM$74,FALSE),"o")=$D$4,IFERROR(VLOOKUP(VLOOKUP($B60, Dependencies!$B$2:$G$230, 4,FALSE),$B$14:AM$73, AM$74,FALSE),"o")=$D$4,IFERROR(VLOOKUP(VLOOKUP($B60, Dependencies!$B$2:$G$230, 5,FALSE),$B$14:AM$73, AM$74,FALSE),"o")=$D$4,IFERROR(VLOOKUP(VLOOKUP($B60, Dependencies!$B$2:$G$230, 6,FALSE),$B$14:AM$73, AM$74,FALSE),"o")=$D$4),$D$4,IF(OR(IFERROR(VLOOKUP(VLOOKUP($B60, Dependencies!$B$2:$G$230, 2,FALSE), $B$14:AM$73, AM$74,FALSE),"o")=$D$5,IFERROR(VLOOKUP(VLOOKUP($B60, Dependencies!$B$2:$G$230, 3,FALSE), $B$14:AM$73, AM$74,FALSE),"o")=$D$5,IFERROR(VLOOKUP(VLOOKUP($B60, Dependencies!$B$2:$G$230, 4,FALSE), $B$14:AM$73, AM$74,FALSE),"o")=$D$5,IFERROR(VLOOKUP(VLOOKUP($B60, Dependencies!$B$2:$G$230, 5,FALSE), $B$14:AM$73, AM$74,FALSE),"o")=$D$5,IFERROR(VLOOKUP(VLOOKUP($B60, Dependencies!$B$2:$G$230, 6,FALSE), $B$14:AM$73, AM$74,FALSE),"o")=$D$5),$D$5,AL60)))</f>
        <v>o</v>
      </c>
      <c r="AN60" s="93" t="s">
        <v>323</v>
      </c>
      <c r="AO60" s="70" t="str">
        <f>IF(AN60=$D$4,AN60,IF(OR(IFERROR(VLOOKUP(VLOOKUP($B60, Dependencies!$B$2:$G$230, 2,FALSE),$B$14:AO$73, AO$74,FALSE),"o")=$D$4,IFERROR(VLOOKUP(VLOOKUP($B60, Dependencies!$B$2:$G$230, 3,FALSE),$B$14:AO$73, AO$74,FALSE),"o")=$D$4,IFERROR(VLOOKUP(VLOOKUP($B60, Dependencies!$B$2:$G$230, 4,FALSE),$B$14:AO$73, AO$74,FALSE),"o")=$D$4,IFERROR(VLOOKUP(VLOOKUP($B60, Dependencies!$B$2:$G$230, 5,FALSE),$B$14:AO$73, AO$74,FALSE),"o")=$D$4,IFERROR(VLOOKUP(VLOOKUP($B60, Dependencies!$B$2:$G$230, 6,FALSE),$B$14:AO$73, AO$74,FALSE),"o")=$D$4),$D$4,IF(OR(IFERROR(VLOOKUP(VLOOKUP($B60, Dependencies!$B$2:$G$230, 2,FALSE), $B$14:AO$73, AO$74,FALSE),"o")=$D$5,IFERROR(VLOOKUP(VLOOKUP($B60, Dependencies!$B$2:$G$230, 3,FALSE), $B$14:AO$73, AO$74,FALSE),"o")=$D$5,IFERROR(VLOOKUP(VLOOKUP($B60, Dependencies!$B$2:$G$230, 4,FALSE), $B$14:AO$73, AO$74,FALSE),"o")=$D$5,IFERROR(VLOOKUP(VLOOKUP($B60, Dependencies!$B$2:$G$230, 5,FALSE), $B$14:AO$73, AO$74,FALSE),"o")=$D$5,IFERROR(VLOOKUP(VLOOKUP($B60, Dependencies!$B$2:$G$230, 6,FALSE), $B$14:AO$73, AO$74,FALSE),"o")=$D$5),$D$5,AN60)))</f>
        <v>o</v>
      </c>
      <c r="AP60" s="93" t="s">
        <v>323</v>
      </c>
      <c r="AQ60" s="70" t="str">
        <f>IF(AP60=$D$4,AP60,IF(OR(IFERROR(VLOOKUP(VLOOKUP($B60, Dependencies!$B$2:$G$230, 2,FALSE),$B$14:AQ$73, AQ$74,FALSE),"o")=$D$4,IFERROR(VLOOKUP(VLOOKUP($B60, Dependencies!$B$2:$G$230, 3,FALSE),$B$14:AQ$73, AQ$74,FALSE),"o")=$D$4,IFERROR(VLOOKUP(VLOOKUP($B60, Dependencies!$B$2:$G$230, 4,FALSE),$B$14:AQ$73, AQ$74,FALSE),"o")=$D$4,IFERROR(VLOOKUP(VLOOKUP($B60, Dependencies!$B$2:$G$230, 5,FALSE),$B$14:AQ$73, AQ$74,FALSE),"o")=$D$4,IFERROR(VLOOKUP(VLOOKUP($B60, Dependencies!$B$2:$G$230, 6,FALSE),$B$14:AQ$73, AQ$74,FALSE),"o")=$D$4),$D$4,IF(OR(IFERROR(VLOOKUP(VLOOKUP($B60, Dependencies!$B$2:$G$230, 2,FALSE), $B$14:AQ$73, AQ$74,FALSE),"o")=$D$5,IFERROR(VLOOKUP(VLOOKUP($B60, Dependencies!$B$2:$G$230, 3,FALSE), $B$14:AQ$73, AQ$74,FALSE),"o")=$D$5,IFERROR(VLOOKUP(VLOOKUP($B60, Dependencies!$B$2:$G$230, 4,FALSE), $B$14:AQ$73, AQ$74,FALSE),"o")=$D$5,IFERROR(VLOOKUP(VLOOKUP($B60, Dependencies!$B$2:$G$230, 5,FALSE), $B$14:AQ$73, AQ$74,FALSE),"o")=$D$5,IFERROR(VLOOKUP(VLOOKUP($B60, Dependencies!$B$2:$G$230, 6,FALSE), $B$14:AQ$73, AQ$74,FALSE),"o")=$D$5),$D$5,AP60)))</f>
        <v>o</v>
      </c>
      <c r="AR60" s="93" t="s">
        <v>323</v>
      </c>
      <c r="AS60" s="69" t="str">
        <f>IF(AR60=$D$4,AR60,IF(OR(IFERROR(VLOOKUP(VLOOKUP($B60, Dependencies!$B$2:$G$230, 2,FALSE),$B$14:AS$73, AS$74,FALSE),"o")=$D$4,IFERROR(VLOOKUP(VLOOKUP($B60, Dependencies!$B$2:$G$230, 3,FALSE),$B$14:AS$73, AS$74,FALSE),"o")=$D$4,IFERROR(VLOOKUP(VLOOKUP($B60, Dependencies!$B$2:$G$230, 4,FALSE),$B$14:AS$73, AS$74,FALSE),"o")=$D$4,IFERROR(VLOOKUP(VLOOKUP($B60, Dependencies!$B$2:$G$230, 5,FALSE),$B$14:AS$73, AS$74,FALSE),"o")=$D$4,IFERROR(VLOOKUP(VLOOKUP($B60, Dependencies!$B$2:$G$230, 6,FALSE),$B$14:AS$73, AS$74,FALSE),"o")=$D$4),$D$4,IF(OR(IFERROR(VLOOKUP(VLOOKUP($B60, Dependencies!$B$2:$G$230, 2,FALSE), $B$14:AS$73, AS$74,FALSE),"o")=$D$5,IFERROR(VLOOKUP(VLOOKUP($B60, Dependencies!$B$2:$G$230, 3,FALSE), $B$14:AS$73, AS$74,FALSE),"o")=$D$5,IFERROR(VLOOKUP(VLOOKUP($B60, Dependencies!$B$2:$G$230, 4,FALSE), $B$14:AS$73, AS$74,FALSE),"o")=$D$5,IFERROR(VLOOKUP(VLOOKUP($B60, Dependencies!$B$2:$G$230, 5,FALSE), $B$14:AS$73, AS$74,FALSE),"o")=$D$5,IFERROR(VLOOKUP(VLOOKUP($B60, Dependencies!$B$2:$G$230, 6,FALSE), $B$14:AS$73, AS$74,FALSE),"o")=$D$5),$D$5,AR60)))</f>
        <v>o</v>
      </c>
    </row>
    <row r="61" spans="1:45" x14ac:dyDescent="0.2">
      <c r="A61" s="40"/>
      <c r="B61" s="74" t="str">
        <f>MLEOsv2!A49</f>
        <v>MLEO_05_06</v>
      </c>
      <c r="C61" s="74">
        <f>MLEOsv2!C49</f>
        <v>7</v>
      </c>
      <c r="D61" s="44" t="str">
        <f>MLEOsv2!G49</f>
        <v>implement custom data containers that support insert, read, delete, and edit operations as well as sorting and filtering.</v>
      </c>
      <c r="E61" s="68" t="b">
        <f>MLEOsv2!H49</f>
        <v>0</v>
      </c>
      <c r="F61" s="94" t="s">
        <v>323</v>
      </c>
      <c r="G61" s="72" t="str">
        <f>IF(F61=$D$4,F61,IF(OR(IFERROR(VLOOKUP(VLOOKUP($B61, Dependencies!$B$2:$G$230, 2,FALSE),$B$14:G$73, G$74,FALSE),"o")=$D$4,IFERROR(VLOOKUP(VLOOKUP($B61, Dependencies!$B$2:$G$230, 3,FALSE),$B$14:G$73, G$74,FALSE),"o")=$D$4,IFERROR(VLOOKUP(VLOOKUP($B61, Dependencies!$B$2:$G$230, 4,FALSE),$B$14:G$73, G$74,FALSE),"o")=$D$4,IFERROR(VLOOKUP(VLOOKUP($B61, Dependencies!$B$2:$G$230, 5,FALSE),$B$14:G$73, G$74,FALSE),"o")=$D$4,IFERROR(VLOOKUP(VLOOKUP($B61, Dependencies!$B$2:$G$230, 6,FALSE),$B$14:G$73, G$74,FALSE),"o")=$D$4),$D$4,IF(OR(IFERROR(VLOOKUP(VLOOKUP($B61, Dependencies!$B$2:$G$230, 2,FALSE), $B$14:G$73, G$74,FALSE),"o")=$D$5,IFERROR(VLOOKUP(VLOOKUP($B61, Dependencies!$B$2:$G$230, 3,FALSE), $B$14:G$73, G$74,FALSE),"o")=$D$5,IFERROR(VLOOKUP(VLOOKUP($B61, Dependencies!$B$2:$G$230, 4,FALSE), $B$14:G$73, G$74,FALSE),"o")=$D$5,IFERROR(VLOOKUP(VLOOKUP($B61, Dependencies!$B$2:$G$230, 5,FALSE), $B$14:G$73, G$74,FALSE),"o")=$D$5,IFERROR(VLOOKUP(VLOOKUP($B61, Dependencies!$B$2:$G$230, 6,FALSE), $B$14:G$73, G$74,FALSE),"o")=$D$5),$D$5,F61)))</f>
        <v>o</v>
      </c>
      <c r="H61" s="94" t="s">
        <v>321</v>
      </c>
      <c r="I61" s="72" t="str">
        <f>IF(H61=$D$4,H61,IF(OR(IFERROR(VLOOKUP(VLOOKUP($B61, Dependencies!$B$2:$G$230, 2,FALSE),$B$14:I$73, I$74,FALSE),"o")=$D$4,IFERROR(VLOOKUP(VLOOKUP($B61, Dependencies!$B$2:$G$230, 3,FALSE),$B$14:I$73, I$74,FALSE),"o")=$D$4,IFERROR(VLOOKUP(VLOOKUP($B61, Dependencies!$B$2:$G$230, 4,FALSE),$B$14:I$73, I$74,FALSE),"o")=$D$4,IFERROR(VLOOKUP(VLOOKUP($B61, Dependencies!$B$2:$G$230, 5,FALSE),$B$14:I$73, I$74,FALSE),"o")=$D$4,IFERROR(VLOOKUP(VLOOKUP($B61, Dependencies!$B$2:$G$230, 6,FALSE),$B$14:I$73, I$74,FALSE),"o")=$D$4),$D$4,IF(OR(IFERROR(VLOOKUP(VLOOKUP($B61, Dependencies!$B$2:$G$230, 2,FALSE), $B$14:I$73, I$74,FALSE),"o")=$D$5,IFERROR(VLOOKUP(VLOOKUP($B61, Dependencies!$B$2:$G$230, 3,FALSE), $B$14:I$73, I$74,FALSE),"o")=$D$5,IFERROR(VLOOKUP(VLOOKUP($B61, Dependencies!$B$2:$G$230, 4,FALSE), $B$14:I$73, I$74,FALSE),"o")=$D$5,IFERROR(VLOOKUP(VLOOKUP($B61, Dependencies!$B$2:$G$230, 5,FALSE), $B$14:I$73, I$74,FALSE),"o")=$D$5,IFERROR(VLOOKUP(VLOOKUP($B61, Dependencies!$B$2:$G$230, 6,FALSE), $B$14:I$73, I$74,FALSE),"o")=$D$5),$D$5,H61)))</f>
        <v>pr</v>
      </c>
      <c r="J61" s="94" t="s">
        <v>320</v>
      </c>
      <c r="K61" s="72" t="str">
        <f>IF(J61=$D$4,J61,IF(OR(IFERROR(VLOOKUP(VLOOKUP($B61, Dependencies!$B$2:$G$230, 2,FALSE),$B$14:K$73, K$74,FALSE),"o")=$D$4,IFERROR(VLOOKUP(VLOOKUP($B61, Dependencies!$B$2:$G$230, 3,FALSE),$B$14:K$73, K$74,FALSE),"o")=$D$4,IFERROR(VLOOKUP(VLOOKUP($B61, Dependencies!$B$2:$G$230, 4,FALSE),$B$14:K$73, K$74,FALSE),"o")=$D$4,IFERROR(VLOOKUP(VLOOKUP($B61, Dependencies!$B$2:$G$230, 5,FALSE),$B$14:K$73, K$74,FALSE),"o")=$D$4,IFERROR(VLOOKUP(VLOOKUP($B61, Dependencies!$B$2:$G$230, 6,FALSE),$B$14:K$73, K$74,FALSE),"o")=$D$4),$D$4,IF(OR(IFERROR(VLOOKUP(VLOOKUP($B61, Dependencies!$B$2:$G$230, 2,FALSE), $B$14:K$73, K$74,FALSE),"o")=$D$5,IFERROR(VLOOKUP(VLOOKUP($B61, Dependencies!$B$2:$G$230, 3,FALSE), $B$14:K$73, K$74,FALSE),"o")=$D$5,IFERROR(VLOOKUP(VLOOKUP($B61, Dependencies!$B$2:$G$230, 4,FALSE), $B$14:K$73, K$74,FALSE),"o")=$D$5,IFERROR(VLOOKUP(VLOOKUP($B61, Dependencies!$B$2:$G$230, 5,FALSE), $B$14:K$73, K$74,FALSE),"o")=$D$5,IFERROR(VLOOKUP(VLOOKUP($B61, Dependencies!$B$2:$G$230, 6,FALSE), $B$14:K$73, K$74,FALSE),"o")=$D$5),$D$5,J61)))</f>
        <v>r</v>
      </c>
      <c r="L61" s="94" t="s">
        <v>323</v>
      </c>
      <c r="M61" s="72" t="str">
        <f>IF(L61=$D$4,L61,IF(OR(IFERROR(VLOOKUP(VLOOKUP($B61, Dependencies!$B$2:$G$230, 2,FALSE),$B$14:M$73, M$74,FALSE),"o")=$D$4,IFERROR(VLOOKUP(VLOOKUP($B61, Dependencies!$B$2:$G$230, 3,FALSE),$B$14:M$73, M$74,FALSE),"o")=$D$4,IFERROR(VLOOKUP(VLOOKUP($B61, Dependencies!$B$2:$G$230, 4,FALSE),$B$14:M$73, M$74,FALSE),"o")=$D$4,IFERROR(VLOOKUP(VLOOKUP($B61, Dependencies!$B$2:$G$230, 5,FALSE),$B$14:M$73, M$74,FALSE),"o")=$D$4,IFERROR(VLOOKUP(VLOOKUP($B61, Dependencies!$B$2:$G$230, 6,FALSE),$B$14:M$73, M$74,FALSE),"o")=$D$4),$D$4,IF(OR(IFERROR(VLOOKUP(VLOOKUP($B61, Dependencies!$B$2:$G$230, 2,FALSE), $B$14:M$73, M$74,FALSE),"o")=$D$5,IFERROR(VLOOKUP(VLOOKUP($B61, Dependencies!$B$2:$G$230, 3,FALSE), $B$14:M$73, M$74,FALSE),"o")=$D$5,IFERROR(VLOOKUP(VLOOKUP($B61, Dependencies!$B$2:$G$230, 4,FALSE), $B$14:M$73, M$74,FALSE),"o")=$D$5,IFERROR(VLOOKUP(VLOOKUP($B61, Dependencies!$B$2:$G$230, 5,FALSE), $B$14:M$73, M$74,FALSE),"o")=$D$5,IFERROR(VLOOKUP(VLOOKUP($B61, Dependencies!$B$2:$G$230, 6,FALSE), $B$14:M$73, M$74,FALSE),"o")=$D$5),$D$5,L61)))</f>
        <v>o</v>
      </c>
      <c r="N61" s="94" t="s">
        <v>323</v>
      </c>
      <c r="O61" s="72" t="str">
        <f>IF(N61=$D$4,N61,IF(OR(IFERROR(VLOOKUP(VLOOKUP($B61, Dependencies!$B$2:$G$230, 2,FALSE),$B$14:O$73, O$74,FALSE),"o")=$D$4,IFERROR(VLOOKUP(VLOOKUP($B61, Dependencies!$B$2:$G$230, 3,FALSE),$B$14:O$73, O$74,FALSE),"o")=$D$4,IFERROR(VLOOKUP(VLOOKUP($B61, Dependencies!$B$2:$G$230, 4,FALSE),$B$14:O$73, O$74,FALSE),"o")=$D$4,IFERROR(VLOOKUP(VLOOKUP($B61, Dependencies!$B$2:$G$230, 5,FALSE),$B$14:O$73, O$74,FALSE),"o")=$D$4,IFERROR(VLOOKUP(VLOOKUP($B61, Dependencies!$B$2:$G$230, 6,FALSE),$B$14:O$73, O$74,FALSE),"o")=$D$4),$D$4,IF(OR(IFERROR(VLOOKUP(VLOOKUP($B61, Dependencies!$B$2:$G$230, 2,FALSE), $B$14:O$73, O$74,FALSE),"o")=$D$5,IFERROR(VLOOKUP(VLOOKUP($B61, Dependencies!$B$2:$G$230, 3,FALSE), $B$14:O$73, O$74,FALSE),"o")=$D$5,IFERROR(VLOOKUP(VLOOKUP($B61, Dependencies!$B$2:$G$230, 4,FALSE), $B$14:O$73, O$74,FALSE),"o")=$D$5,IFERROR(VLOOKUP(VLOOKUP($B61, Dependencies!$B$2:$G$230, 5,FALSE), $B$14:O$73, O$74,FALSE),"o")=$D$5,IFERROR(VLOOKUP(VLOOKUP($B61, Dependencies!$B$2:$G$230, 6,FALSE), $B$14:O$73, O$74,FALSE),"o")=$D$5),$D$5,N61)))</f>
        <v>o</v>
      </c>
      <c r="P61" s="94" t="s">
        <v>323</v>
      </c>
      <c r="Q61" s="72" t="str">
        <f>IF(P61=$D$4,P61,IF(OR(IFERROR(VLOOKUP(VLOOKUP($B61, Dependencies!$B$2:$G$230, 2,FALSE),$B$14:Q$73, Q$74,FALSE),"o")=$D$4,IFERROR(VLOOKUP(VLOOKUP($B61, Dependencies!$B$2:$G$230, 3,FALSE),$B$14:Q$73, Q$74,FALSE),"o")=$D$4,IFERROR(VLOOKUP(VLOOKUP($B61, Dependencies!$B$2:$G$230, 4,FALSE),$B$14:Q$73, Q$74,FALSE),"o")=$D$4,IFERROR(VLOOKUP(VLOOKUP($B61, Dependencies!$B$2:$G$230, 5,FALSE),$B$14:Q$73, Q$74,FALSE),"o")=$D$4,IFERROR(VLOOKUP(VLOOKUP($B61, Dependencies!$B$2:$G$230, 6,FALSE),$B$14:Q$73, Q$74,FALSE),"o")=$D$4),$D$4,IF(OR(IFERROR(VLOOKUP(VLOOKUP($B61, Dependencies!$B$2:$G$230, 2,FALSE), $B$14:Q$73, Q$74,FALSE),"o")=$D$5,IFERROR(VLOOKUP(VLOOKUP($B61, Dependencies!$B$2:$G$230, 3,FALSE), $B$14:Q$73, Q$74,FALSE),"o")=$D$5,IFERROR(VLOOKUP(VLOOKUP($B61, Dependencies!$B$2:$G$230, 4,FALSE), $B$14:Q$73, Q$74,FALSE),"o")=$D$5,IFERROR(VLOOKUP(VLOOKUP($B61, Dependencies!$B$2:$G$230, 5,FALSE), $B$14:Q$73, Q$74,FALSE),"o")=$D$5,IFERROR(VLOOKUP(VLOOKUP($B61, Dependencies!$B$2:$G$230, 6,FALSE), $B$14:Q$73, Q$74,FALSE),"o")=$D$5),$D$5,P61)))</f>
        <v>o</v>
      </c>
      <c r="R61" s="94" t="s">
        <v>323</v>
      </c>
      <c r="S61" s="72" t="str">
        <f>IF(R61=$D$4,R61,IF(OR(IFERROR(VLOOKUP(VLOOKUP($B61, Dependencies!$B$2:$G$230, 2,FALSE),$B$14:S$73, S$74,FALSE),"o")=$D$4,IFERROR(VLOOKUP(VLOOKUP($B61, Dependencies!$B$2:$G$230, 3,FALSE),$B$14:S$73, S$74,FALSE),"o")=$D$4,IFERROR(VLOOKUP(VLOOKUP($B61, Dependencies!$B$2:$G$230, 4,FALSE),$B$14:S$73, S$74,FALSE),"o")=$D$4,IFERROR(VLOOKUP(VLOOKUP($B61, Dependencies!$B$2:$G$230, 5,FALSE),$B$14:S$73, S$74,FALSE),"o")=$D$4,IFERROR(VLOOKUP(VLOOKUP($B61, Dependencies!$B$2:$G$230, 6,FALSE),$B$14:S$73, S$74,FALSE),"o")=$D$4),$D$4,IF(OR(IFERROR(VLOOKUP(VLOOKUP($B61, Dependencies!$B$2:$G$230, 2,FALSE), $B$14:S$73, S$74,FALSE),"o")=$D$5,IFERROR(VLOOKUP(VLOOKUP($B61, Dependencies!$B$2:$G$230, 3,FALSE), $B$14:S$73, S$74,FALSE),"o")=$D$5,IFERROR(VLOOKUP(VLOOKUP($B61, Dependencies!$B$2:$G$230, 4,FALSE), $B$14:S$73, S$74,FALSE),"o")=$D$5,IFERROR(VLOOKUP(VLOOKUP($B61, Dependencies!$B$2:$G$230, 5,FALSE), $B$14:S$73, S$74,FALSE),"o")=$D$5,IFERROR(VLOOKUP(VLOOKUP($B61, Dependencies!$B$2:$G$230, 6,FALSE), $B$14:S$73, S$74,FALSE),"o")=$D$5),$D$5,R61)))</f>
        <v>o</v>
      </c>
      <c r="T61" s="94" t="s">
        <v>323</v>
      </c>
      <c r="U61" s="72" t="str">
        <f>IF(T61=$D$4,T61,IF(OR(IFERROR(VLOOKUP(VLOOKUP($B61, Dependencies!$B$2:$G$230, 2,FALSE),$B$14:U$73, U$74,FALSE),"o")=$D$4,IFERROR(VLOOKUP(VLOOKUP($B61, Dependencies!$B$2:$G$230, 3,FALSE),$B$14:U$73, U$74,FALSE),"o")=$D$4,IFERROR(VLOOKUP(VLOOKUP($B61, Dependencies!$B$2:$G$230, 4,FALSE),$B$14:U$73, U$74,FALSE),"o")=$D$4,IFERROR(VLOOKUP(VLOOKUP($B61, Dependencies!$B$2:$G$230, 5,FALSE),$B$14:U$73, U$74,FALSE),"o")=$D$4,IFERROR(VLOOKUP(VLOOKUP($B61, Dependencies!$B$2:$G$230, 6,FALSE),$B$14:U$73, U$74,FALSE),"o")=$D$4),$D$4,IF(OR(IFERROR(VLOOKUP(VLOOKUP($B61, Dependencies!$B$2:$G$230, 2,FALSE), $B$14:U$73, U$74,FALSE),"o")=$D$5,IFERROR(VLOOKUP(VLOOKUP($B61, Dependencies!$B$2:$G$230, 3,FALSE), $B$14:U$73, U$74,FALSE),"o")=$D$5,IFERROR(VLOOKUP(VLOOKUP($B61, Dependencies!$B$2:$G$230, 4,FALSE), $B$14:U$73, U$74,FALSE),"o")=$D$5,IFERROR(VLOOKUP(VLOOKUP($B61, Dependencies!$B$2:$G$230, 5,FALSE), $B$14:U$73, U$74,FALSE),"o")=$D$5,IFERROR(VLOOKUP(VLOOKUP($B61, Dependencies!$B$2:$G$230, 6,FALSE), $B$14:U$73, U$74,FALSE),"o")=$D$5),$D$5,T61)))</f>
        <v>o</v>
      </c>
      <c r="V61" s="94" t="s">
        <v>323</v>
      </c>
      <c r="W61" s="72" t="str">
        <f>IF(V61=$D$4,V61,IF(OR(IFERROR(VLOOKUP(VLOOKUP($B61, Dependencies!$B$2:$G$230, 2,FALSE),$B$14:W$73, W$74,FALSE),"o")=$D$4,IFERROR(VLOOKUP(VLOOKUP($B61, Dependencies!$B$2:$G$230, 3,FALSE),$B$14:W$73, W$74,FALSE),"o")=$D$4,IFERROR(VLOOKUP(VLOOKUP($B61, Dependencies!$B$2:$G$230, 4,FALSE),$B$14:W$73, W$74,FALSE),"o")=$D$4,IFERROR(VLOOKUP(VLOOKUP($B61, Dependencies!$B$2:$G$230, 5,FALSE),$B$14:W$73, W$74,FALSE),"o")=$D$4,IFERROR(VLOOKUP(VLOOKUP($B61, Dependencies!$B$2:$G$230, 6,FALSE),$B$14:W$73, W$74,FALSE),"o")=$D$4),$D$4,IF(OR(IFERROR(VLOOKUP(VLOOKUP($B61, Dependencies!$B$2:$G$230, 2,FALSE), $B$14:W$73, W$74,FALSE),"o")=$D$5,IFERROR(VLOOKUP(VLOOKUP($B61, Dependencies!$B$2:$G$230, 3,FALSE), $B$14:W$73, W$74,FALSE),"o")=$D$5,IFERROR(VLOOKUP(VLOOKUP($B61, Dependencies!$B$2:$G$230, 4,FALSE), $B$14:W$73, W$74,FALSE),"o")=$D$5,IFERROR(VLOOKUP(VLOOKUP($B61, Dependencies!$B$2:$G$230, 5,FALSE), $B$14:W$73, W$74,FALSE),"o")=$D$5,IFERROR(VLOOKUP(VLOOKUP($B61, Dependencies!$B$2:$G$230, 6,FALSE), $B$14:W$73, W$74,FALSE),"o")=$D$5),$D$5,V61)))</f>
        <v>o</v>
      </c>
      <c r="X61" s="94" t="s">
        <v>323</v>
      </c>
      <c r="Y61" s="72" t="str">
        <f>IF(X61=$D$4,X61,IF(OR(IFERROR(VLOOKUP(VLOOKUP($B61, Dependencies!$B$2:$G$230, 2,FALSE),$B$14:Y$73, Y$74,FALSE),"o")=$D$4,IFERROR(VLOOKUP(VLOOKUP($B61, Dependencies!$B$2:$G$230, 3,FALSE),$B$14:Y$73, Y$74,FALSE),"o")=$D$4,IFERROR(VLOOKUP(VLOOKUP($B61, Dependencies!$B$2:$G$230, 4,FALSE),$B$14:Y$73, Y$74,FALSE),"o")=$D$4,IFERROR(VLOOKUP(VLOOKUP($B61, Dependencies!$B$2:$G$230, 5,FALSE),$B$14:Y$73, Y$74,FALSE),"o")=$D$4,IFERROR(VLOOKUP(VLOOKUP($B61, Dependencies!$B$2:$G$230, 6,FALSE),$B$14:Y$73, Y$74,FALSE),"o")=$D$4),$D$4,IF(OR(IFERROR(VLOOKUP(VLOOKUP($B61, Dependencies!$B$2:$G$230, 2,FALSE), $B$14:Y$73, Y$74,FALSE),"o")=$D$5,IFERROR(VLOOKUP(VLOOKUP($B61, Dependencies!$B$2:$G$230, 3,FALSE), $B$14:Y$73, Y$74,FALSE),"o")=$D$5,IFERROR(VLOOKUP(VLOOKUP($B61, Dependencies!$B$2:$G$230, 4,FALSE), $B$14:Y$73, Y$74,FALSE),"o")=$D$5,IFERROR(VLOOKUP(VLOOKUP($B61, Dependencies!$B$2:$G$230, 5,FALSE), $B$14:Y$73, Y$74,FALSE),"o")=$D$5,IFERROR(VLOOKUP(VLOOKUP($B61, Dependencies!$B$2:$G$230, 6,FALSE), $B$14:Y$73, Y$74,FALSE),"o")=$D$5),$D$5,X61)))</f>
        <v>o</v>
      </c>
      <c r="Z61" s="94" t="s">
        <v>323</v>
      </c>
      <c r="AA61" s="72" t="str">
        <f>IF(Z61=$D$4,Z61,IF(OR(IFERROR(VLOOKUP(VLOOKUP($B61, Dependencies!$B$2:$G$230, 2,FALSE),$B$14:AA$73, AA$74,FALSE),"o")=$D$4,IFERROR(VLOOKUP(VLOOKUP($B61, Dependencies!$B$2:$G$230, 3,FALSE),$B$14:AA$73, AA$74,FALSE),"o")=$D$4,IFERROR(VLOOKUP(VLOOKUP($B61, Dependencies!$B$2:$G$230, 4,FALSE),$B$14:AA$73, AA$74,FALSE),"o")=$D$4,IFERROR(VLOOKUP(VLOOKUP($B61, Dependencies!$B$2:$G$230, 5,FALSE),$B$14:AA$73, AA$74,FALSE),"o")=$D$4,IFERROR(VLOOKUP(VLOOKUP($B61, Dependencies!$B$2:$G$230, 6,FALSE),$B$14:AA$73, AA$74,FALSE),"o")=$D$4),$D$4,IF(OR(IFERROR(VLOOKUP(VLOOKUP($B61, Dependencies!$B$2:$G$230, 2,FALSE), $B$14:AA$73, AA$74,FALSE),"o")=$D$5,IFERROR(VLOOKUP(VLOOKUP($B61, Dependencies!$B$2:$G$230, 3,FALSE), $B$14:AA$73, AA$74,FALSE),"o")=$D$5,IFERROR(VLOOKUP(VLOOKUP($B61, Dependencies!$B$2:$G$230, 4,FALSE), $B$14:AA$73, AA$74,FALSE),"o")=$D$5,IFERROR(VLOOKUP(VLOOKUP($B61, Dependencies!$B$2:$G$230, 5,FALSE), $B$14:AA$73, AA$74,FALSE),"o")=$D$5,IFERROR(VLOOKUP(VLOOKUP($B61, Dependencies!$B$2:$G$230, 6,FALSE), $B$14:AA$73, AA$74,FALSE),"o")=$D$5),$D$5,Z61)))</f>
        <v>o</v>
      </c>
      <c r="AB61" s="94" t="s">
        <v>323</v>
      </c>
      <c r="AC61" s="72" t="str">
        <f>IF(AB61=$D$4,AB61,IF(OR(IFERROR(VLOOKUP(VLOOKUP($B61, Dependencies!$B$2:$G$230, 2,FALSE),$B$14:AC$73, AC$74,FALSE),"o")=$D$4,IFERROR(VLOOKUP(VLOOKUP($B61, Dependencies!$B$2:$G$230, 3,FALSE),$B$14:AC$73, AC$74,FALSE),"o")=$D$4,IFERROR(VLOOKUP(VLOOKUP($B61, Dependencies!$B$2:$G$230, 4,FALSE),$B$14:AC$73, AC$74,FALSE),"o")=$D$4,IFERROR(VLOOKUP(VLOOKUP($B61, Dependencies!$B$2:$G$230, 5,FALSE),$B$14:AC$73, AC$74,FALSE),"o")=$D$4,IFERROR(VLOOKUP(VLOOKUP($B61, Dependencies!$B$2:$G$230, 6,FALSE),$B$14:AC$73, AC$74,FALSE),"o")=$D$4),$D$4,IF(OR(IFERROR(VLOOKUP(VLOOKUP($B61, Dependencies!$B$2:$G$230, 2,FALSE), $B$14:AC$73, AC$74,FALSE),"o")=$D$5,IFERROR(VLOOKUP(VLOOKUP($B61, Dependencies!$B$2:$G$230, 3,FALSE), $B$14:AC$73, AC$74,FALSE),"o")=$D$5,IFERROR(VLOOKUP(VLOOKUP($B61, Dependencies!$B$2:$G$230, 4,FALSE), $B$14:AC$73, AC$74,FALSE),"o")=$D$5,IFERROR(VLOOKUP(VLOOKUP($B61, Dependencies!$B$2:$G$230, 5,FALSE), $B$14:AC$73, AC$74,FALSE),"o")=$D$5,IFERROR(VLOOKUP(VLOOKUP($B61, Dependencies!$B$2:$G$230, 6,FALSE), $B$14:AC$73, AC$74,FALSE),"o")=$D$5),$D$5,AB61)))</f>
        <v>o</v>
      </c>
      <c r="AD61" s="94" t="s">
        <v>323</v>
      </c>
      <c r="AE61" s="72" t="str">
        <f>IF(AD61=$D$4,AD61,IF(OR(IFERROR(VLOOKUP(VLOOKUP($B61, Dependencies!$B$2:$G$230, 2,FALSE),$B$14:AE$73, AE$74,FALSE),"o")=$D$4,IFERROR(VLOOKUP(VLOOKUP($B61, Dependencies!$B$2:$G$230, 3,FALSE),$B$14:AE$73, AE$74,FALSE),"o")=$D$4,IFERROR(VLOOKUP(VLOOKUP($B61, Dependencies!$B$2:$G$230, 4,FALSE),$B$14:AE$73, AE$74,FALSE),"o")=$D$4,IFERROR(VLOOKUP(VLOOKUP($B61, Dependencies!$B$2:$G$230, 5,FALSE),$B$14:AE$73, AE$74,FALSE),"o")=$D$4,IFERROR(VLOOKUP(VLOOKUP($B61, Dependencies!$B$2:$G$230, 6,FALSE),$B$14:AE$73, AE$74,FALSE),"o")=$D$4),$D$4,IF(OR(IFERROR(VLOOKUP(VLOOKUP($B61, Dependencies!$B$2:$G$230, 2,FALSE), $B$14:AE$73, AE$74,FALSE),"o")=$D$5,IFERROR(VLOOKUP(VLOOKUP($B61, Dependencies!$B$2:$G$230, 3,FALSE), $B$14:AE$73, AE$74,FALSE),"o")=$D$5,IFERROR(VLOOKUP(VLOOKUP($B61, Dependencies!$B$2:$G$230, 4,FALSE), $B$14:AE$73, AE$74,FALSE),"o")=$D$5,IFERROR(VLOOKUP(VLOOKUP($B61, Dependencies!$B$2:$G$230, 5,FALSE), $B$14:AE$73, AE$74,FALSE),"o")=$D$5,IFERROR(VLOOKUP(VLOOKUP($B61, Dependencies!$B$2:$G$230, 6,FALSE), $B$14:AE$73, AE$74,FALSE),"o")=$D$5),$D$5,AD61)))</f>
        <v>o</v>
      </c>
      <c r="AF61" s="94" t="s">
        <v>323</v>
      </c>
      <c r="AG61" s="72" t="str">
        <f>IF(AF61=$D$4,AF61,IF(OR(IFERROR(VLOOKUP(VLOOKUP($B61, Dependencies!$B$2:$G$230, 2,FALSE),$B$14:AG$73, AG$74,FALSE),"o")=$D$4,IFERROR(VLOOKUP(VLOOKUP($B61, Dependencies!$B$2:$G$230, 3,FALSE),$B$14:AG$73, AG$74,FALSE),"o")=$D$4,IFERROR(VLOOKUP(VLOOKUP($B61, Dependencies!$B$2:$G$230, 4,FALSE),$B$14:AG$73, AG$74,FALSE),"o")=$D$4,IFERROR(VLOOKUP(VLOOKUP($B61, Dependencies!$B$2:$G$230, 5,FALSE),$B$14:AG$73, AG$74,FALSE),"o")=$D$4,IFERROR(VLOOKUP(VLOOKUP($B61, Dependencies!$B$2:$G$230, 6,FALSE),$B$14:AG$73, AG$74,FALSE),"o")=$D$4),$D$4,IF(OR(IFERROR(VLOOKUP(VLOOKUP($B61, Dependencies!$B$2:$G$230, 2,FALSE), $B$14:AG$73, AG$74,FALSE),"o")=$D$5,IFERROR(VLOOKUP(VLOOKUP($B61, Dependencies!$B$2:$G$230, 3,FALSE), $B$14:AG$73, AG$74,FALSE),"o")=$D$5,IFERROR(VLOOKUP(VLOOKUP($B61, Dependencies!$B$2:$G$230, 4,FALSE), $B$14:AG$73, AG$74,FALSE),"o")=$D$5,IFERROR(VLOOKUP(VLOOKUP($B61, Dependencies!$B$2:$G$230, 5,FALSE), $B$14:AG$73, AG$74,FALSE),"o")=$D$5,IFERROR(VLOOKUP(VLOOKUP($B61, Dependencies!$B$2:$G$230, 6,FALSE), $B$14:AG$73, AG$74,FALSE),"o")=$D$5),$D$5,AF61)))</f>
        <v>o</v>
      </c>
      <c r="AH61" s="94" t="s">
        <v>323</v>
      </c>
      <c r="AI61" s="72" t="str">
        <f>IF(AH61=$D$4,AH61,IF(OR(IFERROR(VLOOKUP(VLOOKUP($B61, Dependencies!$B$2:$G$230, 2,FALSE),$B$14:AI$73, AI$74,FALSE),"o")=$D$4,IFERROR(VLOOKUP(VLOOKUP($B61, Dependencies!$B$2:$G$230, 3,FALSE),$B$14:AI$73, AI$74,FALSE),"o")=$D$4,IFERROR(VLOOKUP(VLOOKUP($B61, Dependencies!$B$2:$G$230, 4,FALSE),$B$14:AI$73, AI$74,FALSE),"o")=$D$4,IFERROR(VLOOKUP(VLOOKUP($B61, Dependencies!$B$2:$G$230, 5,FALSE),$B$14:AI$73, AI$74,FALSE),"o")=$D$4,IFERROR(VLOOKUP(VLOOKUP($B61, Dependencies!$B$2:$G$230, 6,FALSE),$B$14:AI$73, AI$74,FALSE),"o")=$D$4),$D$4,IF(OR(IFERROR(VLOOKUP(VLOOKUP($B61, Dependencies!$B$2:$G$230, 2,FALSE), $B$14:AI$73, AI$74,FALSE),"o")=$D$5,IFERROR(VLOOKUP(VLOOKUP($B61, Dependencies!$B$2:$G$230, 3,FALSE), $B$14:AI$73, AI$74,FALSE),"o")=$D$5,IFERROR(VLOOKUP(VLOOKUP($B61, Dependencies!$B$2:$G$230, 4,FALSE), $B$14:AI$73, AI$74,FALSE),"o")=$D$5,IFERROR(VLOOKUP(VLOOKUP($B61, Dependencies!$B$2:$G$230, 5,FALSE), $B$14:AI$73, AI$74,FALSE),"o")=$D$5,IFERROR(VLOOKUP(VLOOKUP($B61, Dependencies!$B$2:$G$230, 6,FALSE), $B$14:AI$73, AI$74,FALSE),"o")=$D$5),$D$5,AH61)))</f>
        <v>o</v>
      </c>
      <c r="AJ61" s="94" t="s">
        <v>323</v>
      </c>
      <c r="AK61" s="72" t="str">
        <f>IF(AJ61=$D$4,AJ61,IF(OR(IFERROR(VLOOKUP(VLOOKUP($B61, Dependencies!$B$2:$G$230, 2,FALSE),$B$14:AK$73, AK$74,FALSE),"o")=$D$4,IFERROR(VLOOKUP(VLOOKUP($B61, Dependencies!$B$2:$G$230, 3,FALSE),$B$14:AK$73, AK$74,FALSE),"o")=$D$4,IFERROR(VLOOKUP(VLOOKUP($B61, Dependencies!$B$2:$G$230, 4,FALSE),$B$14:AK$73, AK$74,FALSE),"o")=$D$4,IFERROR(VLOOKUP(VLOOKUP($B61, Dependencies!$B$2:$G$230, 5,FALSE),$B$14:AK$73, AK$74,FALSE),"o")=$D$4,IFERROR(VLOOKUP(VLOOKUP($B61, Dependencies!$B$2:$G$230, 6,FALSE),$B$14:AK$73, AK$74,FALSE),"o")=$D$4),$D$4,IF(OR(IFERROR(VLOOKUP(VLOOKUP($B61, Dependencies!$B$2:$G$230, 2,FALSE), $B$14:AK$73, AK$74,FALSE),"o")=$D$5,IFERROR(VLOOKUP(VLOOKUP($B61, Dependencies!$B$2:$G$230, 3,FALSE), $B$14:AK$73, AK$74,FALSE),"o")=$D$5,IFERROR(VLOOKUP(VLOOKUP($B61, Dependencies!$B$2:$G$230, 4,FALSE), $B$14:AK$73, AK$74,FALSE),"o")=$D$5,IFERROR(VLOOKUP(VLOOKUP($B61, Dependencies!$B$2:$G$230, 5,FALSE), $B$14:AK$73, AK$74,FALSE),"o")=$D$5,IFERROR(VLOOKUP(VLOOKUP($B61, Dependencies!$B$2:$G$230, 6,FALSE), $B$14:AK$73, AK$74,FALSE),"o")=$D$5),$D$5,AJ61)))</f>
        <v>o</v>
      </c>
      <c r="AL61" s="94" t="s">
        <v>323</v>
      </c>
      <c r="AM61" s="72" t="str">
        <f>IF(AL61=$D$4,AL61,IF(OR(IFERROR(VLOOKUP(VLOOKUP($B61, Dependencies!$B$2:$G$230, 2,FALSE),$B$14:AM$73, AM$74,FALSE),"o")=$D$4,IFERROR(VLOOKUP(VLOOKUP($B61, Dependencies!$B$2:$G$230, 3,FALSE),$B$14:AM$73, AM$74,FALSE),"o")=$D$4,IFERROR(VLOOKUP(VLOOKUP($B61, Dependencies!$B$2:$G$230, 4,FALSE),$B$14:AM$73, AM$74,FALSE),"o")=$D$4,IFERROR(VLOOKUP(VLOOKUP($B61, Dependencies!$B$2:$G$230, 5,FALSE),$B$14:AM$73, AM$74,FALSE),"o")=$D$4,IFERROR(VLOOKUP(VLOOKUP($B61, Dependencies!$B$2:$G$230, 6,FALSE),$B$14:AM$73, AM$74,FALSE),"o")=$D$4),$D$4,IF(OR(IFERROR(VLOOKUP(VLOOKUP($B61, Dependencies!$B$2:$G$230, 2,FALSE), $B$14:AM$73, AM$74,FALSE),"o")=$D$5,IFERROR(VLOOKUP(VLOOKUP($B61, Dependencies!$B$2:$G$230, 3,FALSE), $B$14:AM$73, AM$74,FALSE),"o")=$D$5,IFERROR(VLOOKUP(VLOOKUP($B61, Dependencies!$B$2:$G$230, 4,FALSE), $B$14:AM$73, AM$74,FALSE),"o")=$D$5,IFERROR(VLOOKUP(VLOOKUP($B61, Dependencies!$B$2:$G$230, 5,FALSE), $B$14:AM$73, AM$74,FALSE),"o")=$D$5,IFERROR(VLOOKUP(VLOOKUP($B61, Dependencies!$B$2:$G$230, 6,FALSE), $B$14:AM$73, AM$74,FALSE),"o")=$D$5),$D$5,AL61)))</f>
        <v>o</v>
      </c>
      <c r="AN61" s="94" t="s">
        <v>323</v>
      </c>
      <c r="AO61" s="72" t="str">
        <f>IF(AN61=$D$4,AN61,IF(OR(IFERROR(VLOOKUP(VLOOKUP($B61, Dependencies!$B$2:$G$230, 2,FALSE),$B$14:AO$73, AO$74,FALSE),"o")=$D$4,IFERROR(VLOOKUP(VLOOKUP($B61, Dependencies!$B$2:$G$230, 3,FALSE),$B$14:AO$73, AO$74,FALSE),"o")=$D$4,IFERROR(VLOOKUP(VLOOKUP($B61, Dependencies!$B$2:$G$230, 4,FALSE),$B$14:AO$73, AO$74,FALSE),"o")=$D$4,IFERROR(VLOOKUP(VLOOKUP($B61, Dependencies!$B$2:$G$230, 5,FALSE),$B$14:AO$73, AO$74,FALSE),"o")=$D$4,IFERROR(VLOOKUP(VLOOKUP($B61, Dependencies!$B$2:$G$230, 6,FALSE),$B$14:AO$73, AO$74,FALSE),"o")=$D$4),$D$4,IF(OR(IFERROR(VLOOKUP(VLOOKUP($B61, Dependencies!$B$2:$G$230, 2,FALSE), $B$14:AO$73, AO$74,FALSE),"o")=$D$5,IFERROR(VLOOKUP(VLOOKUP($B61, Dependencies!$B$2:$G$230, 3,FALSE), $B$14:AO$73, AO$74,FALSE),"o")=$D$5,IFERROR(VLOOKUP(VLOOKUP($B61, Dependencies!$B$2:$G$230, 4,FALSE), $B$14:AO$73, AO$74,FALSE),"o")=$D$5,IFERROR(VLOOKUP(VLOOKUP($B61, Dependencies!$B$2:$G$230, 5,FALSE), $B$14:AO$73, AO$74,FALSE),"o")=$D$5,IFERROR(VLOOKUP(VLOOKUP($B61, Dependencies!$B$2:$G$230, 6,FALSE), $B$14:AO$73, AO$74,FALSE),"o")=$D$5),$D$5,AN61)))</f>
        <v>o</v>
      </c>
      <c r="AP61" s="94" t="s">
        <v>323</v>
      </c>
      <c r="AQ61" s="72" t="str">
        <f>IF(AP61=$D$4,AP61,IF(OR(IFERROR(VLOOKUP(VLOOKUP($B61, Dependencies!$B$2:$G$230, 2,FALSE),$B$14:AQ$73, AQ$74,FALSE),"o")=$D$4,IFERROR(VLOOKUP(VLOOKUP($B61, Dependencies!$B$2:$G$230, 3,FALSE),$B$14:AQ$73, AQ$74,FALSE),"o")=$D$4,IFERROR(VLOOKUP(VLOOKUP($B61, Dependencies!$B$2:$G$230, 4,FALSE),$B$14:AQ$73, AQ$74,FALSE),"o")=$D$4,IFERROR(VLOOKUP(VLOOKUP($B61, Dependencies!$B$2:$G$230, 5,FALSE),$B$14:AQ$73, AQ$74,FALSE),"o")=$D$4,IFERROR(VLOOKUP(VLOOKUP($B61, Dependencies!$B$2:$G$230, 6,FALSE),$B$14:AQ$73, AQ$74,FALSE),"o")=$D$4),$D$4,IF(OR(IFERROR(VLOOKUP(VLOOKUP($B61, Dependencies!$B$2:$G$230, 2,FALSE), $B$14:AQ$73, AQ$74,FALSE),"o")=$D$5,IFERROR(VLOOKUP(VLOOKUP($B61, Dependencies!$B$2:$G$230, 3,FALSE), $B$14:AQ$73, AQ$74,FALSE),"o")=$D$5,IFERROR(VLOOKUP(VLOOKUP($B61, Dependencies!$B$2:$G$230, 4,FALSE), $B$14:AQ$73, AQ$74,FALSE),"o")=$D$5,IFERROR(VLOOKUP(VLOOKUP($B61, Dependencies!$B$2:$G$230, 5,FALSE), $B$14:AQ$73, AQ$74,FALSE),"o")=$D$5,IFERROR(VLOOKUP(VLOOKUP($B61, Dependencies!$B$2:$G$230, 6,FALSE), $B$14:AQ$73, AQ$74,FALSE),"o")=$D$5),$D$5,AP61)))</f>
        <v>o</v>
      </c>
      <c r="AR61" s="94" t="s">
        <v>323</v>
      </c>
      <c r="AS61" s="71" t="str">
        <f>IF(AR61=$D$4,AR61,IF(OR(IFERROR(VLOOKUP(VLOOKUP($B61, Dependencies!$B$2:$G$230, 2,FALSE),$B$14:AS$73, AS$74,FALSE),"o")=$D$4,IFERROR(VLOOKUP(VLOOKUP($B61, Dependencies!$B$2:$G$230, 3,FALSE),$B$14:AS$73, AS$74,FALSE),"o")=$D$4,IFERROR(VLOOKUP(VLOOKUP($B61, Dependencies!$B$2:$G$230, 4,FALSE),$B$14:AS$73, AS$74,FALSE),"o")=$D$4,IFERROR(VLOOKUP(VLOOKUP($B61, Dependencies!$B$2:$G$230, 5,FALSE),$B$14:AS$73, AS$74,FALSE),"o")=$D$4,IFERROR(VLOOKUP(VLOOKUP($B61, Dependencies!$B$2:$G$230, 6,FALSE),$B$14:AS$73, AS$74,FALSE),"o")=$D$4),$D$4,IF(OR(IFERROR(VLOOKUP(VLOOKUP($B61, Dependencies!$B$2:$G$230, 2,FALSE), $B$14:AS$73, AS$74,FALSE),"o")=$D$5,IFERROR(VLOOKUP(VLOOKUP($B61, Dependencies!$B$2:$G$230, 3,FALSE), $B$14:AS$73, AS$74,FALSE),"o")=$D$5,IFERROR(VLOOKUP(VLOOKUP($B61, Dependencies!$B$2:$G$230, 4,FALSE), $B$14:AS$73, AS$74,FALSE),"o")=$D$5,IFERROR(VLOOKUP(VLOOKUP($B61, Dependencies!$B$2:$G$230, 5,FALSE), $B$14:AS$73, AS$74,FALSE),"o")=$D$5,IFERROR(VLOOKUP(VLOOKUP($B61, Dependencies!$B$2:$G$230, 6,FALSE), $B$14:AS$73, AS$74,FALSE),"o")=$D$5),$D$5,AR61)))</f>
        <v>o</v>
      </c>
    </row>
    <row r="62" spans="1:45" x14ac:dyDescent="0.2">
      <c r="A62" s="40"/>
      <c r="B62" s="73" t="str">
        <f>MLEOsv2!A50</f>
        <v>MLEO_06_01</v>
      </c>
      <c r="C62" s="73">
        <f>MLEOsv2!C50</f>
        <v>8</v>
      </c>
      <c r="D62" s="42" t="str">
        <f>MLEOsv2!G50</f>
        <v>able to create and throw checked and unchecked exceptions.</v>
      </c>
      <c r="E62" s="51" t="b">
        <f>MLEOsv2!H50</f>
        <v>0</v>
      </c>
      <c r="F62" s="93" t="s">
        <v>323</v>
      </c>
      <c r="G62" s="70" t="str">
        <f>IF(F62=$D$4,F62,IF(OR(IFERROR(VLOOKUP(VLOOKUP($B62, Dependencies!$B$2:$G$230, 2,FALSE),$B$14:G$73, G$74,FALSE),"o")=$D$4,IFERROR(VLOOKUP(VLOOKUP($B62, Dependencies!$B$2:$G$230, 3,FALSE),$B$14:G$73, G$74,FALSE),"o")=$D$4,IFERROR(VLOOKUP(VLOOKUP($B62, Dependencies!$B$2:$G$230, 4,FALSE),$B$14:G$73, G$74,FALSE),"o")=$D$4,IFERROR(VLOOKUP(VLOOKUP($B62, Dependencies!$B$2:$G$230, 5,FALSE),$B$14:G$73, G$74,FALSE),"o")=$D$4,IFERROR(VLOOKUP(VLOOKUP($B62, Dependencies!$B$2:$G$230, 6,FALSE),$B$14:G$73, G$74,FALSE),"o")=$D$4),$D$4,IF(OR(IFERROR(VLOOKUP(VLOOKUP($B62, Dependencies!$B$2:$G$230, 2,FALSE), $B$14:G$73, G$74,FALSE),"o")=$D$5,IFERROR(VLOOKUP(VLOOKUP($B62, Dependencies!$B$2:$G$230, 3,FALSE), $B$14:G$73, G$74,FALSE),"o")=$D$5,IFERROR(VLOOKUP(VLOOKUP($B62, Dependencies!$B$2:$G$230, 4,FALSE), $B$14:G$73, G$74,FALSE),"o")=$D$5,IFERROR(VLOOKUP(VLOOKUP($B62, Dependencies!$B$2:$G$230, 5,FALSE), $B$14:G$73, G$74,FALSE),"o")=$D$5,IFERROR(VLOOKUP(VLOOKUP($B62, Dependencies!$B$2:$G$230, 6,FALSE), $B$14:G$73, G$74,FALSE),"o")=$D$5),$D$5,F62)))</f>
        <v>o</v>
      </c>
      <c r="H62" s="93" t="s">
        <v>321</v>
      </c>
      <c r="I62" s="70" t="str">
        <f>IF(H62=$D$4,H62,IF(OR(IFERROR(VLOOKUP(VLOOKUP($B62, Dependencies!$B$2:$G$230, 2,FALSE),$B$14:I$73, I$74,FALSE),"o")=$D$4,IFERROR(VLOOKUP(VLOOKUP($B62, Dependencies!$B$2:$G$230, 3,FALSE),$B$14:I$73, I$74,FALSE),"o")=$D$4,IFERROR(VLOOKUP(VLOOKUP($B62, Dependencies!$B$2:$G$230, 4,FALSE),$B$14:I$73, I$74,FALSE),"o")=$D$4,IFERROR(VLOOKUP(VLOOKUP($B62, Dependencies!$B$2:$G$230, 5,FALSE),$B$14:I$73, I$74,FALSE),"o")=$D$4,IFERROR(VLOOKUP(VLOOKUP($B62, Dependencies!$B$2:$G$230, 6,FALSE),$B$14:I$73, I$74,FALSE),"o")=$D$4),$D$4,IF(OR(IFERROR(VLOOKUP(VLOOKUP($B62, Dependencies!$B$2:$G$230, 2,FALSE), $B$14:I$73, I$74,FALSE),"o")=$D$5,IFERROR(VLOOKUP(VLOOKUP($B62, Dependencies!$B$2:$G$230, 3,FALSE), $B$14:I$73, I$74,FALSE),"o")=$D$5,IFERROR(VLOOKUP(VLOOKUP($B62, Dependencies!$B$2:$G$230, 4,FALSE), $B$14:I$73, I$74,FALSE),"o")=$D$5,IFERROR(VLOOKUP(VLOOKUP($B62, Dependencies!$B$2:$G$230, 5,FALSE), $B$14:I$73, I$74,FALSE),"o")=$D$5,IFERROR(VLOOKUP(VLOOKUP($B62, Dependencies!$B$2:$G$230, 6,FALSE), $B$14:I$73, I$74,FALSE),"o")=$D$5),$D$5,H62)))</f>
        <v>pr</v>
      </c>
      <c r="J62" s="93" t="s">
        <v>323</v>
      </c>
      <c r="K62" s="70" t="str">
        <f>IF(J62=$D$4,J62,IF(OR(IFERROR(VLOOKUP(VLOOKUP($B62, Dependencies!$B$2:$G$230, 2,FALSE),$B$14:K$73, K$74,FALSE),"o")=$D$4,IFERROR(VLOOKUP(VLOOKUP($B62, Dependencies!$B$2:$G$230, 3,FALSE),$B$14:K$73, K$74,FALSE),"o")=$D$4,IFERROR(VLOOKUP(VLOOKUP($B62, Dependencies!$B$2:$G$230, 4,FALSE),$B$14:K$73, K$74,FALSE),"o")=$D$4,IFERROR(VLOOKUP(VLOOKUP($B62, Dependencies!$B$2:$G$230, 5,FALSE),$B$14:K$73, K$74,FALSE),"o")=$D$4,IFERROR(VLOOKUP(VLOOKUP($B62, Dependencies!$B$2:$G$230, 6,FALSE),$B$14:K$73, K$74,FALSE),"o")=$D$4),$D$4,IF(OR(IFERROR(VLOOKUP(VLOOKUP($B62, Dependencies!$B$2:$G$230, 2,FALSE), $B$14:K$73, K$74,FALSE),"o")=$D$5,IFERROR(VLOOKUP(VLOOKUP($B62, Dependencies!$B$2:$G$230, 3,FALSE), $B$14:K$73, K$74,FALSE),"o")=$D$5,IFERROR(VLOOKUP(VLOOKUP($B62, Dependencies!$B$2:$G$230, 4,FALSE), $B$14:K$73, K$74,FALSE),"o")=$D$5,IFERROR(VLOOKUP(VLOOKUP($B62, Dependencies!$B$2:$G$230, 5,FALSE), $B$14:K$73, K$74,FALSE),"o")=$D$5,IFERROR(VLOOKUP(VLOOKUP($B62, Dependencies!$B$2:$G$230, 6,FALSE), $B$14:K$73, K$74,FALSE),"o")=$D$5),$D$5,J62)))</f>
        <v>o</v>
      </c>
      <c r="L62" s="93" t="s">
        <v>323</v>
      </c>
      <c r="M62" s="70" t="str">
        <f>IF(L62=$D$4,L62,IF(OR(IFERROR(VLOOKUP(VLOOKUP($B62, Dependencies!$B$2:$G$230, 2,FALSE),$B$14:M$73, M$74,FALSE),"o")=$D$4,IFERROR(VLOOKUP(VLOOKUP($B62, Dependencies!$B$2:$G$230, 3,FALSE),$B$14:M$73, M$74,FALSE),"o")=$D$4,IFERROR(VLOOKUP(VLOOKUP($B62, Dependencies!$B$2:$G$230, 4,FALSE),$B$14:M$73, M$74,FALSE),"o")=$D$4,IFERROR(VLOOKUP(VLOOKUP($B62, Dependencies!$B$2:$G$230, 5,FALSE),$B$14:M$73, M$74,FALSE),"o")=$D$4,IFERROR(VLOOKUP(VLOOKUP($B62, Dependencies!$B$2:$G$230, 6,FALSE),$B$14:M$73, M$74,FALSE),"o")=$D$4),$D$4,IF(OR(IFERROR(VLOOKUP(VLOOKUP($B62, Dependencies!$B$2:$G$230, 2,FALSE), $B$14:M$73, M$74,FALSE),"o")=$D$5,IFERROR(VLOOKUP(VLOOKUP($B62, Dependencies!$B$2:$G$230, 3,FALSE), $B$14:M$73, M$74,FALSE),"o")=$D$5,IFERROR(VLOOKUP(VLOOKUP($B62, Dependencies!$B$2:$G$230, 4,FALSE), $B$14:M$73, M$74,FALSE),"o")=$D$5,IFERROR(VLOOKUP(VLOOKUP($B62, Dependencies!$B$2:$G$230, 5,FALSE), $B$14:M$73, M$74,FALSE),"o")=$D$5,IFERROR(VLOOKUP(VLOOKUP($B62, Dependencies!$B$2:$G$230, 6,FALSE), $B$14:M$73, M$74,FALSE),"o")=$D$5),$D$5,L62)))</f>
        <v>o</v>
      </c>
      <c r="N62" s="93" t="s">
        <v>323</v>
      </c>
      <c r="O62" s="70" t="str">
        <f>IF(N62=$D$4,N62,IF(OR(IFERROR(VLOOKUP(VLOOKUP($B62, Dependencies!$B$2:$G$230, 2,FALSE),$B$14:O$73, O$74,FALSE),"o")=$D$4,IFERROR(VLOOKUP(VLOOKUP($B62, Dependencies!$B$2:$G$230, 3,FALSE),$B$14:O$73, O$74,FALSE),"o")=$D$4,IFERROR(VLOOKUP(VLOOKUP($B62, Dependencies!$B$2:$G$230, 4,FALSE),$B$14:O$73, O$74,FALSE),"o")=$D$4,IFERROR(VLOOKUP(VLOOKUP($B62, Dependencies!$B$2:$G$230, 5,FALSE),$B$14:O$73, O$74,FALSE),"o")=$D$4,IFERROR(VLOOKUP(VLOOKUP($B62, Dependencies!$B$2:$G$230, 6,FALSE),$B$14:O$73, O$74,FALSE),"o")=$D$4),$D$4,IF(OR(IFERROR(VLOOKUP(VLOOKUP($B62, Dependencies!$B$2:$G$230, 2,FALSE), $B$14:O$73, O$74,FALSE),"o")=$D$5,IFERROR(VLOOKUP(VLOOKUP($B62, Dependencies!$B$2:$G$230, 3,FALSE), $B$14:O$73, O$74,FALSE),"o")=$D$5,IFERROR(VLOOKUP(VLOOKUP($B62, Dependencies!$B$2:$G$230, 4,FALSE), $B$14:O$73, O$74,FALSE),"o")=$D$5,IFERROR(VLOOKUP(VLOOKUP($B62, Dependencies!$B$2:$G$230, 5,FALSE), $B$14:O$73, O$74,FALSE),"o")=$D$5,IFERROR(VLOOKUP(VLOOKUP($B62, Dependencies!$B$2:$G$230, 6,FALSE), $B$14:O$73, O$74,FALSE),"o")=$D$5),$D$5,N62)))</f>
        <v>o</v>
      </c>
      <c r="P62" s="93" t="s">
        <v>323</v>
      </c>
      <c r="Q62" s="70" t="str">
        <f>IF(P62=$D$4,P62,IF(OR(IFERROR(VLOOKUP(VLOOKUP($B62, Dependencies!$B$2:$G$230, 2,FALSE),$B$14:Q$73, Q$74,FALSE),"o")=$D$4,IFERROR(VLOOKUP(VLOOKUP($B62, Dependencies!$B$2:$G$230, 3,FALSE),$B$14:Q$73, Q$74,FALSE),"o")=$D$4,IFERROR(VLOOKUP(VLOOKUP($B62, Dependencies!$B$2:$G$230, 4,FALSE),$B$14:Q$73, Q$74,FALSE),"o")=$D$4,IFERROR(VLOOKUP(VLOOKUP($B62, Dependencies!$B$2:$G$230, 5,FALSE),$B$14:Q$73, Q$74,FALSE),"o")=$D$4,IFERROR(VLOOKUP(VLOOKUP($B62, Dependencies!$B$2:$G$230, 6,FALSE),$B$14:Q$73, Q$74,FALSE),"o")=$D$4),$D$4,IF(OR(IFERROR(VLOOKUP(VLOOKUP($B62, Dependencies!$B$2:$G$230, 2,FALSE), $B$14:Q$73, Q$74,FALSE),"o")=$D$5,IFERROR(VLOOKUP(VLOOKUP($B62, Dependencies!$B$2:$G$230, 3,FALSE), $B$14:Q$73, Q$74,FALSE),"o")=$D$5,IFERROR(VLOOKUP(VLOOKUP($B62, Dependencies!$B$2:$G$230, 4,FALSE), $B$14:Q$73, Q$74,FALSE),"o")=$D$5,IFERROR(VLOOKUP(VLOOKUP($B62, Dependencies!$B$2:$G$230, 5,FALSE), $B$14:Q$73, Q$74,FALSE),"o")=$D$5,IFERROR(VLOOKUP(VLOOKUP($B62, Dependencies!$B$2:$G$230, 6,FALSE), $B$14:Q$73, Q$74,FALSE),"o")=$D$5),$D$5,P62)))</f>
        <v>o</v>
      </c>
      <c r="R62" s="93" t="s">
        <v>323</v>
      </c>
      <c r="S62" s="70" t="str">
        <f>IF(R62=$D$4,R62,IF(OR(IFERROR(VLOOKUP(VLOOKUP($B62, Dependencies!$B$2:$G$230, 2,FALSE),$B$14:S$73, S$74,FALSE),"o")=$D$4,IFERROR(VLOOKUP(VLOOKUP($B62, Dependencies!$B$2:$G$230, 3,FALSE),$B$14:S$73, S$74,FALSE),"o")=$D$4,IFERROR(VLOOKUP(VLOOKUP($B62, Dependencies!$B$2:$G$230, 4,FALSE),$B$14:S$73, S$74,FALSE),"o")=$D$4,IFERROR(VLOOKUP(VLOOKUP($B62, Dependencies!$B$2:$G$230, 5,FALSE),$B$14:S$73, S$74,FALSE),"o")=$D$4,IFERROR(VLOOKUP(VLOOKUP($B62, Dependencies!$B$2:$G$230, 6,FALSE),$B$14:S$73, S$74,FALSE),"o")=$D$4),$D$4,IF(OR(IFERROR(VLOOKUP(VLOOKUP($B62, Dependencies!$B$2:$G$230, 2,FALSE), $B$14:S$73, S$74,FALSE),"o")=$D$5,IFERROR(VLOOKUP(VLOOKUP($B62, Dependencies!$B$2:$G$230, 3,FALSE), $B$14:S$73, S$74,FALSE),"o")=$D$5,IFERROR(VLOOKUP(VLOOKUP($B62, Dependencies!$B$2:$G$230, 4,FALSE), $B$14:S$73, S$74,FALSE),"o")=$D$5,IFERROR(VLOOKUP(VLOOKUP($B62, Dependencies!$B$2:$G$230, 5,FALSE), $B$14:S$73, S$74,FALSE),"o")=$D$5,IFERROR(VLOOKUP(VLOOKUP($B62, Dependencies!$B$2:$G$230, 6,FALSE), $B$14:S$73, S$74,FALSE),"o")=$D$5),$D$5,R62)))</f>
        <v>o</v>
      </c>
      <c r="T62" s="93" t="s">
        <v>323</v>
      </c>
      <c r="U62" s="70" t="str">
        <f>IF(T62=$D$4,T62,IF(OR(IFERROR(VLOOKUP(VLOOKUP($B62, Dependencies!$B$2:$G$230, 2,FALSE),$B$14:U$73, U$74,FALSE),"o")=$D$4,IFERROR(VLOOKUP(VLOOKUP($B62, Dependencies!$B$2:$G$230, 3,FALSE),$B$14:U$73, U$74,FALSE),"o")=$D$4,IFERROR(VLOOKUP(VLOOKUP($B62, Dependencies!$B$2:$G$230, 4,FALSE),$B$14:U$73, U$74,FALSE),"o")=$D$4,IFERROR(VLOOKUP(VLOOKUP($B62, Dependencies!$B$2:$G$230, 5,FALSE),$B$14:U$73, U$74,FALSE),"o")=$D$4,IFERROR(VLOOKUP(VLOOKUP($B62, Dependencies!$B$2:$G$230, 6,FALSE),$B$14:U$73, U$74,FALSE),"o")=$D$4),$D$4,IF(OR(IFERROR(VLOOKUP(VLOOKUP($B62, Dependencies!$B$2:$G$230, 2,FALSE), $B$14:U$73, U$74,FALSE),"o")=$D$5,IFERROR(VLOOKUP(VLOOKUP($B62, Dependencies!$B$2:$G$230, 3,FALSE), $B$14:U$73, U$74,FALSE),"o")=$D$5,IFERROR(VLOOKUP(VLOOKUP($B62, Dependencies!$B$2:$G$230, 4,FALSE), $B$14:U$73, U$74,FALSE),"o")=$D$5,IFERROR(VLOOKUP(VLOOKUP($B62, Dependencies!$B$2:$G$230, 5,FALSE), $B$14:U$73, U$74,FALSE),"o")=$D$5,IFERROR(VLOOKUP(VLOOKUP($B62, Dependencies!$B$2:$G$230, 6,FALSE), $B$14:U$73, U$74,FALSE),"o")=$D$5),$D$5,T62)))</f>
        <v>o</v>
      </c>
      <c r="V62" s="93" t="s">
        <v>323</v>
      </c>
      <c r="W62" s="70" t="str">
        <f>IF(V62=$D$4,V62,IF(OR(IFERROR(VLOOKUP(VLOOKUP($B62, Dependencies!$B$2:$G$230, 2,FALSE),$B$14:W$73, W$74,FALSE),"o")=$D$4,IFERROR(VLOOKUP(VLOOKUP($B62, Dependencies!$B$2:$G$230, 3,FALSE),$B$14:W$73, W$74,FALSE),"o")=$D$4,IFERROR(VLOOKUP(VLOOKUP($B62, Dependencies!$B$2:$G$230, 4,FALSE),$B$14:W$73, W$74,FALSE),"o")=$D$4,IFERROR(VLOOKUP(VLOOKUP($B62, Dependencies!$B$2:$G$230, 5,FALSE),$B$14:W$73, W$74,FALSE),"o")=$D$4,IFERROR(VLOOKUP(VLOOKUP($B62, Dependencies!$B$2:$G$230, 6,FALSE),$B$14:W$73, W$74,FALSE),"o")=$D$4),$D$4,IF(OR(IFERROR(VLOOKUP(VLOOKUP($B62, Dependencies!$B$2:$G$230, 2,FALSE), $B$14:W$73, W$74,FALSE),"o")=$D$5,IFERROR(VLOOKUP(VLOOKUP($B62, Dependencies!$B$2:$G$230, 3,FALSE), $B$14:W$73, W$74,FALSE),"o")=$D$5,IFERROR(VLOOKUP(VLOOKUP($B62, Dependencies!$B$2:$G$230, 4,FALSE), $B$14:W$73, W$74,FALSE),"o")=$D$5,IFERROR(VLOOKUP(VLOOKUP($B62, Dependencies!$B$2:$G$230, 5,FALSE), $B$14:W$73, W$74,FALSE),"o")=$D$5,IFERROR(VLOOKUP(VLOOKUP($B62, Dependencies!$B$2:$G$230, 6,FALSE), $B$14:W$73, W$74,FALSE),"o")=$D$5),$D$5,V62)))</f>
        <v>o</v>
      </c>
      <c r="X62" s="93" t="s">
        <v>323</v>
      </c>
      <c r="Y62" s="70" t="str">
        <f>IF(X62=$D$4,X62,IF(OR(IFERROR(VLOOKUP(VLOOKUP($B62, Dependencies!$B$2:$G$230, 2,FALSE),$B$14:Y$73, Y$74,FALSE),"o")=$D$4,IFERROR(VLOOKUP(VLOOKUP($B62, Dependencies!$B$2:$G$230, 3,FALSE),$B$14:Y$73, Y$74,FALSE),"o")=$D$4,IFERROR(VLOOKUP(VLOOKUP($B62, Dependencies!$B$2:$G$230, 4,FALSE),$B$14:Y$73, Y$74,FALSE),"o")=$D$4,IFERROR(VLOOKUP(VLOOKUP($B62, Dependencies!$B$2:$G$230, 5,FALSE),$B$14:Y$73, Y$74,FALSE),"o")=$D$4,IFERROR(VLOOKUP(VLOOKUP($B62, Dependencies!$B$2:$G$230, 6,FALSE),$B$14:Y$73, Y$74,FALSE),"o")=$D$4),$D$4,IF(OR(IFERROR(VLOOKUP(VLOOKUP($B62, Dependencies!$B$2:$G$230, 2,FALSE), $B$14:Y$73, Y$74,FALSE),"o")=$D$5,IFERROR(VLOOKUP(VLOOKUP($B62, Dependencies!$B$2:$G$230, 3,FALSE), $B$14:Y$73, Y$74,FALSE),"o")=$D$5,IFERROR(VLOOKUP(VLOOKUP($B62, Dependencies!$B$2:$G$230, 4,FALSE), $B$14:Y$73, Y$74,FALSE),"o")=$D$5,IFERROR(VLOOKUP(VLOOKUP($B62, Dependencies!$B$2:$G$230, 5,FALSE), $B$14:Y$73, Y$74,FALSE),"o")=$D$5,IFERROR(VLOOKUP(VLOOKUP($B62, Dependencies!$B$2:$G$230, 6,FALSE), $B$14:Y$73, Y$74,FALSE),"o")=$D$5),$D$5,X62)))</f>
        <v>o</v>
      </c>
      <c r="Z62" s="93" t="s">
        <v>323</v>
      </c>
      <c r="AA62" s="70" t="str">
        <f>IF(Z62=$D$4,Z62,IF(OR(IFERROR(VLOOKUP(VLOOKUP($B62, Dependencies!$B$2:$G$230, 2,FALSE),$B$14:AA$73, AA$74,FALSE),"o")=$D$4,IFERROR(VLOOKUP(VLOOKUP($B62, Dependencies!$B$2:$G$230, 3,FALSE),$B$14:AA$73, AA$74,FALSE),"o")=$D$4,IFERROR(VLOOKUP(VLOOKUP($B62, Dependencies!$B$2:$G$230, 4,FALSE),$B$14:AA$73, AA$74,FALSE),"o")=$D$4,IFERROR(VLOOKUP(VLOOKUP($B62, Dependencies!$B$2:$G$230, 5,FALSE),$B$14:AA$73, AA$74,FALSE),"o")=$D$4,IFERROR(VLOOKUP(VLOOKUP($B62, Dependencies!$B$2:$G$230, 6,FALSE),$B$14:AA$73, AA$74,FALSE),"o")=$D$4),$D$4,IF(OR(IFERROR(VLOOKUP(VLOOKUP($B62, Dependencies!$B$2:$G$230, 2,FALSE), $B$14:AA$73, AA$74,FALSE),"o")=$D$5,IFERROR(VLOOKUP(VLOOKUP($B62, Dependencies!$B$2:$G$230, 3,FALSE), $B$14:AA$73, AA$74,FALSE),"o")=$D$5,IFERROR(VLOOKUP(VLOOKUP($B62, Dependencies!$B$2:$G$230, 4,FALSE), $B$14:AA$73, AA$74,FALSE),"o")=$D$5,IFERROR(VLOOKUP(VLOOKUP($B62, Dependencies!$B$2:$G$230, 5,FALSE), $B$14:AA$73, AA$74,FALSE),"o")=$D$5,IFERROR(VLOOKUP(VLOOKUP($B62, Dependencies!$B$2:$G$230, 6,FALSE), $B$14:AA$73, AA$74,FALSE),"o")=$D$5),$D$5,Z62)))</f>
        <v>o</v>
      </c>
      <c r="AB62" s="93" t="s">
        <v>323</v>
      </c>
      <c r="AC62" s="70" t="str">
        <f>IF(AB62=$D$4,AB62,IF(OR(IFERROR(VLOOKUP(VLOOKUP($B62, Dependencies!$B$2:$G$230, 2,FALSE),$B$14:AC$73, AC$74,FALSE),"o")=$D$4,IFERROR(VLOOKUP(VLOOKUP($B62, Dependencies!$B$2:$G$230, 3,FALSE),$B$14:AC$73, AC$74,FALSE),"o")=$D$4,IFERROR(VLOOKUP(VLOOKUP($B62, Dependencies!$B$2:$G$230, 4,FALSE),$B$14:AC$73, AC$74,FALSE),"o")=$D$4,IFERROR(VLOOKUP(VLOOKUP($B62, Dependencies!$B$2:$G$230, 5,FALSE),$B$14:AC$73, AC$74,FALSE),"o")=$D$4,IFERROR(VLOOKUP(VLOOKUP($B62, Dependencies!$B$2:$G$230, 6,FALSE),$B$14:AC$73, AC$74,FALSE),"o")=$D$4),$D$4,IF(OR(IFERROR(VLOOKUP(VLOOKUP($B62, Dependencies!$B$2:$G$230, 2,FALSE), $B$14:AC$73, AC$74,FALSE),"o")=$D$5,IFERROR(VLOOKUP(VLOOKUP($B62, Dependencies!$B$2:$G$230, 3,FALSE), $B$14:AC$73, AC$74,FALSE),"o")=$D$5,IFERROR(VLOOKUP(VLOOKUP($B62, Dependencies!$B$2:$G$230, 4,FALSE), $B$14:AC$73, AC$74,FALSE),"o")=$D$5,IFERROR(VLOOKUP(VLOOKUP($B62, Dependencies!$B$2:$G$230, 5,FALSE), $B$14:AC$73, AC$74,FALSE),"o")=$D$5,IFERROR(VLOOKUP(VLOOKUP($B62, Dependencies!$B$2:$G$230, 6,FALSE), $B$14:AC$73, AC$74,FALSE),"o")=$D$5),$D$5,AB62)))</f>
        <v>o</v>
      </c>
      <c r="AD62" s="93" t="s">
        <v>323</v>
      </c>
      <c r="AE62" s="70" t="str">
        <f>IF(AD62=$D$4,AD62,IF(OR(IFERROR(VLOOKUP(VLOOKUP($B62, Dependencies!$B$2:$G$230, 2,FALSE),$B$14:AE$73, AE$74,FALSE),"o")=$D$4,IFERROR(VLOOKUP(VLOOKUP($B62, Dependencies!$B$2:$G$230, 3,FALSE),$B$14:AE$73, AE$74,FALSE),"o")=$D$4,IFERROR(VLOOKUP(VLOOKUP($B62, Dependencies!$B$2:$G$230, 4,FALSE),$B$14:AE$73, AE$74,FALSE),"o")=$D$4,IFERROR(VLOOKUP(VLOOKUP($B62, Dependencies!$B$2:$G$230, 5,FALSE),$B$14:AE$73, AE$74,FALSE),"o")=$D$4,IFERROR(VLOOKUP(VLOOKUP($B62, Dependencies!$B$2:$G$230, 6,FALSE),$B$14:AE$73, AE$74,FALSE),"o")=$D$4),$D$4,IF(OR(IFERROR(VLOOKUP(VLOOKUP($B62, Dependencies!$B$2:$G$230, 2,FALSE), $B$14:AE$73, AE$74,FALSE),"o")=$D$5,IFERROR(VLOOKUP(VLOOKUP($B62, Dependencies!$B$2:$G$230, 3,FALSE), $B$14:AE$73, AE$74,FALSE),"o")=$D$5,IFERROR(VLOOKUP(VLOOKUP($B62, Dependencies!$B$2:$G$230, 4,FALSE), $B$14:AE$73, AE$74,FALSE),"o")=$D$5,IFERROR(VLOOKUP(VLOOKUP($B62, Dependencies!$B$2:$G$230, 5,FALSE), $B$14:AE$73, AE$74,FALSE),"o")=$D$5,IFERROR(VLOOKUP(VLOOKUP($B62, Dependencies!$B$2:$G$230, 6,FALSE), $B$14:AE$73, AE$74,FALSE),"o")=$D$5),$D$5,AD62)))</f>
        <v>o</v>
      </c>
      <c r="AF62" s="93" t="s">
        <v>323</v>
      </c>
      <c r="AG62" s="70" t="str">
        <f>IF(AF62=$D$4,AF62,IF(OR(IFERROR(VLOOKUP(VLOOKUP($B62, Dependencies!$B$2:$G$230, 2,FALSE),$B$14:AG$73, AG$74,FALSE),"o")=$D$4,IFERROR(VLOOKUP(VLOOKUP($B62, Dependencies!$B$2:$G$230, 3,FALSE),$B$14:AG$73, AG$74,FALSE),"o")=$D$4,IFERROR(VLOOKUP(VLOOKUP($B62, Dependencies!$B$2:$G$230, 4,FALSE),$B$14:AG$73, AG$74,FALSE),"o")=$D$4,IFERROR(VLOOKUP(VLOOKUP($B62, Dependencies!$B$2:$G$230, 5,FALSE),$B$14:AG$73, AG$74,FALSE),"o")=$D$4,IFERROR(VLOOKUP(VLOOKUP($B62, Dependencies!$B$2:$G$230, 6,FALSE),$B$14:AG$73, AG$74,FALSE),"o")=$D$4),$D$4,IF(OR(IFERROR(VLOOKUP(VLOOKUP($B62, Dependencies!$B$2:$G$230, 2,FALSE), $B$14:AG$73, AG$74,FALSE),"o")=$D$5,IFERROR(VLOOKUP(VLOOKUP($B62, Dependencies!$B$2:$G$230, 3,FALSE), $B$14:AG$73, AG$74,FALSE),"o")=$D$5,IFERROR(VLOOKUP(VLOOKUP($B62, Dependencies!$B$2:$G$230, 4,FALSE), $B$14:AG$73, AG$74,FALSE),"o")=$D$5,IFERROR(VLOOKUP(VLOOKUP($B62, Dependencies!$B$2:$G$230, 5,FALSE), $B$14:AG$73, AG$74,FALSE),"o")=$D$5,IFERROR(VLOOKUP(VLOOKUP($B62, Dependencies!$B$2:$G$230, 6,FALSE), $B$14:AG$73, AG$74,FALSE),"o")=$D$5),$D$5,AF62)))</f>
        <v>o</v>
      </c>
      <c r="AH62" s="93" t="s">
        <v>323</v>
      </c>
      <c r="AI62" s="70" t="str">
        <f>IF(AH62=$D$4,AH62,IF(OR(IFERROR(VLOOKUP(VLOOKUP($B62, Dependencies!$B$2:$G$230, 2,FALSE),$B$14:AI$73, AI$74,FALSE),"o")=$D$4,IFERROR(VLOOKUP(VLOOKUP($B62, Dependencies!$B$2:$G$230, 3,FALSE),$B$14:AI$73, AI$74,FALSE),"o")=$D$4,IFERROR(VLOOKUP(VLOOKUP($B62, Dependencies!$B$2:$G$230, 4,FALSE),$B$14:AI$73, AI$74,FALSE),"o")=$D$4,IFERROR(VLOOKUP(VLOOKUP($B62, Dependencies!$B$2:$G$230, 5,FALSE),$B$14:AI$73, AI$74,FALSE),"o")=$D$4,IFERROR(VLOOKUP(VLOOKUP($B62, Dependencies!$B$2:$G$230, 6,FALSE),$B$14:AI$73, AI$74,FALSE),"o")=$D$4),$D$4,IF(OR(IFERROR(VLOOKUP(VLOOKUP($B62, Dependencies!$B$2:$G$230, 2,FALSE), $B$14:AI$73, AI$74,FALSE),"o")=$D$5,IFERROR(VLOOKUP(VLOOKUP($B62, Dependencies!$B$2:$G$230, 3,FALSE), $B$14:AI$73, AI$74,FALSE),"o")=$D$5,IFERROR(VLOOKUP(VLOOKUP($B62, Dependencies!$B$2:$G$230, 4,FALSE), $B$14:AI$73, AI$74,FALSE),"o")=$D$5,IFERROR(VLOOKUP(VLOOKUP($B62, Dependencies!$B$2:$G$230, 5,FALSE), $B$14:AI$73, AI$74,FALSE),"o")=$D$5,IFERROR(VLOOKUP(VLOOKUP($B62, Dependencies!$B$2:$G$230, 6,FALSE), $B$14:AI$73, AI$74,FALSE),"o")=$D$5),$D$5,AH62)))</f>
        <v>o</v>
      </c>
      <c r="AJ62" s="93" t="s">
        <v>323</v>
      </c>
      <c r="AK62" s="70" t="str">
        <f>IF(AJ62=$D$4,AJ62,IF(OR(IFERROR(VLOOKUP(VLOOKUP($B62, Dependencies!$B$2:$G$230, 2,FALSE),$B$14:AK$73, AK$74,FALSE),"o")=$D$4,IFERROR(VLOOKUP(VLOOKUP($B62, Dependencies!$B$2:$G$230, 3,FALSE),$B$14:AK$73, AK$74,FALSE),"o")=$D$4,IFERROR(VLOOKUP(VLOOKUP($B62, Dependencies!$B$2:$G$230, 4,FALSE),$B$14:AK$73, AK$74,FALSE),"o")=$D$4,IFERROR(VLOOKUP(VLOOKUP($B62, Dependencies!$B$2:$G$230, 5,FALSE),$B$14:AK$73, AK$74,FALSE),"o")=$D$4,IFERROR(VLOOKUP(VLOOKUP($B62, Dependencies!$B$2:$G$230, 6,FALSE),$B$14:AK$73, AK$74,FALSE),"o")=$D$4),$D$4,IF(OR(IFERROR(VLOOKUP(VLOOKUP($B62, Dependencies!$B$2:$G$230, 2,FALSE), $B$14:AK$73, AK$74,FALSE),"o")=$D$5,IFERROR(VLOOKUP(VLOOKUP($B62, Dependencies!$B$2:$G$230, 3,FALSE), $B$14:AK$73, AK$74,FALSE),"o")=$D$5,IFERROR(VLOOKUP(VLOOKUP($B62, Dependencies!$B$2:$G$230, 4,FALSE), $B$14:AK$73, AK$74,FALSE),"o")=$D$5,IFERROR(VLOOKUP(VLOOKUP($B62, Dependencies!$B$2:$G$230, 5,FALSE), $B$14:AK$73, AK$74,FALSE),"o")=$D$5,IFERROR(VLOOKUP(VLOOKUP($B62, Dependencies!$B$2:$G$230, 6,FALSE), $B$14:AK$73, AK$74,FALSE),"o")=$D$5),$D$5,AJ62)))</f>
        <v>o</v>
      </c>
      <c r="AL62" s="93" t="s">
        <v>323</v>
      </c>
      <c r="AM62" s="70" t="str">
        <f>IF(AL62=$D$4,AL62,IF(OR(IFERROR(VLOOKUP(VLOOKUP($B62, Dependencies!$B$2:$G$230, 2,FALSE),$B$14:AM$73, AM$74,FALSE),"o")=$D$4,IFERROR(VLOOKUP(VLOOKUP($B62, Dependencies!$B$2:$G$230, 3,FALSE),$B$14:AM$73, AM$74,FALSE),"o")=$D$4,IFERROR(VLOOKUP(VLOOKUP($B62, Dependencies!$B$2:$G$230, 4,FALSE),$B$14:AM$73, AM$74,FALSE),"o")=$D$4,IFERROR(VLOOKUP(VLOOKUP($B62, Dependencies!$B$2:$G$230, 5,FALSE),$B$14:AM$73, AM$74,FALSE),"o")=$D$4,IFERROR(VLOOKUP(VLOOKUP($B62, Dependencies!$B$2:$G$230, 6,FALSE),$B$14:AM$73, AM$74,FALSE),"o")=$D$4),$D$4,IF(OR(IFERROR(VLOOKUP(VLOOKUP($B62, Dependencies!$B$2:$G$230, 2,FALSE), $B$14:AM$73, AM$74,FALSE),"o")=$D$5,IFERROR(VLOOKUP(VLOOKUP($B62, Dependencies!$B$2:$G$230, 3,FALSE), $B$14:AM$73, AM$74,FALSE),"o")=$D$5,IFERROR(VLOOKUP(VLOOKUP($B62, Dependencies!$B$2:$G$230, 4,FALSE), $B$14:AM$73, AM$74,FALSE),"o")=$D$5,IFERROR(VLOOKUP(VLOOKUP($B62, Dependencies!$B$2:$G$230, 5,FALSE), $B$14:AM$73, AM$74,FALSE),"o")=$D$5,IFERROR(VLOOKUP(VLOOKUP($B62, Dependencies!$B$2:$G$230, 6,FALSE), $B$14:AM$73, AM$74,FALSE),"o")=$D$5),$D$5,AL62)))</f>
        <v>o</v>
      </c>
      <c r="AN62" s="93" t="s">
        <v>323</v>
      </c>
      <c r="AO62" s="70" t="str">
        <f>IF(AN62=$D$4,AN62,IF(OR(IFERROR(VLOOKUP(VLOOKUP($B62, Dependencies!$B$2:$G$230, 2,FALSE),$B$14:AO$73, AO$74,FALSE),"o")=$D$4,IFERROR(VLOOKUP(VLOOKUP($B62, Dependencies!$B$2:$G$230, 3,FALSE),$B$14:AO$73, AO$74,FALSE),"o")=$D$4,IFERROR(VLOOKUP(VLOOKUP($B62, Dependencies!$B$2:$G$230, 4,FALSE),$B$14:AO$73, AO$74,FALSE),"o")=$D$4,IFERROR(VLOOKUP(VLOOKUP($B62, Dependencies!$B$2:$G$230, 5,FALSE),$B$14:AO$73, AO$74,FALSE),"o")=$D$4,IFERROR(VLOOKUP(VLOOKUP($B62, Dependencies!$B$2:$G$230, 6,FALSE),$B$14:AO$73, AO$74,FALSE),"o")=$D$4),$D$4,IF(OR(IFERROR(VLOOKUP(VLOOKUP($B62, Dependencies!$B$2:$G$230, 2,FALSE), $B$14:AO$73, AO$74,FALSE),"o")=$D$5,IFERROR(VLOOKUP(VLOOKUP($B62, Dependencies!$B$2:$G$230, 3,FALSE), $B$14:AO$73, AO$74,FALSE),"o")=$D$5,IFERROR(VLOOKUP(VLOOKUP($B62, Dependencies!$B$2:$G$230, 4,FALSE), $B$14:AO$73, AO$74,FALSE),"o")=$D$5,IFERROR(VLOOKUP(VLOOKUP($B62, Dependencies!$B$2:$G$230, 5,FALSE), $B$14:AO$73, AO$74,FALSE),"o")=$D$5,IFERROR(VLOOKUP(VLOOKUP($B62, Dependencies!$B$2:$G$230, 6,FALSE), $B$14:AO$73, AO$74,FALSE),"o")=$D$5),$D$5,AN62)))</f>
        <v>o</v>
      </c>
      <c r="AP62" s="93" t="s">
        <v>323</v>
      </c>
      <c r="AQ62" s="70" t="str">
        <f>IF(AP62=$D$4,AP62,IF(OR(IFERROR(VLOOKUP(VLOOKUP($B62, Dependencies!$B$2:$G$230, 2,FALSE),$B$14:AQ$73, AQ$74,FALSE),"o")=$D$4,IFERROR(VLOOKUP(VLOOKUP($B62, Dependencies!$B$2:$G$230, 3,FALSE),$B$14:AQ$73, AQ$74,FALSE),"o")=$D$4,IFERROR(VLOOKUP(VLOOKUP($B62, Dependencies!$B$2:$G$230, 4,FALSE),$B$14:AQ$73, AQ$74,FALSE),"o")=$D$4,IFERROR(VLOOKUP(VLOOKUP($B62, Dependencies!$B$2:$G$230, 5,FALSE),$B$14:AQ$73, AQ$74,FALSE),"o")=$D$4,IFERROR(VLOOKUP(VLOOKUP($B62, Dependencies!$B$2:$G$230, 6,FALSE),$B$14:AQ$73, AQ$74,FALSE),"o")=$D$4),$D$4,IF(OR(IFERROR(VLOOKUP(VLOOKUP($B62, Dependencies!$B$2:$G$230, 2,FALSE), $B$14:AQ$73, AQ$74,FALSE),"o")=$D$5,IFERROR(VLOOKUP(VLOOKUP($B62, Dependencies!$B$2:$G$230, 3,FALSE), $B$14:AQ$73, AQ$74,FALSE),"o")=$D$5,IFERROR(VLOOKUP(VLOOKUP($B62, Dependencies!$B$2:$G$230, 4,FALSE), $B$14:AQ$73, AQ$74,FALSE),"o")=$D$5,IFERROR(VLOOKUP(VLOOKUP($B62, Dependencies!$B$2:$G$230, 5,FALSE), $B$14:AQ$73, AQ$74,FALSE),"o")=$D$5,IFERROR(VLOOKUP(VLOOKUP($B62, Dependencies!$B$2:$G$230, 6,FALSE), $B$14:AQ$73, AQ$74,FALSE),"o")=$D$5),$D$5,AP62)))</f>
        <v>o</v>
      </c>
      <c r="AR62" s="93" t="s">
        <v>323</v>
      </c>
      <c r="AS62" s="69" t="str">
        <f>IF(AR62=$D$4,AR62,IF(OR(IFERROR(VLOOKUP(VLOOKUP($B62, Dependencies!$B$2:$G$230, 2,FALSE),$B$14:AS$73, AS$74,FALSE),"o")=$D$4,IFERROR(VLOOKUP(VLOOKUP($B62, Dependencies!$B$2:$G$230, 3,FALSE),$B$14:AS$73, AS$74,FALSE),"o")=$D$4,IFERROR(VLOOKUP(VLOOKUP($B62, Dependencies!$B$2:$G$230, 4,FALSE),$B$14:AS$73, AS$74,FALSE),"o")=$D$4,IFERROR(VLOOKUP(VLOOKUP($B62, Dependencies!$B$2:$G$230, 5,FALSE),$B$14:AS$73, AS$74,FALSE),"o")=$D$4,IFERROR(VLOOKUP(VLOOKUP($B62, Dependencies!$B$2:$G$230, 6,FALSE),$B$14:AS$73, AS$74,FALSE),"o")=$D$4),$D$4,IF(OR(IFERROR(VLOOKUP(VLOOKUP($B62, Dependencies!$B$2:$G$230, 2,FALSE), $B$14:AS$73, AS$74,FALSE),"o")=$D$5,IFERROR(VLOOKUP(VLOOKUP($B62, Dependencies!$B$2:$G$230, 3,FALSE), $B$14:AS$73, AS$74,FALSE),"o")=$D$5,IFERROR(VLOOKUP(VLOOKUP($B62, Dependencies!$B$2:$G$230, 4,FALSE), $B$14:AS$73, AS$74,FALSE),"o")=$D$5,IFERROR(VLOOKUP(VLOOKUP($B62, Dependencies!$B$2:$G$230, 5,FALSE), $B$14:AS$73, AS$74,FALSE),"o")=$D$5,IFERROR(VLOOKUP(VLOOKUP($B62, Dependencies!$B$2:$G$230, 6,FALSE), $B$14:AS$73, AS$74,FALSE),"o")=$D$5),$D$5,AR62)))</f>
        <v>o</v>
      </c>
    </row>
    <row r="63" spans="1:45" x14ac:dyDescent="0.2">
      <c r="A63" s="40"/>
      <c r="B63" s="74" t="str">
        <f>MLEOsv2!A51</f>
        <v>MLEO_06_02</v>
      </c>
      <c r="C63" s="74">
        <f>MLEOsv2!C51</f>
        <v>8</v>
      </c>
      <c r="D63" s="44" t="str">
        <f>MLEOsv2!G51</f>
        <v>implement custom exception.</v>
      </c>
      <c r="E63" s="68" t="b">
        <f>MLEOsv2!H51</f>
        <v>0</v>
      </c>
      <c r="F63" s="94" t="s">
        <v>323</v>
      </c>
      <c r="G63" s="72" t="str">
        <f>IF(F63=$D$4,F63,IF(OR(IFERROR(VLOOKUP(VLOOKUP($B63, Dependencies!$B$2:$G$230, 2,FALSE),$B$14:G$73, G$74,FALSE),"o")=$D$4,IFERROR(VLOOKUP(VLOOKUP($B63, Dependencies!$B$2:$G$230, 3,FALSE),$B$14:G$73, G$74,FALSE),"o")=$D$4,IFERROR(VLOOKUP(VLOOKUP($B63, Dependencies!$B$2:$G$230, 4,FALSE),$B$14:G$73, G$74,FALSE),"o")=$D$4,IFERROR(VLOOKUP(VLOOKUP($B63, Dependencies!$B$2:$G$230, 5,FALSE),$B$14:G$73, G$74,FALSE),"o")=$D$4,IFERROR(VLOOKUP(VLOOKUP($B63, Dependencies!$B$2:$G$230, 6,FALSE),$B$14:G$73, G$74,FALSE),"o")=$D$4),$D$4,IF(OR(IFERROR(VLOOKUP(VLOOKUP($B63, Dependencies!$B$2:$G$230, 2,FALSE), $B$14:G$73, G$74,FALSE),"o")=$D$5,IFERROR(VLOOKUP(VLOOKUP($B63, Dependencies!$B$2:$G$230, 3,FALSE), $B$14:G$73, G$74,FALSE),"o")=$D$5,IFERROR(VLOOKUP(VLOOKUP($B63, Dependencies!$B$2:$G$230, 4,FALSE), $B$14:G$73, G$74,FALSE),"o")=$D$5,IFERROR(VLOOKUP(VLOOKUP($B63, Dependencies!$B$2:$G$230, 5,FALSE), $B$14:G$73, G$74,FALSE),"o")=$D$5,IFERROR(VLOOKUP(VLOOKUP($B63, Dependencies!$B$2:$G$230, 6,FALSE), $B$14:G$73, G$74,FALSE),"o")=$D$5),$D$5,F63)))</f>
        <v>o</v>
      </c>
      <c r="H63" s="94" t="s">
        <v>321</v>
      </c>
      <c r="I63" s="72" t="str">
        <f>IF(H63=$D$4,H63,IF(OR(IFERROR(VLOOKUP(VLOOKUP($B63, Dependencies!$B$2:$G$230, 2,FALSE),$B$14:I$73, I$74,FALSE),"o")=$D$4,IFERROR(VLOOKUP(VLOOKUP($B63, Dependencies!$B$2:$G$230, 3,FALSE),$B$14:I$73, I$74,FALSE),"o")=$D$4,IFERROR(VLOOKUP(VLOOKUP($B63, Dependencies!$B$2:$G$230, 4,FALSE),$B$14:I$73, I$74,FALSE),"o")=$D$4,IFERROR(VLOOKUP(VLOOKUP($B63, Dependencies!$B$2:$G$230, 5,FALSE),$B$14:I$73, I$74,FALSE),"o")=$D$4,IFERROR(VLOOKUP(VLOOKUP($B63, Dependencies!$B$2:$G$230, 6,FALSE),$B$14:I$73, I$74,FALSE),"o")=$D$4),$D$4,IF(OR(IFERROR(VLOOKUP(VLOOKUP($B63, Dependencies!$B$2:$G$230, 2,FALSE), $B$14:I$73, I$74,FALSE),"o")=$D$5,IFERROR(VLOOKUP(VLOOKUP($B63, Dependencies!$B$2:$G$230, 3,FALSE), $B$14:I$73, I$74,FALSE),"o")=$D$5,IFERROR(VLOOKUP(VLOOKUP($B63, Dependencies!$B$2:$G$230, 4,FALSE), $B$14:I$73, I$74,FALSE),"o")=$D$5,IFERROR(VLOOKUP(VLOOKUP($B63, Dependencies!$B$2:$G$230, 5,FALSE), $B$14:I$73, I$74,FALSE),"o")=$D$5,IFERROR(VLOOKUP(VLOOKUP($B63, Dependencies!$B$2:$G$230, 6,FALSE), $B$14:I$73, I$74,FALSE),"o")=$D$5),$D$5,H63)))</f>
        <v>pr</v>
      </c>
      <c r="J63" s="94" t="s">
        <v>320</v>
      </c>
      <c r="K63" s="72" t="str">
        <f>IF(J63=$D$4,J63,IF(OR(IFERROR(VLOOKUP(VLOOKUP($B63, Dependencies!$B$2:$G$230, 2,FALSE),$B$14:K$73, K$74,FALSE),"o")=$D$4,IFERROR(VLOOKUP(VLOOKUP($B63, Dependencies!$B$2:$G$230, 3,FALSE),$B$14:K$73, K$74,FALSE),"o")=$D$4,IFERROR(VLOOKUP(VLOOKUP($B63, Dependencies!$B$2:$G$230, 4,FALSE),$B$14:K$73, K$74,FALSE),"o")=$D$4,IFERROR(VLOOKUP(VLOOKUP($B63, Dependencies!$B$2:$G$230, 5,FALSE),$B$14:K$73, K$74,FALSE),"o")=$D$4,IFERROR(VLOOKUP(VLOOKUP($B63, Dependencies!$B$2:$G$230, 6,FALSE),$B$14:K$73, K$74,FALSE),"o")=$D$4),$D$4,IF(OR(IFERROR(VLOOKUP(VLOOKUP($B63, Dependencies!$B$2:$G$230, 2,FALSE), $B$14:K$73, K$74,FALSE),"o")=$D$5,IFERROR(VLOOKUP(VLOOKUP($B63, Dependencies!$B$2:$G$230, 3,FALSE), $B$14:K$73, K$74,FALSE),"o")=$D$5,IFERROR(VLOOKUP(VLOOKUP($B63, Dependencies!$B$2:$G$230, 4,FALSE), $B$14:K$73, K$74,FALSE),"o")=$D$5,IFERROR(VLOOKUP(VLOOKUP($B63, Dependencies!$B$2:$G$230, 5,FALSE), $B$14:K$73, K$74,FALSE),"o")=$D$5,IFERROR(VLOOKUP(VLOOKUP($B63, Dependencies!$B$2:$G$230, 6,FALSE), $B$14:K$73, K$74,FALSE),"o")=$D$5),$D$5,J63)))</f>
        <v>r</v>
      </c>
      <c r="L63" s="94" t="s">
        <v>320</v>
      </c>
      <c r="M63" s="72" t="str">
        <f>IF(L63=$D$4,L63,IF(OR(IFERROR(VLOOKUP(VLOOKUP($B63, Dependencies!$B$2:$G$230, 2,FALSE),$B$14:M$73, M$74,FALSE),"o")=$D$4,IFERROR(VLOOKUP(VLOOKUP($B63, Dependencies!$B$2:$G$230, 3,FALSE),$B$14:M$73, M$74,FALSE),"o")=$D$4,IFERROR(VLOOKUP(VLOOKUP($B63, Dependencies!$B$2:$G$230, 4,FALSE),$B$14:M$73, M$74,FALSE),"o")=$D$4,IFERROR(VLOOKUP(VLOOKUP($B63, Dependencies!$B$2:$G$230, 5,FALSE),$B$14:M$73, M$74,FALSE),"o")=$D$4,IFERROR(VLOOKUP(VLOOKUP($B63, Dependencies!$B$2:$G$230, 6,FALSE),$B$14:M$73, M$74,FALSE),"o")=$D$4),$D$4,IF(OR(IFERROR(VLOOKUP(VLOOKUP($B63, Dependencies!$B$2:$G$230, 2,FALSE), $B$14:M$73, M$74,FALSE),"o")=$D$5,IFERROR(VLOOKUP(VLOOKUP($B63, Dependencies!$B$2:$G$230, 3,FALSE), $B$14:M$73, M$74,FALSE),"o")=$D$5,IFERROR(VLOOKUP(VLOOKUP($B63, Dependencies!$B$2:$G$230, 4,FALSE), $B$14:M$73, M$74,FALSE),"o")=$D$5,IFERROR(VLOOKUP(VLOOKUP($B63, Dependencies!$B$2:$G$230, 5,FALSE), $B$14:M$73, M$74,FALSE),"o")=$D$5,IFERROR(VLOOKUP(VLOOKUP($B63, Dependencies!$B$2:$G$230, 6,FALSE), $B$14:M$73, M$74,FALSE),"o")=$D$5),$D$5,L63)))</f>
        <v>r</v>
      </c>
      <c r="N63" s="94" t="s">
        <v>323</v>
      </c>
      <c r="O63" s="72" t="str">
        <f>IF(N63=$D$4,N63,IF(OR(IFERROR(VLOOKUP(VLOOKUP($B63, Dependencies!$B$2:$G$230, 2,FALSE),$B$14:O$73, O$74,FALSE),"o")=$D$4,IFERROR(VLOOKUP(VLOOKUP($B63, Dependencies!$B$2:$G$230, 3,FALSE),$B$14:O$73, O$74,FALSE),"o")=$D$4,IFERROR(VLOOKUP(VLOOKUP($B63, Dependencies!$B$2:$G$230, 4,FALSE),$B$14:O$73, O$74,FALSE),"o")=$D$4,IFERROR(VLOOKUP(VLOOKUP($B63, Dependencies!$B$2:$G$230, 5,FALSE),$B$14:O$73, O$74,FALSE),"o")=$D$4,IFERROR(VLOOKUP(VLOOKUP($B63, Dependencies!$B$2:$G$230, 6,FALSE),$B$14:O$73, O$74,FALSE),"o")=$D$4),$D$4,IF(OR(IFERROR(VLOOKUP(VLOOKUP($B63, Dependencies!$B$2:$G$230, 2,FALSE), $B$14:O$73, O$74,FALSE),"o")=$D$5,IFERROR(VLOOKUP(VLOOKUP($B63, Dependencies!$B$2:$G$230, 3,FALSE), $B$14:O$73, O$74,FALSE),"o")=$D$5,IFERROR(VLOOKUP(VLOOKUP($B63, Dependencies!$B$2:$G$230, 4,FALSE), $B$14:O$73, O$74,FALSE),"o")=$D$5,IFERROR(VLOOKUP(VLOOKUP($B63, Dependencies!$B$2:$G$230, 5,FALSE), $B$14:O$73, O$74,FALSE),"o")=$D$5,IFERROR(VLOOKUP(VLOOKUP($B63, Dependencies!$B$2:$G$230, 6,FALSE), $B$14:O$73, O$74,FALSE),"o")=$D$5),$D$5,N63)))</f>
        <v>o</v>
      </c>
      <c r="P63" s="94" t="s">
        <v>323</v>
      </c>
      <c r="Q63" s="72" t="str">
        <f>IF(P63=$D$4,P63,IF(OR(IFERROR(VLOOKUP(VLOOKUP($B63, Dependencies!$B$2:$G$230, 2,FALSE),$B$14:Q$73, Q$74,FALSE),"o")=$D$4,IFERROR(VLOOKUP(VLOOKUP($B63, Dependencies!$B$2:$G$230, 3,FALSE),$B$14:Q$73, Q$74,FALSE),"o")=$D$4,IFERROR(VLOOKUP(VLOOKUP($B63, Dependencies!$B$2:$G$230, 4,FALSE),$B$14:Q$73, Q$74,FALSE),"o")=$D$4,IFERROR(VLOOKUP(VLOOKUP($B63, Dependencies!$B$2:$G$230, 5,FALSE),$B$14:Q$73, Q$74,FALSE),"o")=$D$4,IFERROR(VLOOKUP(VLOOKUP($B63, Dependencies!$B$2:$G$230, 6,FALSE),$B$14:Q$73, Q$74,FALSE),"o")=$D$4),$D$4,IF(OR(IFERROR(VLOOKUP(VLOOKUP($B63, Dependencies!$B$2:$G$230, 2,FALSE), $B$14:Q$73, Q$74,FALSE),"o")=$D$5,IFERROR(VLOOKUP(VLOOKUP($B63, Dependencies!$B$2:$G$230, 3,FALSE), $B$14:Q$73, Q$74,FALSE),"o")=$D$5,IFERROR(VLOOKUP(VLOOKUP($B63, Dependencies!$B$2:$G$230, 4,FALSE), $B$14:Q$73, Q$74,FALSE),"o")=$D$5,IFERROR(VLOOKUP(VLOOKUP($B63, Dependencies!$B$2:$G$230, 5,FALSE), $B$14:Q$73, Q$74,FALSE),"o")=$D$5,IFERROR(VLOOKUP(VLOOKUP($B63, Dependencies!$B$2:$G$230, 6,FALSE), $B$14:Q$73, Q$74,FALSE),"o")=$D$5),$D$5,P63)))</f>
        <v>o</v>
      </c>
      <c r="R63" s="94" t="s">
        <v>323</v>
      </c>
      <c r="S63" s="72" t="str">
        <f>IF(R63=$D$4,R63,IF(OR(IFERROR(VLOOKUP(VLOOKUP($B63, Dependencies!$B$2:$G$230, 2,FALSE),$B$14:S$73, S$74,FALSE),"o")=$D$4,IFERROR(VLOOKUP(VLOOKUP($B63, Dependencies!$B$2:$G$230, 3,FALSE),$B$14:S$73, S$74,FALSE),"o")=$D$4,IFERROR(VLOOKUP(VLOOKUP($B63, Dependencies!$B$2:$G$230, 4,FALSE),$B$14:S$73, S$74,FALSE),"o")=$D$4,IFERROR(VLOOKUP(VLOOKUP($B63, Dependencies!$B$2:$G$230, 5,FALSE),$B$14:S$73, S$74,FALSE),"o")=$D$4,IFERROR(VLOOKUP(VLOOKUP($B63, Dependencies!$B$2:$G$230, 6,FALSE),$B$14:S$73, S$74,FALSE),"o")=$D$4),$D$4,IF(OR(IFERROR(VLOOKUP(VLOOKUP($B63, Dependencies!$B$2:$G$230, 2,FALSE), $B$14:S$73, S$74,FALSE),"o")=$D$5,IFERROR(VLOOKUP(VLOOKUP($B63, Dependencies!$B$2:$G$230, 3,FALSE), $B$14:S$73, S$74,FALSE),"o")=$D$5,IFERROR(VLOOKUP(VLOOKUP($B63, Dependencies!$B$2:$G$230, 4,FALSE), $B$14:S$73, S$74,FALSE),"o")=$D$5,IFERROR(VLOOKUP(VLOOKUP($B63, Dependencies!$B$2:$G$230, 5,FALSE), $B$14:S$73, S$74,FALSE),"o")=$D$5,IFERROR(VLOOKUP(VLOOKUP($B63, Dependencies!$B$2:$G$230, 6,FALSE), $B$14:S$73, S$74,FALSE),"o")=$D$5),$D$5,R63)))</f>
        <v>o</v>
      </c>
      <c r="T63" s="94" t="s">
        <v>323</v>
      </c>
      <c r="U63" s="72" t="str">
        <f>IF(T63=$D$4,T63,IF(OR(IFERROR(VLOOKUP(VLOOKUP($B63, Dependencies!$B$2:$G$230, 2,FALSE),$B$14:U$73, U$74,FALSE),"o")=$D$4,IFERROR(VLOOKUP(VLOOKUP($B63, Dependencies!$B$2:$G$230, 3,FALSE),$B$14:U$73, U$74,FALSE),"o")=$D$4,IFERROR(VLOOKUP(VLOOKUP($B63, Dependencies!$B$2:$G$230, 4,FALSE),$B$14:U$73, U$74,FALSE),"o")=$D$4,IFERROR(VLOOKUP(VLOOKUP($B63, Dependencies!$B$2:$G$230, 5,FALSE),$B$14:U$73, U$74,FALSE),"o")=$D$4,IFERROR(VLOOKUP(VLOOKUP($B63, Dependencies!$B$2:$G$230, 6,FALSE),$B$14:U$73, U$74,FALSE),"o")=$D$4),$D$4,IF(OR(IFERROR(VLOOKUP(VLOOKUP($B63, Dependencies!$B$2:$G$230, 2,FALSE), $B$14:U$73, U$74,FALSE),"o")=$D$5,IFERROR(VLOOKUP(VLOOKUP($B63, Dependencies!$B$2:$G$230, 3,FALSE), $B$14:U$73, U$74,FALSE),"o")=$D$5,IFERROR(VLOOKUP(VLOOKUP($B63, Dependencies!$B$2:$G$230, 4,FALSE), $B$14:U$73, U$74,FALSE),"o")=$D$5,IFERROR(VLOOKUP(VLOOKUP($B63, Dependencies!$B$2:$G$230, 5,FALSE), $B$14:U$73, U$74,FALSE),"o")=$D$5,IFERROR(VLOOKUP(VLOOKUP($B63, Dependencies!$B$2:$G$230, 6,FALSE), $B$14:U$73, U$74,FALSE),"o")=$D$5),$D$5,T63)))</f>
        <v>o</v>
      </c>
      <c r="V63" s="94" t="s">
        <v>323</v>
      </c>
      <c r="W63" s="72" t="str">
        <f>IF(V63=$D$4,V63,IF(OR(IFERROR(VLOOKUP(VLOOKUP($B63, Dependencies!$B$2:$G$230, 2,FALSE),$B$14:W$73, W$74,FALSE),"o")=$D$4,IFERROR(VLOOKUP(VLOOKUP($B63, Dependencies!$B$2:$G$230, 3,FALSE),$B$14:W$73, W$74,FALSE),"o")=$D$4,IFERROR(VLOOKUP(VLOOKUP($B63, Dependencies!$B$2:$G$230, 4,FALSE),$B$14:W$73, W$74,FALSE),"o")=$D$4,IFERROR(VLOOKUP(VLOOKUP($B63, Dependencies!$B$2:$G$230, 5,FALSE),$B$14:W$73, W$74,FALSE),"o")=$D$4,IFERROR(VLOOKUP(VLOOKUP($B63, Dependencies!$B$2:$G$230, 6,FALSE),$B$14:W$73, W$74,FALSE),"o")=$D$4),$D$4,IF(OR(IFERROR(VLOOKUP(VLOOKUP($B63, Dependencies!$B$2:$G$230, 2,FALSE), $B$14:W$73, W$74,FALSE),"o")=$D$5,IFERROR(VLOOKUP(VLOOKUP($B63, Dependencies!$B$2:$G$230, 3,FALSE), $B$14:W$73, W$74,FALSE),"o")=$D$5,IFERROR(VLOOKUP(VLOOKUP($B63, Dependencies!$B$2:$G$230, 4,FALSE), $B$14:W$73, W$74,FALSE),"o")=$D$5,IFERROR(VLOOKUP(VLOOKUP($B63, Dependencies!$B$2:$G$230, 5,FALSE), $B$14:W$73, W$74,FALSE),"o")=$D$5,IFERROR(VLOOKUP(VLOOKUP($B63, Dependencies!$B$2:$G$230, 6,FALSE), $B$14:W$73, W$74,FALSE),"o")=$D$5),$D$5,V63)))</f>
        <v>o</v>
      </c>
      <c r="X63" s="94" t="s">
        <v>323</v>
      </c>
      <c r="Y63" s="72" t="str">
        <f>IF(X63=$D$4,X63,IF(OR(IFERROR(VLOOKUP(VLOOKUP($B63, Dependencies!$B$2:$G$230, 2,FALSE),$B$14:Y$73, Y$74,FALSE),"o")=$D$4,IFERROR(VLOOKUP(VLOOKUP($B63, Dependencies!$B$2:$G$230, 3,FALSE),$B$14:Y$73, Y$74,FALSE),"o")=$D$4,IFERROR(VLOOKUP(VLOOKUP($B63, Dependencies!$B$2:$G$230, 4,FALSE),$B$14:Y$73, Y$74,FALSE),"o")=$D$4,IFERROR(VLOOKUP(VLOOKUP($B63, Dependencies!$B$2:$G$230, 5,FALSE),$B$14:Y$73, Y$74,FALSE),"o")=$D$4,IFERROR(VLOOKUP(VLOOKUP($B63, Dependencies!$B$2:$G$230, 6,FALSE),$B$14:Y$73, Y$74,FALSE),"o")=$D$4),$D$4,IF(OR(IFERROR(VLOOKUP(VLOOKUP($B63, Dependencies!$B$2:$G$230, 2,FALSE), $B$14:Y$73, Y$74,FALSE),"o")=$D$5,IFERROR(VLOOKUP(VLOOKUP($B63, Dependencies!$B$2:$G$230, 3,FALSE), $B$14:Y$73, Y$74,FALSE),"o")=$D$5,IFERROR(VLOOKUP(VLOOKUP($B63, Dependencies!$B$2:$G$230, 4,FALSE), $B$14:Y$73, Y$74,FALSE),"o")=$D$5,IFERROR(VLOOKUP(VLOOKUP($B63, Dependencies!$B$2:$G$230, 5,FALSE), $B$14:Y$73, Y$74,FALSE),"o")=$D$5,IFERROR(VLOOKUP(VLOOKUP($B63, Dependencies!$B$2:$G$230, 6,FALSE), $B$14:Y$73, Y$74,FALSE),"o")=$D$5),$D$5,X63)))</f>
        <v>o</v>
      </c>
      <c r="Z63" s="94" t="s">
        <v>323</v>
      </c>
      <c r="AA63" s="72" t="str">
        <f>IF(Z63=$D$4,Z63,IF(OR(IFERROR(VLOOKUP(VLOOKUP($B63, Dependencies!$B$2:$G$230, 2,FALSE),$B$14:AA$73, AA$74,FALSE),"o")=$D$4,IFERROR(VLOOKUP(VLOOKUP($B63, Dependencies!$B$2:$G$230, 3,FALSE),$B$14:AA$73, AA$74,FALSE),"o")=$D$4,IFERROR(VLOOKUP(VLOOKUP($B63, Dependencies!$B$2:$G$230, 4,FALSE),$B$14:AA$73, AA$74,FALSE),"o")=$D$4,IFERROR(VLOOKUP(VLOOKUP($B63, Dependencies!$B$2:$G$230, 5,FALSE),$B$14:AA$73, AA$74,FALSE),"o")=$D$4,IFERROR(VLOOKUP(VLOOKUP($B63, Dependencies!$B$2:$G$230, 6,FALSE),$B$14:AA$73, AA$74,FALSE),"o")=$D$4),$D$4,IF(OR(IFERROR(VLOOKUP(VLOOKUP($B63, Dependencies!$B$2:$G$230, 2,FALSE), $B$14:AA$73, AA$74,FALSE),"o")=$D$5,IFERROR(VLOOKUP(VLOOKUP($B63, Dependencies!$B$2:$G$230, 3,FALSE), $B$14:AA$73, AA$74,FALSE),"o")=$D$5,IFERROR(VLOOKUP(VLOOKUP($B63, Dependencies!$B$2:$G$230, 4,FALSE), $B$14:AA$73, AA$74,FALSE),"o")=$D$5,IFERROR(VLOOKUP(VLOOKUP($B63, Dependencies!$B$2:$G$230, 5,FALSE), $B$14:AA$73, AA$74,FALSE),"o")=$D$5,IFERROR(VLOOKUP(VLOOKUP($B63, Dependencies!$B$2:$G$230, 6,FALSE), $B$14:AA$73, AA$74,FALSE),"o")=$D$5),$D$5,Z63)))</f>
        <v>o</v>
      </c>
      <c r="AB63" s="94" t="s">
        <v>323</v>
      </c>
      <c r="AC63" s="72" t="str">
        <f>IF(AB63=$D$4,AB63,IF(OR(IFERROR(VLOOKUP(VLOOKUP($B63, Dependencies!$B$2:$G$230, 2,FALSE),$B$14:AC$73, AC$74,FALSE),"o")=$D$4,IFERROR(VLOOKUP(VLOOKUP($B63, Dependencies!$B$2:$G$230, 3,FALSE),$B$14:AC$73, AC$74,FALSE),"o")=$D$4,IFERROR(VLOOKUP(VLOOKUP($B63, Dependencies!$B$2:$G$230, 4,FALSE),$B$14:AC$73, AC$74,FALSE),"o")=$D$4,IFERROR(VLOOKUP(VLOOKUP($B63, Dependencies!$B$2:$G$230, 5,FALSE),$B$14:AC$73, AC$74,FALSE),"o")=$D$4,IFERROR(VLOOKUP(VLOOKUP($B63, Dependencies!$B$2:$G$230, 6,FALSE),$B$14:AC$73, AC$74,FALSE),"o")=$D$4),$D$4,IF(OR(IFERROR(VLOOKUP(VLOOKUP($B63, Dependencies!$B$2:$G$230, 2,FALSE), $B$14:AC$73, AC$74,FALSE),"o")=$D$5,IFERROR(VLOOKUP(VLOOKUP($B63, Dependencies!$B$2:$G$230, 3,FALSE), $B$14:AC$73, AC$74,FALSE),"o")=$D$5,IFERROR(VLOOKUP(VLOOKUP($B63, Dependencies!$B$2:$G$230, 4,FALSE), $B$14:AC$73, AC$74,FALSE),"o")=$D$5,IFERROR(VLOOKUP(VLOOKUP($B63, Dependencies!$B$2:$G$230, 5,FALSE), $B$14:AC$73, AC$74,FALSE),"o")=$D$5,IFERROR(VLOOKUP(VLOOKUP($B63, Dependencies!$B$2:$G$230, 6,FALSE), $B$14:AC$73, AC$74,FALSE),"o")=$D$5),$D$5,AB63)))</f>
        <v>o</v>
      </c>
      <c r="AD63" s="94" t="s">
        <v>323</v>
      </c>
      <c r="AE63" s="72" t="str">
        <f>IF(AD63=$D$4,AD63,IF(OR(IFERROR(VLOOKUP(VLOOKUP($B63, Dependencies!$B$2:$G$230, 2,FALSE),$B$14:AE$73, AE$74,FALSE),"o")=$D$4,IFERROR(VLOOKUP(VLOOKUP($B63, Dependencies!$B$2:$G$230, 3,FALSE),$B$14:AE$73, AE$74,FALSE),"o")=$D$4,IFERROR(VLOOKUP(VLOOKUP($B63, Dependencies!$B$2:$G$230, 4,FALSE),$B$14:AE$73, AE$74,FALSE),"o")=$D$4,IFERROR(VLOOKUP(VLOOKUP($B63, Dependencies!$B$2:$G$230, 5,FALSE),$B$14:AE$73, AE$74,FALSE),"o")=$D$4,IFERROR(VLOOKUP(VLOOKUP($B63, Dependencies!$B$2:$G$230, 6,FALSE),$B$14:AE$73, AE$74,FALSE),"o")=$D$4),$D$4,IF(OR(IFERROR(VLOOKUP(VLOOKUP($B63, Dependencies!$B$2:$G$230, 2,FALSE), $B$14:AE$73, AE$74,FALSE),"o")=$D$5,IFERROR(VLOOKUP(VLOOKUP($B63, Dependencies!$B$2:$G$230, 3,FALSE), $B$14:AE$73, AE$74,FALSE),"o")=$D$5,IFERROR(VLOOKUP(VLOOKUP($B63, Dependencies!$B$2:$G$230, 4,FALSE), $B$14:AE$73, AE$74,FALSE),"o")=$D$5,IFERROR(VLOOKUP(VLOOKUP($B63, Dependencies!$B$2:$G$230, 5,FALSE), $B$14:AE$73, AE$74,FALSE),"o")=$D$5,IFERROR(VLOOKUP(VLOOKUP($B63, Dependencies!$B$2:$G$230, 6,FALSE), $B$14:AE$73, AE$74,FALSE),"o")=$D$5),$D$5,AD63)))</f>
        <v>o</v>
      </c>
      <c r="AF63" s="94" t="s">
        <v>323</v>
      </c>
      <c r="AG63" s="72" t="str">
        <f>IF(AF63=$D$4,AF63,IF(OR(IFERROR(VLOOKUP(VLOOKUP($B63, Dependencies!$B$2:$G$230, 2,FALSE),$B$14:AG$73, AG$74,FALSE),"o")=$D$4,IFERROR(VLOOKUP(VLOOKUP($B63, Dependencies!$B$2:$G$230, 3,FALSE),$B$14:AG$73, AG$74,FALSE),"o")=$D$4,IFERROR(VLOOKUP(VLOOKUP($B63, Dependencies!$B$2:$G$230, 4,FALSE),$B$14:AG$73, AG$74,FALSE),"o")=$D$4,IFERROR(VLOOKUP(VLOOKUP($B63, Dependencies!$B$2:$G$230, 5,FALSE),$B$14:AG$73, AG$74,FALSE),"o")=$D$4,IFERROR(VLOOKUP(VLOOKUP($B63, Dependencies!$B$2:$G$230, 6,FALSE),$B$14:AG$73, AG$74,FALSE),"o")=$D$4),$D$4,IF(OR(IFERROR(VLOOKUP(VLOOKUP($B63, Dependencies!$B$2:$G$230, 2,FALSE), $B$14:AG$73, AG$74,FALSE),"o")=$D$5,IFERROR(VLOOKUP(VLOOKUP($B63, Dependencies!$B$2:$G$230, 3,FALSE), $B$14:AG$73, AG$74,FALSE),"o")=$D$5,IFERROR(VLOOKUP(VLOOKUP($B63, Dependencies!$B$2:$G$230, 4,FALSE), $B$14:AG$73, AG$74,FALSE),"o")=$D$5,IFERROR(VLOOKUP(VLOOKUP($B63, Dependencies!$B$2:$G$230, 5,FALSE), $B$14:AG$73, AG$74,FALSE),"o")=$D$5,IFERROR(VLOOKUP(VLOOKUP($B63, Dependencies!$B$2:$G$230, 6,FALSE), $B$14:AG$73, AG$74,FALSE),"o")=$D$5),$D$5,AF63)))</f>
        <v>o</v>
      </c>
      <c r="AH63" s="94" t="s">
        <v>323</v>
      </c>
      <c r="AI63" s="72" t="str">
        <f>IF(AH63=$D$4,AH63,IF(OR(IFERROR(VLOOKUP(VLOOKUP($B63, Dependencies!$B$2:$G$230, 2,FALSE),$B$14:AI$73, AI$74,FALSE),"o")=$D$4,IFERROR(VLOOKUP(VLOOKUP($B63, Dependencies!$B$2:$G$230, 3,FALSE),$B$14:AI$73, AI$74,FALSE),"o")=$D$4,IFERROR(VLOOKUP(VLOOKUP($B63, Dependencies!$B$2:$G$230, 4,FALSE),$B$14:AI$73, AI$74,FALSE),"o")=$D$4,IFERROR(VLOOKUP(VLOOKUP($B63, Dependencies!$B$2:$G$230, 5,FALSE),$B$14:AI$73, AI$74,FALSE),"o")=$D$4,IFERROR(VLOOKUP(VLOOKUP($B63, Dependencies!$B$2:$G$230, 6,FALSE),$B$14:AI$73, AI$74,FALSE),"o")=$D$4),$D$4,IF(OR(IFERROR(VLOOKUP(VLOOKUP($B63, Dependencies!$B$2:$G$230, 2,FALSE), $B$14:AI$73, AI$74,FALSE),"o")=$D$5,IFERROR(VLOOKUP(VLOOKUP($B63, Dependencies!$B$2:$G$230, 3,FALSE), $B$14:AI$73, AI$74,FALSE),"o")=$D$5,IFERROR(VLOOKUP(VLOOKUP($B63, Dependencies!$B$2:$G$230, 4,FALSE), $B$14:AI$73, AI$74,FALSE),"o")=$D$5,IFERROR(VLOOKUP(VLOOKUP($B63, Dependencies!$B$2:$G$230, 5,FALSE), $B$14:AI$73, AI$74,FALSE),"o")=$D$5,IFERROR(VLOOKUP(VLOOKUP($B63, Dependencies!$B$2:$G$230, 6,FALSE), $B$14:AI$73, AI$74,FALSE),"o")=$D$5),$D$5,AH63)))</f>
        <v>o</v>
      </c>
      <c r="AJ63" s="94" t="s">
        <v>323</v>
      </c>
      <c r="AK63" s="72" t="str">
        <f>IF(AJ63=$D$4,AJ63,IF(OR(IFERROR(VLOOKUP(VLOOKUP($B63, Dependencies!$B$2:$G$230, 2,FALSE),$B$14:AK$73, AK$74,FALSE),"o")=$D$4,IFERROR(VLOOKUP(VLOOKUP($B63, Dependencies!$B$2:$G$230, 3,FALSE),$B$14:AK$73, AK$74,FALSE),"o")=$D$4,IFERROR(VLOOKUP(VLOOKUP($B63, Dependencies!$B$2:$G$230, 4,FALSE),$B$14:AK$73, AK$74,FALSE),"o")=$D$4,IFERROR(VLOOKUP(VLOOKUP($B63, Dependencies!$B$2:$G$230, 5,FALSE),$B$14:AK$73, AK$74,FALSE),"o")=$D$4,IFERROR(VLOOKUP(VLOOKUP($B63, Dependencies!$B$2:$G$230, 6,FALSE),$B$14:AK$73, AK$74,FALSE),"o")=$D$4),$D$4,IF(OR(IFERROR(VLOOKUP(VLOOKUP($B63, Dependencies!$B$2:$G$230, 2,FALSE), $B$14:AK$73, AK$74,FALSE),"o")=$D$5,IFERROR(VLOOKUP(VLOOKUP($B63, Dependencies!$B$2:$G$230, 3,FALSE), $B$14:AK$73, AK$74,FALSE),"o")=$D$5,IFERROR(VLOOKUP(VLOOKUP($B63, Dependencies!$B$2:$G$230, 4,FALSE), $B$14:AK$73, AK$74,FALSE),"o")=$D$5,IFERROR(VLOOKUP(VLOOKUP($B63, Dependencies!$B$2:$G$230, 5,FALSE), $B$14:AK$73, AK$74,FALSE),"o")=$D$5,IFERROR(VLOOKUP(VLOOKUP($B63, Dependencies!$B$2:$G$230, 6,FALSE), $B$14:AK$73, AK$74,FALSE),"o")=$D$5),$D$5,AJ63)))</f>
        <v>o</v>
      </c>
      <c r="AL63" s="94" t="s">
        <v>323</v>
      </c>
      <c r="AM63" s="72" t="str">
        <f>IF(AL63=$D$4,AL63,IF(OR(IFERROR(VLOOKUP(VLOOKUP($B63, Dependencies!$B$2:$G$230, 2,FALSE),$B$14:AM$73, AM$74,FALSE),"o")=$D$4,IFERROR(VLOOKUP(VLOOKUP($B63, Dependencies!$B$2:$G$230, 3,FALSE),$B$14:AM$73, AM$74,FALSE),"o")=$D$4,IFERROR(VLOOKUP(VLOOKUP($B63, Dependencies!$B$2:$G$230, 4,FALSE),$B$14:AM$73, AM$74,FALSE),"o")=$D$4,IFERROR(VLOOKUP(VLOOKUP($B63, Dependencies!$B$2:$G$230, 5,FALSE),$B$14:AM$73, AM$74,FALSE),"o")=$D$4,IFERROR(VLOOKUP(VLOOKUP($B63, Dependencies!$B$2:$G$230, 6,FALSE),$B$14:AM$73, AM$74,FALSE),"o")=$D$4),$D$4,IF(OR(IFERROR(VLOOKUP(VLOOKUP($B63, Dependencies!$B$2:$G$230, 2,FALSE), $B$14:AM$73, AM$74,FALSE),"o")=$D$5,IFERROR(VLOOKUP(VLOOKUP($B63, Dependencies!$B$2:$G$230, 3,FALSE), $B$14:AM$73, AM$74,FALSE),"o")=$D$5,IFERROR(VLOOKUP(VLOOKUP($B63, Dependencies!$B$2:$G$230, 4,FALSE), $B$14:AM$73, AM$74,FALSE),"o")=$D$5,IFERROR(VLOOKUP(VLOOKUP($B63, Dependencies!$B$2:$G$230, 5,FALSE), $B$14:AM$73, AM$74,FALSE),"o")=$D$5,IFERROR(VLOOKUP(VLOOKUP($B63, Dependencies!$B$2:$G$230, 6,FALSE), $B$14:AM$73, AM$74,FALSE),"o")=$D$5),$D$5,AL63)))</f>
        <v>o</v>
      </c>
      <c r="AN63" s="94" t="s">
        <v>323</v>
      </c>
      <c r="AO63" s="72" t="str">
        <f>IF(AN63=$D$4,AN63,IF(OR(IFERROR(VLOOKUP(VLOOKUP($B63, Dependencies!$B$2:$G$230, 2,FALSE),$B$14:AO$73, AO$74,FALSE),"o")=$D$4,IFERROR(VLOOKUP(VLOOKUP($B63, Dependencies!$B$2:$G$230, 3,FALSE),$B$14:AO$73, AO$74,FALSE),"o")=$D$4,IFERROR(VLOOKUP(VLOOKUP($B63, Dependencies!$B$2:$G$230, 4,FALSE),$B$14:AO$73, AO$74,FALSE),"o")=$D$4,IFERROR(VLOOKUP(VLOOKUP($B63, Dependencies!$B$2:$G$230, 5,FALSE),$B$14:AO$73, AO$74,FALSE),"o")=$D$4,IFERROR(VLOOKUP(VLOOKUP($B63, Dependencies!$B$2:$G$230, 6,FALSE),$B$14:AO$73, AO$74,FALSE),"o")=$D$4),$D$4,IF(OR(IFERROR(VLOOKUP(VLOOKUP($B63, Dependencies!$B$2:$G$230, 2,FALSE), $B$14:AO$73, AO$74,FALSE),"o")=$D$5,IFERROR(VLOOKUP(VLOOKUP($B63, Dependencies!$B$2:$G$230, 3,FALSE), $B$14:AO$73, AO$74,FALSE),"o")=$D$5,IFERROR(VLOOKUP(VLOOKUP($B63, Dependencies!$B$2:$G$230, 4,FALSE), $B$14:AO$73, AO$74,FALSE),"o")=$D$5,IFERROR(VLOOKUP(VLOOKUP($B63, Dependencies!$B$2:$G$230, 5,FALSE), $B$14:AO$73, AO$74,FALSE),"o")=$D$5,IFERROR(VLOOKUP(VLOOKUP($B63, Dependencies!$B$2:$G$230, 6,FALSE), $B$14:AO$73, AO$74,FALSE),"o")=$D$5),$D$5,AN63)))</f>
        <v>o</v>
      </c>
      <c r="AP63" s="94" t="s">
        <v>323</v>
      </c>
      <c r="AQ63" s="72" t="str">
        <f>IF(AP63=$D$4,AP63,IF(OR(IFERROR(VLOOKUP(VLOOKUP($B63, Dependencies!$B$2:$G$230, 2,FALSE),$B$14:AQ$73, AQ$74,FALSE),"o")=$D$4,IFERROR(VLOOKUP(VLOOKUP($B63, Dependencies!$B$2:$G$230, 3,FALSE),$B$14:AQ$73, AQ$74,FALSE),"o")=$D$4,IFERROR(VLOOKUP(VLOOKUP($B63, Dependencies!$B$2:$G$230, 4,FALSE),$B$14:AQ$73, AQ$74,FALSE),"o")=$D$4,IFERROR(VLOOKUP(VLOOKUP($B63, Dependencies!$B$2:$G$230, 5,FALSE),$B$14:AQ$73, AQ$74,FALSE),"o")=$D$4,IFERROR(VLOOKUP(VLOOKUP($B63, Dependencies!$B$2:$G$230, 6,FALSE),$B$14:AQ$73, AQ$74,FALSE),"o")=$D$4),$D$4,IF(OR(IFERROR(VLOOKUP(VLOOKUP($B63, Dependencies!$B$2:$G$230, 2,FALSE), $B$14:AQ$73, AQ$74,FALSE),"o")=$D$5,IFERROR(VLOOKUP(VLOOKUP($B63, Dependencies!$B$2:$G$230, 3,FALSE), $B$14:AQ$73, AQ$74,FALSE),"o")=$D$5,IFERROR(VLOOKUP(VLOOKUP($B63, Dependencies!$B$2:$G$230, 4,FALSE), $B$14:AQ$73, AQ$74,FALSE),"o")=$D$5,IFERROR(VLOOKUP(VLOOKUP($B63, Dependencies!$B$2:$G$230, 5,FALSE), $B$14:AQ$73, AQ$74,FALSE),"o")=$D$5,IFERROR(VLOOKUP(VLOOKUP($B63, Dependencies!$B$2:$G$230, 6,FALSE), $B$14:AQ$73, AQ$74,FALSE),"o")=$D$5),$D$5,AP63)))</f>
        <v>o</v>
      </c>
      <c r="AR63" s="94" t="s">
        <v>323</v>
      </c>
      <c r="AS63" s="71" t="str">
        <f>IF(AR63=$D$4,AR63,IF(OR(IFERROR(VLOOKUP(VLOOKUP($B63, Dependencies!$B$2:$G$230, 2,FALSE),$B$14:AS$73, AS$74,FALSE),"o")=$D$4,IFERROR(VLOOKUP(VLOOKUP($B63, Dependencies!$B$2:$G$230, 3,FALSE),$B$14:AS$73, AS$74,FALSE),"o")=$D$4,IFERROR(VLOOKUP(VLOOKUP($B63, Dependencies!$B$2:$G$230, 4,FALSE),$B$14:AS$73, AS$74,FALSE),"o")=$D$4,IFERROR(VLOOKUP(VLOOKUP($B63, Dependencies!$B$2:$G$230, 5,FALSE),$B$14:AS$73, AS$74,FALSE),"o")=$D$4,IFERROR(VLOOKUP(VLOOKUP($B63, Dependencies!$B$2:$G$230, 6,FALSE),$B$14:AS$73, AS$74,FALSE),"o")=$D$4),$D$4,IF(OR(IFERROR(VLOOKUP(VLOOKUP($B63, Dependencies!$B$2:$G$230, 2,FALSE), $B$14:AS$73, AS$74,FALSE),"o")=$D$5,IFERROR(VLOOKUP(VLOOKUP($B63, Dependencies!$B$2:$G$230, 3,FALSE), $B$14:AS$73, AS$74,FALSE),"o")=$D$5,IFERROR(VLOOKUP(VLOOKUP($B63, Dependencies!$B$2:$G$230, 4,FALSE), $B$14:AS$73, AS$74,FALSE),"o")=$D$5,IFERROR(VLOOKUP(VLOOKUP($B63, Dependencies!$B$2:$G$230, 5,FALSE), $B$14:AS$73, AS$74,FALSE),"o")=$D$5,IFERROR(VLOOKUP(VLOOKUP($B63, Dependencies!$B$2:$G$230, 6,FALSE), $B$14:AS$73, AS$74,FALSE),"o")=$D$5),$D$5,AR63)))</f>
        <v>o</v>
      </c>
    </row>
    <row r="64" spans="1:45" x14ac:dyDescent="0.2">
      <c r="A64" s="40"/>
      <c r="B64" s="73" t="str">
        <f>MLEOsv2!A52</f>
        <v>MLEO_06_03</v>
      </c>
      <c r="C64" s="73">
        <f>MLEOsv2!C52</f>
        <v>8</v>
      </c>
      <c r="D64" s="42" t="str">
        <f>MLEOsv2!G52</f>
        <v>throw new exception.</v>
      </c>
      <c r="E64" s="51" t="b">
        <f>MLEOsv2!H52</f>
        <v>1</v>
      </c>
      <c r="F64" s="93" t="s">
        <v>323</v>
      </c>
      <c r="G64" s="70" t="str">
        <f>IF(F64=$D$4,F64,IF(OR(IFERROR(VLOOKUP(VLOOKUP($B64, Dependencies!$B$2:$G$230, 2,FALSE),$B$14:G$73, G$74,FALSE),"o")=$D$4,IFERROR(VLOOKUP(VLOOKUP($B64, Dependencies!$B$2:$G$230, 3,FALSE),$B$14:G$73, G$74,FALSE),"o")=$D$4,IFERROR(VLOOKUP(VLOOKUP($B64, Dependencies!$B$2:$G$230, 4,FALSE),$B$14:G$73, G$74,FALSE),"o")=$D$4,IFERROR(VLOOKUP(VLOOKUP($B64, Dependencies!$B$2:$G$230, 5,FALSE),$B$14:G$73, G$74,FALSE),"o")=$D$4,IFERROR(VLOOKUP(VLOOKUP($B64, Dependencies!$B$2:$G$230, 6,FALSE),$B$14:G$73, G$74,FALSE),"o")=$D$4),$D$4,IF(OR(IFERROR(VLOOKUP(VLOOKUP($B64, Dependencies!$B$2:$G$230, 2,FALSE), $B$14:G$73, G$74,FALSE),"o")=$D$5,IFERROR(VLOOKUP(VLOOKUP($B64, Dependencies!$B$2:$G$230, 3,FALSE), $B$14:G$73, G$74,FALSE),"o")=$D$5,IFERROR(VLOOKUP(VLOOKUP($B64, Dependencies!$B$2:$G$230, 4,FALSE), $B$14:G$73, G$74,FALSE),"o")=$D$5,IFERROR(VLOOKUP(VLOOKUP($B64, Dependencies!$B$2:$G$230, 5,FALSE), $B$14:G$73, G$74,FALSE),"o")=$D$5,IFERROR(VLOOKUP(VLOOKUP($B64, Dependencies!$B$2:$G$230, 6,FALSE), $B$14:G$73, G$74,FALSE),"o")=$D$5),$D$5,F64)))</f>
        <v>o</v>
      </c>
      <c r="H64" s="93" t="s">
        <v>321</v>
      </c>
      <c r="I64" s="70" t="str">
        <f>IF(H64=$D$4,H64,IF(OR(IFERROR(VLOOKUP(VLOOKUP($B64, Dependencies!$B$2:$G$230, 2,FALSE),$B$14:I$73, I$74,FALSE),"o")=$D$4,IFERROR(VLOOKUP(VLOOKUP($B64, Dependencies!$B$2:$G$230, 3,FALSE),$B$14:I$73, I$74,FALSE),"o")=$D$4,IFERROR(VLOOKUP(VLOOKUP($B64, Dependencies!$B$2:$G$230, 4,FALSE),$B$14:I$73, I$74,FALSE),"o")=$D$4,IFERROR(VLOOKUP(VLOOKUP($B64, Dependencies!$B$2:$G$230, 5,FALSE),$B$14:I$73, I$74,FALSE),"o")=$D$4,IFERROR(VLOOKUP(VLOOKUP($B64, Dependencies!$B$2:$G$230, 6,FALSE),$B$14:I$73, I$74,FALSE),"o")=$D$4),$D$4,IF(OR(IFERROR(VLOOKUP(VLOOKUP($B64, Dependencies!$B$2:$G$230, 2,FALSE), $B$14:I$73, I$74,FALSE),"o")=$D$5,IFERROR(VLOOKUP(VLOOKUP($B64, Dependencies!$B$2:$G$230, 3,FALSE), $B$14:I$73, I$74,FALSE),"o")=$D$5,IFERROR(VLOOKUP(VLOOKUP($B64, Dependencies!$B$2:$G$230, 4,FALSE), $B$14:I$73, I$74,FALSE),"o")=$D$5,IFERROR(VLOOKUP(VLOOKUP($B64, Dependencies!$B$2:$G$230, 5,FALSE), $B$14:I$73, I$74,FALSE),"o")=$D$5,IFERROR(VLOOKUP(VLOOKUP($B64, Dependencies!$B$2:$G$230, 6,FALSE), $B$14:I$73, I$74,FALSE),"o")=$D$5),$D$5,H64)))</f>
        <v>pr</v>
      </c>
      <c r="J64" s="93" t="s">
        <v>321</v>
      </c>
      <c r="K64" s="70" t="str">
        <f>IF(J64=$D$4,J64,IF(OR(IFERROR(VLOOKUP(VLOOKUP($B64, Dependencies!$B$2:$G$230, 2,FALSE),$B$14:K$73, K$74,FALSE),"o")=$D$4,IFERROR(VLOOKUP(VLOOKUP($B64, Dependencies!$B$2:$G$230, 3,FALSE),$B$14:K$73, K$74,FALSE),"o")=$D$4,IFERROR(VLOOKUP(VLOOKUP($B64, Dependencies!$B$2:$G$230, 4,FALSE),$B$14:K$73, K$74,FALSE),"o")=$D$4,IFERROR(VLOOKUP(VLOOKUP($B64, Dependencies!$B$2:$G$230, 5,FALSE),$B$14:K$73, K$74,FALSE),"o")=$D$4,IFERROR(VLOOKUP(VLOOKUP($B64, Dependencies!$B$2:$G$230, 6,FALSE),$B$14:K$73, K$74,FALSE),"o")=$D$4),$D$4,IF(OR(IFERROR(VLOOKUP(VLOOKUP($B64, Dependencies!$B$2:$G$230, 2,FALSE), $B$14:K$73, K$74,FALSE),"o")=$D$5,IFERROR(VLOOKUP(VLOOKUP($B64, Dependencies!$B$2:$G$230, 3,FALSE), $B$14:K$73, K$74,FALSE),"o")=$D$5,IFERROR(VLOOKUP(VLOOKUP($B64, Dependencies!$B$2:$G$230, 4,FALSE), $B$14:K$73, K$74,FALSE),"o")=$D$5,IFERROR(VLOOKUP(VLOOKUP($B64, Dependencies!$B$2:$G$230, 5,FALSE), $B$14:K$73, K$74,FALSE),"o")=$D$5,IFERROR(VLOOKUP(VLOOKUP($B64, Dependencies!$B$2:$G$230, 6,FALSE), $B$14:K$73, K$74,FALSE),"o")=$D$5),$D$5,J64)))</f>
        <v>pr</v>
      </c>
      <c r="L64" s="93" t="s">
        <v>320</v>
      </c>
      <c r="M64" s="70" t="str">
        <f>IF(L64=$D$4,L64,IF(OR(IFERROR(VLOOKUP(VLOOKUP($B64, Dependencies!$B$2:$G$230, 2,FALSE),$B$14:M$73, M$74,FALSE),"o")=$D$4,IFERROR(VLOOKUP(VLOOKUP($B64, Dependencies!$B$2:$G$230, 3,FALSE),$B$14:M$73, M$74,FALSE),"o")=$D$4,IFERROR(VLOOKUP(VLOOKUP($B64, Dependencies!$B$2:$G$230, 4,FALSE),$B$14:M$73, M$74,FALSE),"o")=$D$4,IFERROR(VLOOKUP(VLOOKUP($B64, Dependencies!$B$2:$G$230, 5,FALSE),$B$14:M$73, M$74,FALSE),"o")=$D$4,IFERROR(VLOOKUP(VLOOKUP($B64, Dependencies!$B$2:$G$230, 6,FALSE),$B$14:M$73, M$74,FALSE),"o")=$D$4),$D$4,IF(OR(IFERROR(VLOOKUP(VLOOKUP($B64, Dependencies!$B$2:$G$230, 2,FALSE), $B$14:M$73, M$74,FALSE),"o")=$D$5,IFERROR(VLOOKUP(VLOOKUP($B64, Dependencies!$B$2:$G$230, 3,FALSE), $B$14:M$73, M$74,FALSE),"o")=$D$5,IFERROR(VLOOKUP(VLOOKUP($B64, Dependencies!$B$2:$G$230, 4,FALSE), $B$14:M$73, M$74,FALSE),"o")=$D$5,IFERROR(VLOOKUP(VLOOKUP($B64, Dependencies!$B$2:$G$230, 5,FALSE), $B$14:M$73, M$74,FALSE),"o")=$D$5,IFERROR(VLOOKUP(VLOOKUP($B64, Dependencies!$B$2:$G$230, 6,FALSE), $B$14:M$73, M$74,FALSE),"o")=$D$5),$D$5,L64)))</f>
        <v>r</v>
      </c>
      <c r="N64" s="93" t="s">
        <v>323</v>
      </c>
      <c r="O64" s="70" t="str">
        <f>IF(N64=$D$4,N64,IF(OR(IFERROR(VLOOKUP(VLOOKUP($B64, Dependencies!$B$2:$G$230, 2,FALSE),$B$14:O$73, O$74,FALSE),"o")=$D$4,IFERROR(VLOOKUP(VLOOKUP($B64, Dependencies!$B$2:$G$230, 3,FALSE),$B$14:O$73, O$74,FALSE),"o")=$D$4,IFERROR(VLOOKUP(VLOOKUP($B64, Dependencies!$B$2:$G$230, 4,FALSE),$B$14:O$73, O$74,FALSE),"o")=$D$4,IFERROR(VLOOKUP(VLOOKUP($B64, Dependencies!$B$2:$G$230, 5,FALSE),$B$14:O$73, O$74,FALSE),"o")=$D$4,IFERROR(VLOOKUP(VLOOKUP($B64, Dependencies!$B$2:$G$230, 6,FALSE),$B$14:O$73, O$74,FALSE),"o")=$D$4),$D$4,IF(OR(IFERROR(VLOOKUP(VLOOKUP($B64, Dependencies!$B$2:$G$230, 2,FALSE), $B$14:O$73, O$74,FALSE),"o")=$D$5,IFERROR(VLOOKUP(VLOOKUP($B64, Dependencies!$B$2:$G$230, 3,FALSE), $B$14:O$73, O$74,FALSE),"o")=$D$5,IFERROR(VLOOKUP(VLOOKUP($B64, Dependencies!$B$2:$G$230, 4,FALSE), $B$14:O$73, O$74,FALSE),"o")=$D$5,IFERROR(VLOOKUP(VLOOKUP($B64, Dependencies!$B$2:$G$230, 5,FALSE), $B$14:O$73, O$74,FALSE),"o")=$D$5,IFERROR(VLOOKUP(VLOOKUP($B64, Dependencies!$B$2:$G$230, 6,FALSE), $B$14:O$73, O$74,FALSE),"o")=$D$5),$D$5,N64)))</f>
        <v>o</v>
      </c>
      <c r="P64" s="93" t="s">
        <v>323</v>
      </c>
      <c r="Q64" s="70" t="str">
        <f>IF(P64=$D$4,P64,IF(OR(IFERROR(VLOOKUP(VLOOKUP($B64, Dependencies!$B$2:$G$230, 2,FALSE),$B$14:Q$73, Q$74,FALSE),"o")=$D$4,IFERROR(VLOOKUP(VLOOKUP($B64, Dependencies!$B$2:$G$230, 3,FALSE),$B$14:Q$73, Q$74,FALSE),"o")=$D$4,IFERROR(VLOOKUP(VLOOKUP($B64, Dependencies!$B$2:$G$230, 4,FALSE),$B$14:Q$73, Q$74,FALSE),"o")=$D$4,IFERROR(VLOOKUP(VLOOKUP($B64, Dependencies!$B$2:$G$230, 5,FALSE),$B$14:Q$73, Q$74,FALSE),"o")=$D$4,IFERROR(VLOOKUP(VLOOKUP($B64, Dependencies!$B$2:$G$230, 6,FALSE),$B$14:Q$73, Q$74,FALSE),"o")=$D$4),$D$4,IF(OR(IFERROR(VLOOKUP(VLOOKUP($B64, Dependencies!$B$2:$G$230, 2,FALSE), $B$14:Q$73, Q$74,FALSE),"o")=$D$5,IFERROR(VLOOKUP(VLOOKUP($B64, Dependencies!$B$2:$G$230, 3,FALSE), $B$14:Q$73, Q$74,FALSE),"o")=$D$5,IFERROR(VLOOKUP(VLOOKUP($B64, Dependencies!$B$2:$G$230, 4,FALSE), $B$14:Q$73, Q$74,FALSE),"o")=$D$5,IFERROR(VLOOKUP(VLOOKUP($B64, Dependencies!$B$2:$G$230, 5,FALSE), $B$14:Q$73, Q$74,FALSE),"o")=$D$5,IFERROR(VLOOKUP(VLOOKUP($B64, Dependencies!$B$2:$G$230, 6,FALSE), $B$14:Q$73, Q$74,FALSE),"o")=$D$5),$D$5,P64)))</f>
        <v>o</v>
      </c>
      <c r="R64" s="93" t="s">
        <v>323</v>
      </c>
      <c r="S64" s="70" t="str">
        <f>IF(R64=$D$4,R64,IF(OR(IFERROR(VLOOKUP(VLOOKUP($B64, Dependencies!$B$2:$G$230, 2,FALSE),$B$14:S$73, S$74,FALSE),"o")=$D$4,IFERROR(VLOOKUP(VLOOKUP($B64, Dependencies!$B$2:$G$230, 3,FALSE),$B$14:S$73, S$74,FALSE),"o")=$D$4,IFERROR(VLOOKUP(VLOOKUP($B64, Dependencies!$B$2:$G$230, 4,FALSE),$B$14:S$73, S$74,FALSE),"o")=$D$4,IFERROR(VLOOKUP(VLOOKUP($B64, Dependencies!$B$2:$G$230, 5,FALSE),$B$14:S$73, S$74,FALSE),"o")=$D$4,IFERROR(VLOOKUP(VLOOKUP($B64, Dependencies!$B$2:$G$230, 6,FALSE),$B$14:S$73, S$74,FALSE),"o")=$D$4),$D$4,IF(OR(IFERROR(VLOOKUP(VLOOKUP($B64, Dependencies!$B$2:$G$230, 2,FALSE), $B$14:S$73, S$74,FALSE),"o")=$D$5,IFERROR(VLOOKUP(VLOOKUP($B64, Dependencies!$B$2:$G$230, 3,FALSE), $B$14:S$73, S$74,FALSE),"o")=$D$5,IFERROR(VLOOKUP(VLOOKUP($B64, Dependencies!$B$2:$G$230, 4,FALSE), $B$14:S$73, S$74,FALSE),"o")=$D$5,IFERROR(VLOOKUP(VLOOKUP($B64, Dependencies!$B$2:$G$230, 5,FALSE), $B$14:S$73, S$74,FALSE),"o")=$D$5,IFERROR(VLOOKUP(VLOOKUP($B64, Dependencies!$B$2:$G$230, 6,FALSE), $B$14:S$73, S$74,FALSE),"o")=$D$5),$D$5,R64)))</f>
        <v>o</v>
      </c>
      <c r="T64" s="93" t="s">
        <v>323</v>
      </c>
      <c r="U64" s="70" t="str">
        <f>IF(T64=$D$4,T64,IF(OR(IFERROR(VLOOKUP(VLOOKUP($B64, Dependencies!$B$2:$G$230, 2,FALSE),$B$14:U$73, U$74,FALSE),"o")=$D$4,IFERROR(VLOOKUP(VLOOKUP($B64, Dependencies!$B$2:$G$230, 3,FALSE),$B$14:U$73, U$74,FALSE),"o")=$D$4,IFERROR(VLOOKUP(VLOOKUP($B64, Dependencies!$B$2:$G$230, 4,FALSE),$B$14:U$73, U$74,FALSE),"o")=$D$4,IFERROR(VLOOKUP(VLOOKUP($B64, Dependencies!$B$2:$G$230, 5,FALSE),$B$14:U$73, U$74,FALSE),"o")=$D$4,IFERROR(VLOOKUP(VLOOKUP($B64, Dependencies!$B$2:$G$230, 6,FALSE),$B$14:U$73, U$74,FALSE),"o")=$D$4),$D$4,IF(OR(IFERROR(VLOOKUP(VLOOKUP($B64, Dependencies!$B$2:$G$230, 2,FALSE), $B$14:U$73, U$74,FALSE),"o")=$D$5,IFERROR(VLOOKUP(VLOOKUP($B64, Dependencies!$B$2:$G$230, 3,FALSE), $B$14:U$73, U$74,FALSE),"o")=$D$5,IFERROR(VLOOKUP(VLOOKUP($B64, Dependencies!$B$2:$G$230, 4,FALSE), $B$14:U$73, U$74,FALSE),"o")=$D$5,IFERROR(VLOOKUP(VLOOKUP($B64, Dependencies!$B$2:$G$230, 5,FALSE), $B$14:U$73, U$74,FALSE),"o")=$D$5,IFERROR(VLOOKUP(VLOOKUP($B64, Dependencies!$B$2:$G$230, 6,FALSE), $B$14:U$73, U$74,FALSE),"o")=$D$5),$D$5,T64)))</f>
        <v>o</v>
      </c>
      <c r="V64" s="93" t="s">
        <v>323</v>
      </c>
      <c r="W64" s="70" t="str">
        <f>IF(V64=$D$4,V64,IF(OR(IFERROR(VLOOKUP(VLOOKUP($B64, Dependencies!$B$2:$G$230, 2,FALSE),$B$14:W$73, W$74,FALSE),"o")=$D$4,IFERROR(VLOOKUP(VLOOKUP($B64, Dependencies!$B$2:$G$230, 3,FALSE),$B$14:W$73, W$74,FALSE),"o")=$D$4,IFERROR(VLOOKUP(VLOOKUP($B64, Dependencies!$B$2:$G$230, 4,FALSE),$B$14:W$73, W$74,FALSE),"o")=$D$4,IFERROR(VLOOKUP(VLOOKUP($B64, Dependencies!$B$2:$G$230, 5,FALSE),$B$14:W$73, W$74,FALSE),"o")=$D$4,IFERROR(VLOOKUP(VLOOKUP($B64, Dependencies!$B$2:$G$230, 6,FALSE),$B$14:W$73, W$74,FALSE),"o")=$D$4),$D$4,IF(OR(IFERROR(VLOOKUP(VLOOKUP($B64, Dependencies!$B$2:$G$230, 2,FALSE), $B$14:W$73, W$74,FALSE),"o")=$D$5,IFERROR(VLOOKUP(VLOOKUP($B64, Dependencies!$B$2:$G$230, 3,FALSE), $B$14:W$73, W$74,FALSE),"o")=$D$5,IFERROR(VLOOKUP(VLOOKUP($B64, Dependencies!$B$2:$G$230, 4,FALSE), $B$14:W$73, W$74,FALSE),"o")=$D$5,IFERROR(VLOOKUP(VLOOKUP($B64, Dependencies!$B$2:$G$230, 5,FALSE), $B$14:W$73, W$74,FALSE),"o")=$D$5,IFERROR(VLOOKUP(VLOOKUP($B64, Dependencies!$B$2:$G$230, 6,FALSE), $B$14:W$73, W$74,FALSE),"o")=$D$5),$D$5,V64)))</f>
        <v>o</v>
      </c>
      <c r="X64" s="93" t="s">
        <v>323</v>
      </c>
      <c r="Y64" s="70" t="str">
        <f>IF(X64=$D$4,X64,IF(OR(IFERROR(VLOOKUP(VLOOKUP($B64, Dependencies!$B$2:$G$230, 2,FALSE),$B$14:Y$73, Y$74,FALSE),"o")=$D$4,IFERROR(VLOOKUP(VLOOKUP($B64, Dependencies!$B$2:$G$230, 3,FALSE),$B$14:Y$73, Y$74,FALSE),"o")=$D$4,IFERROR(VLOOKUP(VLOOKUP($B64, Dependencies!$B$2:$G$230, 4,FALSE),$B$14:Y$73, Y$74,FALSE),"o")=$D$4,IFERROR(VLOOKUP(VLOOKUP($B64, Dependencies!$B$2:$G$230, 5,FALSE),$B$14:Y$73, Y$74,FALSE),"o")=$D$4,IFERROR(VLOOKUP(VLOOKUP($B64, Dependencies!$B$2:$G$230, 6,FALSE),$B$14:Y$73, Y$74,FALSE),"o")=$D$4),$D$4,IF(OR(IFERROR(VLOOKUP(VLOOKUP($B64, Dependencies!$B$2:$G$230, 2,FALSE), $B$14:Y$73, Y$74,FALSE),"o")=$D$5,IFERROR(VLOOKUP(VLOOKUP($B64, Dependencies!$B$2:$G$230, 3,FALSE), $B$14:Y$73, Y$74,FALSE),"o")=$D$5,IFERROR(VLOOKUP(VLOOKUP($B64, Dependencies!$B$2:$G$230, 4,FALSE), $B$14:Y$73, Y$74,FALSE),"o")=$D$5,IFERROR(VLOOKUP(VLOOKUP($B64, Dependencies!$B$2:$G$230, 5,FALSE), $B$14:Y$73, Y$74,FALSE),"o")=$D$5,IFERROR(VLOOKUP(VLOOKUP($B64, Dependencies!$B$2:$G$230, 6,FALSE), $B$14:Y$73, Y$74,FALSE),"o")=$D$5),$D$5,X64)))</f>
        <v>o</v>
      </c>
      <c r="Z64" s="93" t="s">
        <v>323</v>
      </c>
      <c r="AA64" s="70" t="str">
        <f>IF(Z64=$D$4,Z64,IF(OR(IFERROR(VLOOKUP(VLOOKUP($B64, Dependencies!$B$2:$G$230, 2,FALSE),$B$14:AA$73, AA$74,FALSE),"o")=$D$4,IFERROR(VLOOKUP(VLOOKUP($B64, Dependencies!$B$2:$G$230, 3,FALSE),$B$14:AA$73, AA$74,FALSE),"o")=$D$4,IFERROR(VLOOKUP(VLOOKUP($B64, Dependencies!$B$2:$G$230, 4,FALSE),$B$14:AA$73, AA$74,FALSE),"o")=$D$4,IFERROR(VLOOKUP(VLOOKUP($B64, Dependencies!$B$2:$G$230, 5,FALSE),$B$14:AA$73, AA$74,FALSE),"o")=$D$4,IFERROR(VLOOKUP(VLOOKUP($B64, Dependencies!$B$2:$G$230, 6,FALSE),$B$14:AA$73, AA$74,FALSE),"o")=$D$4),$D$4,IF(OR(IFERROR(VLOOKUP(VLOOKUP($B64, Dependencies!$B$2:$G$230, 2,FALSE), $B$14:AA$73, AA$74,FALSE),"o")=$D$5,IFERROR(VLOOKUP(VLOOKUP($B64, Dependencies!$B$2:$G$230, 3,FALSE), $B$14:AA$73, AA$74,FALSE),"o")=$D$5,IFERROR(VLOOKUP(VLOOKUP($B64, Dependencies!$B$2:$G$230, 4,FALSE), $B$14:AA$73, AA$74,FALSE),"o")=$D$5,IFERROR(VLOOKUP(VLOOKUP($B64, Dependencies!$B$2:$G$230, 5,FALSE), $B$14:AA$73, AA$74,FALSE),"o")=$D$5,IFERROR(VLOOKUP(VLOOKUP($B64, Dependencies!$B$2:$G$230, 6,FALSE), $B$14:AA$73, AA$74,FALSE),"o")=$D$5),$D$5,Z64)))</f>
        <v>o</v>
      </c>
      <c r="AB64" s="93" t="s">
        <v>323</v>
      </c>
      <c r="AC64" s="70" t="str">
        <f>IF(AB64=$D$4,AB64,IF(OR(IFERROR(VLOOKUP(VLOOKUP($B64, Dependencies!$B$2:$G$230, 2,FALSE),$B$14:AC$73, AC$74,FALSE),"o")=$D$4,IFERROR(VLOOKUP(VLOOKUP($B64, Dependencies!$B$2:$G$230, 3,FALSE),$B$14:AC$73, AC$74,FALSE),"o")=$D$4,IFERROR(VLOOKUP(VLOOKUP($B64, Dependencies!$B$2:$G$230, 4,FALSE),$B$14:AC$73, AC$74,FALSE),"o")=$D$4,IFERROR(VLOOKUP(VLOOKUP($B64, Dependencies!$B$2:$G$230, 5,FALSE),$B$14:AC$73, AC$74,FALSE),"o")=$D$4,IFERROR(VLOOKUP(VLOOKUP($B64, Dependencies!$B$2:$G$230, 6,FALSE),$B$14:AC$73, AC$74,FALSE),"o")=$D$4),$D$4,IF(OR(IFERROR(VLOOKUP(VLOOKUP($B64, Dependencies!$B$2:$G$230, 2,FALSE), $B$14:AC$73, AC$74,FALSE),"o")=$D$5,IFERROR(VLOOKUP(VLOOKUP($B64, Dependencies!$B$2:$G$230, 3,FALSE), $B$14:AC$73, AC$74,FALSE),"o")=$D$5,IFERROR(VLOOKUP(VLOOKUP($B64, Dependencies!$B$2:$G$230, 4,FALSE), $B$14:AC$73, AC$74,FALSE),"o")=$D$5,IFERROR(VLOOKUP(VLOOKUP($B64, Dependencies!$B$2:$G$230, 5,FALSE), $B$14:AC$73, AC$74,FALSE),"o")=$D$5,IFERROR(VLOOKUP(VLOOKUP($B64, Dependencies!$B$2:$G$230, 6,FALSE), $B$14:AC$73, AC$74,FALSE),"o")=$D$5),$D$5,AB64)))</f>
        <v>o</v>
      </c>
      <c r="AD64" s="93" t="s">
        <v>323</v>
      </c>
      <c r="AE64" s="70" t="str">
        <f>IF(AD64=$D$4,AD64,IF(OR(IFERROR(VLOOKUP(VLOOKUP($B64, Dependencies!$B$2:$G$230, 2,FALSE),$B$14:AE$73, AE$74,FALSE),"o")=$D$4,IFERROR(VLOOKUP(VLOOKUP($B64, Dependencies!$B$2:$G$230, 3,FALSE),$B$14:AE$73, AE$74,FALSE),"o")=$D$4,IFERROR(VLOOKUP(VLOOKUP($B64, Dependencies!$B$2:$G$230, 4,FALSE),$B$14:AE$73, AE$74,FALSE),"o")=$D$4,IFERROR(VLOOKUP(VLOOKUP($B64, Dependencies!$B$2:$G$230, 5,FALSE),$B$14:AE$73, AE$74,FALSE),"o")=$D$4,IFERROR(VLOOKUP(VLOOKUP($B64, Dependencies!$B$2:$G$230, 6,FALSE),$B$14:AE$73, AE$74,FALSE),"o")=$D$4),$D$4,IF(OR(IFERROR(VLOOKUP(VLOOKUP($B64, Dependencies!$B$2:$G$230, 2,FALSE), $B$14:AE$73, AE$74,FALSE),"o")=$D$5,IFERROR(VLOOKUP(VLOOKUP($B64, Dependencies!$B$2:$G$230, 3,FALSE), $B$14:AE$73, AE$74,FALSE),"o")=$D$5,IFERROR(VLOOKUP(VLOOKUP($B64, Dependencies!$B$2:$G$230, 4,FALSE), $B$14:AE$73, AE$74,FALSE),"o")=$D$5,IFERROR(VLOOKUP(VLOOKUP($B64, Dependencies!$B$2:$G$230, 5,FALSE), $B$14:AE$73, AE$74,FALSE),"o")=$D$5,IFERROR(VLOOKUP(VLOOKUP($B64, Dependencies!$B$2:$G$230, 6,FALSE), $B$14:AE$73, AE$74,FALSE),"o")=$D$5),$D$5,AD64)))</f>
        <v>o</v>
      </c>
      <c r="AF64" s="93" t="s">
        <v>323</v>
      </c>
      <c r="AG64" s="70" t="str">
        <f>IF(AF64=$D$4,AF64,IF(OR(IFERROR(VLOOKUP(VLOOKUP($B64, Dependencies!$B$2:$G$230, 2,FALSE),$B$14:AG$73, AG$74,FALSE),"o")=$D$4,IFERROR(VLOOKUP(VLOOKUP($B64, Dependencies!$B$2:$G$230, 3,FALSE),$B$14:AG$73, AG$74,FALSE),"o")=$D$4,IFERROR(VLOOKUP(VLOOKUP($B64, Dependencies!$B$2:$G$230, 4,FALSE),$B$14:AG$73, AG$74,FALSE),"o")=$D$4,IFERROR(VLOOKUP(VLOOKUP($B64, Dependencies!$B$2:$G$230, 5,FALSE),$B$14:AG$73, AG$74,FALSE),"o")=$D$4,IFERROR(VLOOKUP(VLOOKUP($B64, Dependencies!$B$2:$G$230, 6,FALSE),$B$14:AG$73, AG$74,FALSE),"o")=$D$4),$D$4,IF(OR(IFERROR(VLOOKUP(VLOOKUP($B64, Dependencies!$B$2:$G$230, 2,FALSE), $B$14:AG$73, AG$74,FALSE),"o")=$D$5,IFERROR(VLOOKUP(VLOOKUP($B64, Dependencies!$B$2:$G$230, 3,FALSE), $B$14:AG$73, AG$74,FALSE),"o")=$D$5,IFERROR(VLOOKUP(VLOOKUP($B64, Dependencies!$B$2:$G$230, 4,FALSE), $B$14:AG$73, AG$74,FALSE),"o")=$D$5,IFERROR(VLOOKUP(VLOOKUP($B64, Dependencies!$B$2:$G$230, 5,FALSE), $B$14:AG$73, AG$74,FALSE),"o")=$D$5,IFERROR(VLOOKUP(VLOOKUP($B64, Dependencies!$B$2:$G$230, 6,FALSE), $B$14:AG$73, AG$74,FALSE),"o")=$D$5),$D$5,AF64)))</f>
        <v>o</v>
      </c>
      <c r="AH64" s="93" t="s">
        <v>323</v>
      </c>
      <c r="AI64" s="70" t="str">
        <f>IF(AH64=$D$4,AH64,IF(OR(IFERROR(VLOOKUP(VLOOKUP($B64, Dependencies!$B$2:$G$230, 2,FALSE),$B$14:AI$73, AI$74,FALSE),"o")=$D$4,IFERROR(VLOOKUP(VLOOKUP($B64, Dependencies!$B$2:$G$230, 3,FALSE),$B$14:AI$73, AI$74,FALSE),"o")=$D$4,IFERROR(VLOOKUP(VLOOKUP($B64, Dependencies!$B$2:$G$230, 4,FALSE),$B$14:AI$73, AI$74,FALSE),"o")=$D$4,IFERROR(VLOOKUP(VLOOKUP($B64, Dependencies!$B$2:$G$230, 5,FALSE),$B$14:AI$73, AI$74,FALSE),"o")=$D$4,IFERROR(VLOOKUP(VLOOKUP($B64, Dependencies!$B$2:$G$230, 6,FALSE),$B$14:AI$73, AI$74,FALSE),"o")=$D$4),$D$4,IF(OR(IFERROR(VLOOKUP(VLOOKUP($B64, Dependencies!$B$2:$G$230, 2,FALSE), $B$14:AI$73, AI$74,FALSE),"o")=$D$5,IFERROR(VLOOKUP(VLOOKUP($B64, Dependencies!$B$2:$G$230, 3,FALSE), $B$14:AI$73, AI$74,FALSE),"o")=$D$5,IFERROR(VLOOKUP(VLOOKUP($B64, Dependencies!$B$2:$G$230, 4,FALSE), $B$14:AI$73, AI$74,FALSE),"o")=$D$5,IFERROR(VLOOKUP(VLOOKUP($B64, Dependencies!$B$2:$G$230, 5,FALSE), $B$14:AI$73, AI$74,FALSE),"o")=$D$5,IFERROR(VLOOKUP(VLOOKUP($B64, Dependencies!$B$2:$G$230, 6,FALSE), $B$14:AI$73, AI$74,FALSE),"o")=$D$5),$D$5,AH64)))</f>
        <v>o</v>
      </c>
      <c r="AJ64" s="93" t="s">
        <v>323</v>
      </c>
      <c r="AK64" s="70" t="str">
        <f>IF(AJ64=$D$4,AJ64,IF(OR(IFERROR(VLOOKUP(VLOOKUP($B64, Dependencies!$B$2:$G$230, 2,FALSE),$B$14:AK$73, AK$74,FALSE),"o")=$D$4,IFERROR(VLOOKUP(VLOOKUP($B64, Dependencies!$B$2:$G$230, 3,FALSE),$B$14:AK$73, AK$74,FALSE),"o")=$D$4,IFERROR(VLOOKUP(VLOOKUP($B64, Dependencies!$B$2:$G$230, 4,FALSE),$B$14:AK$73, AK$74,FALSE),"o")=$D$4,IFERROR(VLOOKUP(VLOOKUP($B64, Dependencies!$B$2:$G$230, 5,FALSE),$B$14:AK$73, AK$74,FALSE),"o")=$D$4,IFERROR(VLOOKUP(VLOOKUP($B64, Dependencies!$B$2:$G$230, 6,FALSE),$B$14:AK$73, AK$74,FALSE),"o")=$D$4),$D$4,IF(OR(IFERROR(VLOOKUP(VLOOKUP($B64, Dependencies!$B$2:$G$230, 2,FALSE), $B$14:AK$73, AK$74,FALSE),"o")=$D$5,IFERROR(VLOOKUP(VLOOKUP($B64, Dependencies!$B$2:$G$230, 3,FALSE), $B$14:AK$73, AK$74,FALSE),"o")=$D$5,IFERROR(VLOOKUP(VLOOKUP($B64, Dependencies!$B$2:$G$230, 4,FALSE), $B$14:AK$73, AK$74,FALSE),"o")=$D$5,IFERROR(VLOOKUP(VLOOKUP($B64, Dependencies!$B$2:$G$230, 5,FALSE), $B$14:AK$73, AK$74,FALSE),"o")=$D$5,IFERROR(VLOOKUP(VLOOKUP($B64, Dependencies!$B$2:$G$230, 6,FALSE), $B$14:AK$73, AK$74,FALSE),"o")=$D$5),$D$5,AJ64)))</f>
        <v>o</v>
      </c>
      <c r="AL64" s="93" t="s">
        <v>323</v>
      </c>
      <c r="AM64" s="70" t="str">
        <f>IF(AL64=$D$4,AL64,IF(OR(IFERROR(VLOOKUP(VLOOKUP($B64, Dependencies!$B$2:$G$230, 2,FALSE),$B$14:AM$73, AM$74,FALSE),"o")=$D$4,IFERROR(VLOOKUP(VLOOKUP($B64, Dependencies!$B$2:$G$230, 3,FALSE),$B$14:AM$73, AM$74,FALSE),"o")=$D$4,IFERROR(VLOOKUP(VLOOKUP($B64, Dependencies!$B$2:$G$230, 4,FALSE),$B$14:AM$73, AM$74,FALSE),"o")=$D$4,IFERROR(VLOOKUP(VLOOKUP($B64, Dependencies!$B$2:$G$230, 5,FALSE),$B$14:AM$73, AM$74,FALSE),"o")=$D$4,IFERROR(VLOOKUP(VLOOKUP($B64, Dependencies!$B$2:$G$230, 6,FALSE),$B$14:AM$73, AM$74,FALSE),"o")=$D$4),$D$4,IF(OR(IFERROR(VLOOKUP(VLOOKUP($B64, Dependencies!$B$2:$G$230, 2,FALSE), $B$14:AM$73, AM$74,FALSE),"o")=$D$5,IFERROR(VLOOKUP(VLOOKUP($B64, Dependencies!$B$2:$G$230, 3,FALSE), $B$14:AM$73, AM$74,FALSE),"o")=$D$5,IFERROR(VLOOKUP(VLOOKUP($B64, Dependencies!$B$2:$G$230, 4,FALSE), $B$14:AM$73, AM$74,FALSE),"o")=$D$5,IFERROR(VLOOKUP(VLOOKUP($B64, Dependencies!$B$2:$G$230, 5,FALSE), $B$14:AM$73, AM$74,FALSE),"o")=$D$5,IFERROR(VLOOKUP(VLOOKUP($B64, Dependencies!$B$2:$G$230, 6,FALSE), $B$14:AM$73, AM$74,FALSE),"o")=$D$5),$D$5,AL64)))</f>
        <v>o</v>
      </c>
      <c r="AN64" s="93" t="s">
        <v>323</v>
      </c>
      <c r="AO64" s="70" t="str">
        <f>IF(AN64=$D$4,AN64,IF(OR(IFERROR(VLOOKUP(VLOOKUP($B64, Dependencies!$B$2:$G$230, 2,FALSE),$B$14:AO$73, AO$74,FALSE),"o")=$D$4,IFERROR(VLOOKUP(VLOOKUP($B64, Dependencies!$B$2:$G$230, 3,FALSE),$B$14:AO$73, AO$74,FALSE),"o")=$D$4,IFERROR(VLOOKUP(VLOOKUP($B64, Dependencies!$B$2:$G$230, 4,FALSE),$B$14:AO$73, AO$74,FALSE),"o")=$D$4,IFERROR(VLOOKUP(VLOOKUP($B64, Dependencies!$B$2:$G$230, 5,FALSE),$B$14:AO$73, AO$74,FALSE),"o")=$D$4,IFERROR(VLOOKUP(VLOOKUP($B64, Dependencies!$B$2:$G$230, 6,FALSE),$B$14:AO$73, AO$74,FALSE),"o")=$D$4),$D$4,IF(OR(IFERROR(VLOOKUP(VLOOKUP($B64, Dependencies!$B$2:$G$230, 2,FALSE), $B$14:AO$73, AO$74,FALSE),"o")=$D$5,IFERROR(VLOOKUP(VLOOKUP($B64, Dependencies!$B$2:$G$230, 3,FALSE), $B$14:AO$73, AO$74,FALSE),"o")=$D$5,IFERROR(VLOOKUP(VLOOKUP($B64, Dependencies!$B$2:$G$230, 4,FALSE), $B$14:AO$73, AO$74,FALSE),"o")=$D$5,IFERROR(VLOOKUP(VLOOKUP($B64, Dependencies!$B$2:$G$230, 5,FALSE), $B$14:AO$73, AO$74,FALSE),"o")=$D$5,IFERROR(VLOOKUP(VLOOKUP($B64, Dependencies!$B$2:$G$230, 6,FALSE), $B$14:AO$73, AO$74,FALSE),"o")=$D$5),$D$5,AN64)))</f>
        <v>o</v>
      </c>
      <c r="AP64" s="93" t="s">
        <v>323</v>
      </c>
      <c r="AQ64" s="70" t="str">
        <f>IF(AP64=$D$4,AP64,IF(OR(IFERROR(VLOOKUP(VLOOKUP($B64, Dependencies!$B$2:$G$230, 2,FALSE),$B$14:AQ$73, AQ$74,FALSE),"o")=$D$4,IFERROR(VLOOKUP(VLOOKUP($B64, Dependencies!$B$2:$G$230, 3,FALSE),$B$14:AQ$73, AQ$74,FALSE),"o")=$D$4,IFERROR(VLOOKUP(VLOOKUP($B64, Dependencies!$B$2:$G$230, 4,FALSE),$B$14:AQ$73, AQ$74,FALSE),"o")=$D$4,IFERROR(VLOOKUP(VLOOKUP($B64, Dependencies!$B$2:$G$230, 5,FALSE),$B$14:AQ$73, AQ$74,FALSE),"o")=$D$4,IFERROR(VLOOKUP(VLOOKUP($B64, Dependencies!$B$2:$G$230, 6,FALSE),$B$14:AQ$73, AQ$74,FALSE),"o")=$D$4),$D$4,IF(OR(IFERROR(VLOOKUP(VLOOKUP($B64, Dependencies!$B$2:$G$230, 2,FALSE), $B$14:AQ$73, AQ$74,FALSE),"o")=$D$5,IFERROR(VLOOKUP(VLOOKUP($B64, Dependencies!$B$2:$G$230, 3,FALSE), $B$14:AQ$73, AQ$74,FALSE),"o")=$D$5,IFERROR(VLOOKUP(VLOOKUP($B64, Dependencies!$B$2:$G$230, 4,FALSE), $B$14:AQ$73, AQ$74,FALSE),"o")=$D$5,IFERROR(VLOOKUP(VLOOKUP($B64, Dependencies!$B$2:$G$230, 5,FALSE), $B$14:AQ$73, AQ$74,FALSE),"o")=$D$5,IFERROR(VLOOKUP(VLOOKUP($B64, Dependencies!$B$2:$G$230, 6,FALSE), $B$14:AQ$73, AQ$74,FALSE),"o")=$D$5),$D$5,AP64)))</f>
        <v>o</v>
      </c>
      <c r="AR64" s="93" t="s">
        <v>323</v>
      </c>
      <c r="AS64" s="69" t="str">
        <f>IF(AR64=$D$4,AR64,IF(OR(IFERROR(VLOOKUP(VLOOKUP($B64, Dependencies!$B$2:$G$230, 2,FALSE),$B$14:AS$73, AS$74,FALSE),"o")=$D$4,IFERROR(VLOOKUP(VLOOKUP($B64, Dependencies!$B$2:$G$230, 3,FALSE),$B$14:AS$73, AS$74,FALSE),"o")=$D$4,IFERROR(VLOOKUP(VLOOKUP($B64, Dependencies!$B$2:$G$230, 4,FALSE),$B$14:AS$73, AS$74,FALSE),"o")=$D$4,IFERROR(VLOOKUP(VLOOKUP($B64, Dependencies!$B$2:$G$230, 5,FALSE),$B$14:AS$73, AS$74,FALSE),"o")=$D$4,IFERROR(VLOOKUP(VLOOKUP($B64, Dependencies!$B$2:$G$230, 6,FALSE),$B$14:AS$73, AS$74,FALSE),"o")=$D$4),$D$4,IF(OR(IFERROR(VLOOKUP(VLOOKUP($B64, Dependencies!$B$2:$G$230, 2,FALSE), $B$14:AS$73, AS$74,FALSE),"o")=$D$5,IFERROR(VLOOKUP(VLOOKUP($B64, Dependencies!$B$2:$G$230, 3,FALSE), $B$14:AS$73, AS$74,FALSE),"o")=$D$5,IFERROR(VLOOKUP(VLOOKUP($B64, Dependencies!$B$2:$G$230, 4,FALSE), $B$14:AS$73, AS$74,FALSE),"o")=$D$5,IFERROR(VLOOKUP(VLOOKUP($B64, Dependencies!$B$2:$G$230, 5,FALSE), $B$14:AS$73, AS$74,FALSE),"o")=$D$5,IFERROR(VLOOKUP(VLOOKUP($B64, Dependencies!$B$2:$G$230, 6,FALSE), $B$14:AS$73, AS$74,FALSE),"o")=$D$5),$D$5,AR64)))</f>
        <v>o</v>
      </c>
    </row>
    <row r="65" spans="1:45" x14ac:dyDescent="0.2">
      <c r="A65" s="40"/>
      <c r="B65" s="74" t="str">
        <f>MLEOsv2!A53</f>
        <v>MLEO_06_04</v>
      </c>
      <c r="C65" s="74">
        <f>MLEOsv2!C53</f>
        <v>8</v>
      </c>
      <c r="D65" s="44" t="str">
        <f>MLEOsv2!G53</f>
        <v>handle exception correctly.</v>
      </c>
      <c r="E65" s="68" t="b">
        <f>MLEOsv2!H53</f>
        <v>1</v>
      </c>
      <c r="F65" s="94" t="s">
        <v>323</v>
      </c>
      <c r="G65" s="72" t="str">
        <f>IF(F65=$D$4,F65,IF(OR(IFERROR(VLOOKUP(VLOOKUP($B65, Dependencies!$B$2:$G$230, 2,FALSE),$B$14:G$73, G$74,FALSE),"o")=$D$4,IFERROR(VLOOKUP(VLOOKUP($B65, Dependencies!$B$2:$G$230, 3,FALSE),$B$14:G$73, G$74,FALSE),"o")=$D$4,IFERROR(VLOOKUP(VLOOKUP($B65, Dependencies!$B$2:$G$230, 4,FALSE),$B$14:G$73, G$74,FALSE),"o")=$D$4,IFERROR(VLOOKUP(VLOOKUP($B65, Dependencies!$B$2:$G$230, 5,FALSE),$B$14:G$73, G$74,FALSE),"o")=$D$4,IFERROR(VLOOKUP(VLOOKUP($B65, Dependencies!$B$2:$G$230, 6,FALSE),$B$14:G$73, G$74,FALSE),"o")=$D$4),$D$4,IF(OR(IFERROR(VLOOKUP(VLOOKUP($B65, Dependencies!$B$2:$G$230, 2,FALSE), $B$14:G$73, G$74,FALSE),"o")=$D$5,IFERROR(VLOOKUP(VLOOKUP($B65, Dependencies!$B$2:$G$230, 3,FALSE), $B$14:G$73, G$74,FALSE),"o")=$D$5,IFERROR(VLOOKUP(VLOOKUP($B65, Dependencies!$B$2:$G$230, 4,FALSE), $B$14:G$73, G$74,FALSE),"o")=$D$5,IFERROR(VLOOKUP(VLOOKUP($B65, Dependencies!$B$2:$G$230, 5,FALSE), $B$14:G$73, G$74,FALSE),"o")=$D$5,IFERROR(VLOOKUP(VLOOKUP($B65, Dependencies!$B$2:$G$230, 6,FALSE), $B$14:G$73, G$74,FALSE),"o")=$D$5),$D$5,F65)))</f>
        <v>o</v>
      </c>
      <c r="H65" s="94" t="s">
        <v>321</v>
      </c>
      <c r="I65" s="72" t="str">
        <f>IF(H65=$D$4,H65,IF(OR(IFERROR(VLOOKUP(VLOOKUP($B65, Dependencies!$B$2:$G$230, 2,FALSE),$B$14:I$73, I$74,FALSE),"o")=$D$4,IFERROR(VLOOKUP(VLOOKUP($B65, Dependencies!$B$2:$G$230, 3,FALSE),$B$14:I$73, I$74,FALSE),"o")=$D$4,IFERROR(VLOOKUP(VLOOKUP($B65, Dependencies!$B$2:$G$230, 4,FALSE),$B$14:I$73, I$74,FALSE),"o")=$D$4,IFERROR(VLOOKUP(VLOOKUP($B65, Dependencies!$B$2:$G$230, 5,FALSE),$B$14:I$73, I$74,FALSE),"o")=$D$4,IFERROR(VLOOKUP(VLOOKUP($B65, Dependencies!$B$2:$G$230, 6,FALSE),$B$14:I$73, I$74,FALSE),"o")=$D$4),$D$4,IF(OR(IFERROR(VLOOKUP(VLOOKUP($B65, Dependencies!$B$2:$G$230, 2,FALSE), $B$14:I$73, I$74,FALSE),"o")=$D$5,IFERROR(VLOOKUP(VLOOKUP($B65, Dependencies!$B$2:$G$230, 3,FALSE), $B$14:I$73, I$74,FALSE),"o")=$D$5,IFERROR(VLOOKUP(VLOOKUP($B65, Dependencies!$B$2:$G$230, 4,FALSE), $B$14:I$73, I$74,FALSE),"o")=$D$5,IFERROR(VLOOKUP(VLOOKUP($B65, Dependencies!$B$2:$G$230, 5,FALSE), $B$14:I$73, I$74,FALSE),"o")=$D$5,IFERROR(VLOOKUP(VLOOKUP($B65, Dependencies!$B$2:$G$230, 6,FALSE), $B$14:I$73, I$74,FALSE),"o")=$D$5),$D$5,H65)))</f>
        <v>pr</v>
      </c>
      <c r="J65" s="94" t="s">
        <v>320</v>
      </c>
      <c r="K65" s="72" t="str">
        <f>IF(J65=$D$4,J65,IF(OR(IFERROR(VLOOKUP(VLOOKUP($B65, Dependencies!$B$2:$G$230, 2,FALSE),$B$14:K$73, K$74,FALSE),"o")=$D$4,IFERROR(VLOOKUP(VLOOKUP($B65, Dependencies!$B$2:$G$230, 3,FALSE),$B$14:K$73, K$74,FALSE),"o")=$D$4,IFERROR(VLOOKUP(VLOOKUP($B65, Dependencies!$B$2:$G$230, 4,FALSE),$B$14:K$73, K$74,FALSE),"o")=$D$4,IFERROR(VLOOKUP(VLOOKUP($B65, Dependencies!$B$2:$G$230, 5,FALSE),$B$14:K$73, K$74,FALSE),"o")=$D$4,IFERROR(VLOOKUP(VLOOKUP($B65, Dependencies!$B$2:$G$230, 6,FALSE),$B$14:K$73, K$74,FALSE),"o")=$D$4),$D$4,IF(OR(IFERROR(VLOOKUP(VLOOKUP($B65, Dependencies!$B$2:$G$230, 2,FALSE), $B$14:K$73, K$74,FALSE),"o")=$D$5,IFERROR(VLOOKUP(VLOOKUP($B65, Dependencies!$B$2:$G$230, 3,FALSE), $B$14:K$73, K$74,FALSE),"o")=$D$5,IFERROR(VLOOKUP(VLOOKUP($B65, Dependencies!$B$2:$G$230, 4,FALSE), $B$14:K$73, K$74,FALSE),"o")=$D$5,IFERROR(VLOOKUP(VLOOKUP($B65, Dependencies!$B$2:$G$230, 5,FALSE), $B$14:K$73, K$74,FALSE),"o")=$D$5,IFERROR(VLOOKUP(VLOOKUP($B65, Dependencies!$B$2:$G$230, 6,FALSE), $B$14:K$73, K$74,FALSE),"o")=$D$5),$D$5,J65)))</f>
        <v>r</v>
      </c>
      <c r="L65" s="94" t="s">
        <v>323</v>
      </c>
      <c r="M65" s="72" t="str">
        <f>IF(L65=$D$4,L65,IF(OR(IFERROR(VLOOKUP(VLOOKUP($B65, Dependencies!$B$2:$G$230, 2,FALSE),$B$14:M$73, M$74,FALSE),"o")=$D$4,IFERROR(VLOOKUP(VLOOKUP($B65, Dependencies!$B$2:$G$230, 3,FALSE),$B$14:M$73, M$74,FALSE),"o")=$D$4,IFERROR(VLOOKUP(VLOOKUP($B65, Dependencies!$B$2:$G$230, 4,FALSE),$B$14:M$73, M$74,FALSE),"o")=$D$4,IFERROR(VLOOKUP(VLOOKUP($B65, Dependencies!$B$2:$G$230, 5,FALSE),$B$14:M$73, M$74,FALSE),"o")=$D$4,IFERROR(VLOOKUP(VLOOKUP($B65, Dependencies!$B$2:$G$230, 6,FALSE),$B$14:M$73, M$74,FALSE),"o")=$D$4),$D$4,IF(OR(IFERROR(VLOOKUP(VLOOKUP($B65, Dependencies!$B$2:$G$230, 2,FALSE), $B$14:M$73, M$74,FALSE),"o")=$D$5,IFERROR(VLOOKUP(VLOOKUP($B65, Dependencies!$B$2:$G$230, 3,FALSE), $B$14:M$73, M$74,FALSE),"o")=$D$5,IFERROR(VLOOKUP(VLOOKUP($B65, Dependencies!$B$2:$G$230, 4,FALSE), $B$14:M$73, M$74,FALSE),"o")=$D$5,IFERROR(VLOOKUP(VLOOKUP($B65, Dependencies!$B$2:$G$230, 5,FALSE), $B$14:M$73, M$74,FALSE),"o")=$D$5,IFERROR(VLOOKUP(VLOOKUP($B65, Dependencies!$B$2:$G$230, 6,FALSE), $B$14:M$73, M$74,FALSE),"o")=$D$5),$D$5,L65)))</f>
        <v>o</v>
      </c>
      <c r="N65" s="94" t="s">
        <v>323</v>
      </c>
      <c r="O65" s="72" t="str">
        <f>IF(N65=$D$4,N65,IF(OR(IFERROR(VLOOKUP(VLOOKUP($B65, Dependencies!$B$2:$G$230, 2,FALSE),$B$14:O$73, O$74,FALSE),"o")=$D$4,IFERROR(VLOOKUP(VLOOKUP($B65, Dependencies!$B$2:$G$230, 3,FALSE),$B$14:O$73, O$74,FALSE),"o")=$D$4,IFERROR(VLOOKUP(VLOOKUP($B65, Dependencies!$B$2:$G$230, 4,FALSE),$B$14:O$73, O$74,FALSE),"o")=$D$4,IFERROR(VLOOKUP(VLOOKUP($B65, Dependencies!$B$2:$G$230, 5,FALSE),$B$14:O$73, O$74,FALSE),"o")=$D$4,IFERROR(VLOOKUP(VLOOKUP($B65, Dependencies!$B$2:$G$230, 6,FALSE),$B$14:O$73, O$74,FALSE),"o")=$D$4),$D$4,IF(OR(IFERROR(VLOOKUP(VLOOKUP($B65, Dependencies!$B$2:$G$230, 2,FALSE), $B$14:O$73, O$74,FALSE),"o")=$D$5,IFERROR(VLOOKUP(VLOOKUP($B65, Dependencies!$B$2:$G$230, 3,FALSE), $B$14:O$73, O$74,FALSE),"o")=$D$5,IFERROR(VLOOKUP(VLOOKUP($B65, Dependencies!$B$2:$G$230, 4,FALSE), $B$14:O$73, O$74,FALSE),"o")=$D$5,IFERROR(VLOOKUP(VLOOKUP($B65, Dependencies!$B$2:$G$230, 5,FALSE), $B$14:O$73, O$74,FALSE),"o")=$D$5,IFERROR(VLOOKUP(VLOOKUP($B65, Dependencies!$B$2:$G$230, 6,FALSE), $B$14:O$73, O$74,FALSE),"o")=$D$5),$D$5,N65)))</f>
        <v>o</v>
      </c>
      <c r="P65" s="94" t="s">
        <v>323</v>
      </c>
      <c r="Q65" s="72" t="str">
        <f>IF(P65=$D$4,P65,IF(OR(IFERROR(VLOOKUP(VLOOKUP($B65, Dependencies!$B$2:$G$230, 2,FALSE),$B$14:Q$73, Q$74,FALSE),"o")=$D$4,IFERROR(VLOOKUP(VLOOKUP($B65, Dependencies!$B$2:$G$230, 3,FALSE),$B$14:Q$73, Q$74,FALSE),"o")=$D$4,IFERROR(VLOOKUP(VLOOKUP($B65, Dependencies!$B$2:$G$230, 4,FALSE),$B$14:Q$73, Q$74,FALSE),"o")=$D$4,IFERROR(VLOOKUP(VLOOKUP($B65, Dependencies!$B$2:$G$230, 5,FALSE),$B$14:Q$73, Q$74,FALSE),"o")=$D$4,IFERROR(VLOOKUP(VLOOKUP($B65, Dependencies!$B$2:$G$230, 6,FALSE),$B$14:Q$73, Q$74,FALSE),"o")=$D$4),$D$4,IF(OR(IFERROR(VLOOKUP(VLOOKUP($B65, Dependencies!$B$2:$G$230, 2,FALSE), $B$14:Q$73, Q$74,FALSE),"o")=$D$5,IFERROR(VLOOKUP(VLOOKUP($B65, Dependencies!$B$2:$G$230, 3,FALSE), $B$14:Q$73, Q$74,FALSE),"o")=$D$5,IFERROR(VLOOKUP(VLOOKUP($B65, Dependencies!$B$2:$G$230, 4,FALSE), $B$14:Q$73, Q$74,FALSE),"o")=$D$5,IFERROR(VLOOKUP(VLOOKUP($B65, Dependencies!$B$2:$G$230, 5,FALSE), $B$14:Q$73, Q$74,FALSE),"o")=$D$5,IFERROR(VLOOKUP(VLOOKUP($B65, Dependencies!$B$2:$G$230, 6,FALSE), $B$14:Q$73, Q$74,FALSE),"o")=$D$5),$D$5,P65)))</f>
        <v>o</v>
      </c>
      <c r="R65" s="94" t="s">
        <v>323</v>
      </c>
      <c r="S65" s="72" t="str">
        <f>IF(R65=$D$4,R65,IF(OR(IFERROR(VLOOKUP(VLOOKUP($B65, Dependencies!$B$2:$G$230, 2,FALSE),$B$14:S$73, S$74,FALSE),"o")=$D$4,IFERROR(VLOOKUP(VLOOKUP($B65, Dependencies!$B$2:$G$230, 3,FALSE),$B$14:S$73, S$74,FALSE),"o")=$D$4,IFERROR(VLOOKUP(VLOOKUP($B65, Dependencies!$B$2:$G$230, 4,FALSE),$B$14:S$73, S$74,FALSE),"o")=$D$4,IFERROR(VLOOKUP(VLOOKUP($B65, Dependencies!$B$2:$G$230, 5,FALSE),$B$14:S$73, S$74,FALSE),"o")=$D$4,IFERROR(VLOOKUP(VLOOKUP($B65, Dependencies!$B$2:$G$230, 6,FALSE),$B$14:S$73, S$74,FALSE),"o")=$D$4),$D$4,IF(OR(IFERROR(VLOOKUP(VLOOKUP($B65, Dependencies!$B$2:$G$230, 2,FALSE), $B$14:S$73, S$74,FALSE),"o")=$D$5,IFERROR(VLOOKUP(VLOOKUP($B65, Dependencies!$B$2:$G$230, 3,FALSE), $B$14:S$73, S$74,FALSE),"o")=$D$5,IFERROR(VLOOKUP(VLOOKUP($B65, Dependencies!$B$2:$G$230, 4,FALSE), $B$14:S$73, S$74,FALSE),"o")=$D$5,IFERROR(VLOOKUP(VLOOKUP($B65, Dependencies!$B$2:$G$230, 5,FALSE), $B$14:S$73, S$74,FALSE),"o")=$D$5,IFERROR(VLOOKUP(VLOOKUP($B65, Dependencies!$B$2:$G$230, 6,FALSE), $B$14:S$73, S$74,FALSE),"o")=$D$5),$D$5,R65)))</f>
        <v>o</v>
      </c>
      <c r="T65" s="94" t="s">
        <v>323</v>
      </c>
      <c r="U65" s="72" t="str">
        <f>IF(T65=$D$4,T65,IF(OR(IFERROR(VLOOKUP(VLOOKUP($B65, Dependencies!$B$2:$G$230, 2,FALSE),$B$14:U$73, U$74,FALSE),"o")=$D$4,IFERROR(VLOOKUP(VLOOKUP($B65, Dependencies!$B$2:$G$230, 3,FALSE),$B$14:U$73, U$74,FALSE),"o")=$D$4,IFERROR(VLOOKUP(VLOOKUP($B65, Dependencies!$B$2:$G$230, 4,FALSE),$B$14:U$73, U$74,FALSE),"o")=$D$4,IFERROR(VLOOKUP(VLOOKUP($B65, Dependencies!$B$2:$G$230, 5,FALSE),$B$14:U$73, U$74,FALSE),"o")=$D$4,IFERROR(VLOOKUP(VLOOKUP($B65, Dependencies!$B$2:$G$230, 6,FALSE),$B$14:U$73, U$74,FALSE),"o")=$D$4),$D$4,IF(OR(IFERROR(VLOOKUP(VLOOKUP($B65, Dependencies!$B$2:$G$230, 2,FALSE), $B$14:U$73, U$74,FALSE),"o")=$D$5,IFERROR(VLOOKUP(VLOOKUP($B65, Dependencies!$B$2:$G$230, 3,FALSE), $B$14:U$73, U$74,FALSE),"o")=$D$5,IFERROR(VLOOKUP(VLOOKUP($B65, Dependencies!$B$2:$G$230, 4,FALSE), $B$14:U$73, U$74,FALSE),"o")=$D$5,IFERROR(VLOOKUP(VLOOKUP($B65, Dependencies!$B$2:$G$230, 5,FALSE), $B$14:U$73, U$74,FALSE),"o")=$D$5,IFERROR(VLOOKUP(VLOOKUP($B65, Dependencies!$B$2:$G$230, 6,FALSE), $B$14:U$73, U$74,FALSE),"o")=$D$5),$D$5,T65)))</f>
        <v>o</v>
      </c>
      <c r="V65" s="94" t="s">
        <v>323</v>
      </c>
      <c r="W65" s="72" t="str">
        <f>IF(V65=$D$4,V65,IF(OR(IFERROR(VLOOKUP(VLOOKUP($B65, Dependencies!$B$2:$G$230, 2,FALSE),$B$14:W$73, W$74,FALSE),"o")=$D$4,IFERROR(VLOOKUP(VLOOKUP($B65, Dependencies!$B$2:$G$230, 3,FALSE),$B$14:W$73, W$74,FALSE),"o")=$D$4,IFERROR(VLOOKUP(VLOOKUP($B65, Dependencies!$B$2:$G$230, 4,FALSE),$B$14:W$73, W$74,FALSE),"o")=$D$4,IFERROR(VLOOKUP(VLOOKUP($B65, Dependencies!$B$2:$G$230, 5,FALSE),$B$14:W$73, W$74,FALSE),"o")=$D$4,IFERROR(VLOOKUP(VLOOKUP($B65, Dependencies!$B$2:$G$230, 6,FALSE),$B$14:W$73, W$74,FALSE),"o")=$D$4),$D$4,IF(OR(IFERROR(VLOOKUP(VLOOKUP($B65, Dependencies!$B$2:$G$230, 2,FALSE), $B$14:W$73, W$74,FALSE),"o")=$D$5,IFERROR(VLOOKUP(VLOOKUP($B65, Dependencies!$B$2:$G$230, 3,FALSE), $B$14:W$73, W$74,FALSE),"o")=$D$5,IFERROR(VLOOKUP(VLOOKUP($B65, Dependencies!$B$2:$G$230, 4,FALSE), $B$14:W$73, W$74,FALSE),"o")=$D$5,IFERROR(VLOOKUP(VLOOKUP($B65, Dependencies!$B$2:$G$230, 5,FALSE), $B$14:W$73, W$74,FALSE),"o")=$D$5,IFERROR(VLOOKUP(VLOOKUP($B65, Dependencies!$B$2:$G$230, 6,FALSE), $B$14:W$73, W$74,FALSE),"o")=$D$5),$D$5,V65)))</f>
        <v>o</v>
      </c>
      <c r="X65" s="94" t="s">
        <v>323</v>
      </c>
      <c r="Y65" s="72" t="str">
        <f>IF(X65=$D$4,X65,IF(OR(IFERROR(VLOOKUP(VLOOKUP($B65, Dependencies!$B$2:$G$230, 2,FALSE),$B$14:Y$73, Y$74,FALSE),"o")=$D$4,IFERROR(VLOOKUP(VLOOKUP($B65, Dependencies!$B$2:$G$230, 3,FALSE),$B$14:Y$73, Y$74,FALSE),"o")=$D$4,IFERROR(VLOOKUP(VLOOKUP($B65, Dependencies!$B$2:$G$230, 4,FALSE),$B$14:Y$73, Y$74,FALSE),"o")=$D$4,IFERROR(VLOOKUP(VLOOKUP($B65, Dependencies!$B$2:$G$230, 5,FALSE),$B$14:Y$73, Y$74,FALSE),"o")=$D$4,IFERROR(VLOOKUP(VLOOKUP($B65, Dependencies!$B$2:$G$230, 6,FALSE),$B$14:Y$73, Y$74,FALSE),"o")=$D$4),$D$4,IF(OR(IFERROR(VLOOKUP(VLOOKUP($B65, Dependencies!$B$2:$G$230, 2,FALSE), $B$14:Y$73, Y$74,FALSE),"o")=$D$5,IFERROR(VLOOKUP(VLOOKUP($B65, Dependencies!$B$2:$G$230, 3,FALSE), $B$14:Y$73, Y$74,FALSE),"o")=$D$5,IFERROR(VLOOKUP(VLOOKUP($B65, Dependencies!$B$2:$G$230, 4,FALSE), $B$14:Y$73, Y$74,FALSE),"o")=$D$5,IFERROR(VLOOKUP(VLOOKUP($B65, Dependencies!$B$2:$G$230, 5,FALSE), $B$14:Y$73, Y$74,FALSE),"o")=$D$5,IFERROR(VLOOKUP(VLOOKUP($B65, Dependencies!$B$2:$G$230, 6,FALSE), $B$14:Y$73, Y$74,FALSE),"o")=$D$5),$D$5,X65)))</f>
        <v>o</v>
      </c>
      <c r="Z65" s="94" t="s">
        <v>323</v>
      </c>
      <c r="AA65" s="72" t="str">
        <f>IF(Z65=$D$4,Z65,IF(OR(IFERROR(VLOOKUP(VLOOKUP($B65, Dependencies!$B$2:$G$230, 2,FALSE),$B$14:AA$73, AA$74,FALSE),"o")=$D$4,IFERROR(VLOOKUP(VLOOKUP($B65, Dependencies!$B$2:$G$230, 3,FALSE),$B$14:AA$73, AA$74,FALSE),"o")=$D$4,IFERROR(VLOOKUP(VLOOKUP($B65, Dependencies!$B$2:$G$230, 4,FALSE),$B$14:AA$73, AA$74,FALSE),"o")=$D$4,IFERROR(VLOOKUP(VLOOKUP($B65, Dependencies!$B$2:$G$230, 5,FALSE),$B$14:AA$73, AA$74,FALSE),"o")=$D$4,IFERROR(VLOOKUP(VLOOKUP($B65, Dependencies!$B$2:$G$230, 6,FALSE),$B$14:AA$73, AA$74,FALSE),"o")=$D$4),$D$4,IF(OR(IFERROR(VLOOKUP(VLOOKUP($B65, Dependencies!$B$2:$G$230, 2,FALSE), $B$14:AA$73, AA$74,FALSE),"o")=$D$5,IFERROR(VLOOKUP(VLOOKUP($B65, Dependencies!$B$2:$G$230, 3,FALSE), $B$14:AA$73, AA$74,FALSE),"o")=$D$5,IFERROR(VLOOKUP(VLOOKUP($B65, Dependencies!$B$2:$G$230, 4,FALSE), $B$14:AA$73, AA$74,FALSE),"o")=$D$5,IFERROR(VLOOKUP(VLOOKUP($B65, Dependencies!$B$2:$G$230, 5,FALSE), $B$14:AA$73, AA$74,FALSE),"o")=$D$5,IFERROR(VLOOKUP(VLOOKUP($B65, Dependencies!$B$2:$G$230, 6,FALSE), $B$14:AA$73, AA$74,FALSE),"o")=$D$5),$D$5,Z65)))</f>
        <v>o</v>
      </c>
      <c r="AB65" s="94" t="s">
        <v>323</v>
      </c>
      <c r="AC65" s="72" t="str">
        <f>IF(AB65=$D$4,AB65,IF(OR(IFERROR(VLOOKUP(VLOOKUP($B65, Dependencies!$B$2:$G$230, 2,FALSE),$B$14:AC$73, AC$74,FALSE),"o")=$D$4,IFERROR(VLOOKUP(VLOOKUP($B65, Dependencies!$B$2:$G$230, 3,FALSE),$B$14:AC$73, AC$74,FALSE),"o")=$D$4,IFERROR(VLOOKUP(VLOOKUP($B65, Dependencies!$B$2:$G$230, 4,FALSE),$B$14:AC$73, AC$74,FALSE),"o")=$D$4,IFERROR(VLOOKUP(VLOOKUP($B65, Dependencies!$B$2:$G$230, 5,FALSE),$B$14:AC$73, AC$74,FALSE),"o")=$D$4,IFERROR(VLOOKUP(VLOOKUP($B65, Dependencies!$B$2:$G$230, 6,FALSE),$B$14:AC$73, AC$74,FALSE),"o")=$D$4),$D$4,IF(OR(IFERROR(VLOOKUP(VLOOKUP($B65, Dependencies!$B$2:$G$230, 2,FALSE), $B$14:AC$73, AC$74,FALSE),"o")=$D$5,IFERROR(VLOOKUP(VLOOKUP($B65, Dependencies!$B$2:$G$230, 3,FALSE), $B$14:AC$73, AC$74,FALSE),"o")=$D$5,IFERROR(VLOOKUP(VLOOKUP($B65, Dependencies!$B$2:$G$230, 4,FALSE), $B$14:AC$73, AC$74,FALSE),"o")=$D$5,IFERROR(VLOOKUP(VLOOKUP($B65, Dependencies!$B$2:$G$230, 5,FALSE), $B$14:AC$73, AC$74,FALSE),"o")=$D$5,IFERROR(VLOOKUP(VLOOKUP($B65, Dependencies!$B$2:$G$230, 6,FALSE), $B$14:AC$73, AC$74,FALSE),"o")=$D$5),$D$5,AB65)))</f>
        <v>o</v>
      </c>
      <c r="AD65" s="94" t="s">
        <v>323</v>
      </c>
      <c r="AE65" s="72" t="str">
        <f>IF(AD65=$D$4,AD65,IF(OR(IFERROR(VLOOKUP(VLOOKUP($B65, Dependencies!$B$2:$G$230, 2,FALSE),$B$14:AE$73, AE$74,FALSE),"o")=$D$4,IFERROR(VLOOKUP(VLOOKUP($B65, Dependencies!$B$2:$G$230, 3,FALSE),$B$14:AE$73, AE$74,FALSE),"o")=$D$4,IFERROR(VLOOKUP(VLOOKUP($B65, Dependencies!$B$2:$G$230, 4,FALSE),$B$14:AE$73, AE$74,FALSE),"o")=$D$4,IFERROR(VLOOKUP(VLOOKUP($B65, Dependencies!$B$2:$G$230, 5,FALSE),$B$14:AE$73, AE$74,FALSE),"o")=$D$4,IFERROR(VLOOKUP(VLOOKUP($B65, Dependencies!$B$2:$G$230, 6,FALSE),$B$14:AE$73, AE$74,FALSE),"o")=$D$4),$D$4,IF(OR(IFERROR(VLOOKUP(VLOOKUP($B65, Dependencies!$B$2:$G$230, 2,FALSE), $B$14:AE$73, AE$74,FALSE),"o")=$D$5,IFERROR(VLOOKUP(VLOOKUP($B65, Dependencies!$B$2:$G$230, 3,FALSE), $B$14:AE$73, AE$74,FALSE),"o")=$D$5,IFERROR(VLOOKUP(VLOOKUP($B65, Dependencies!$B$2:$G$230, 4,FALSE), $B$14:AE$73, AE$74,FALSE),"o")=$D$5,IFERROR(VLOOKUP(VLOOKUP($B65, Dependencies!$B$2:$G$230, 5,FALSE), $B$14:AE$73, AE$74,FALSE),"o")=$D$5,IFERROR(VLOOKUP(VLOOKUP($B65, Dependencies!$B$2:$G$230, 6,FALSE), $B$14:AE$73, AE$74,FALSE),"o")=$D$5),$D$5,AD65)))</f>
        <v>o</v>
      </c>
      <c r="AF65" s="94" t="s">
        <v>323</v>
      </c>
      <c r="AG65" s="72" t="str">
        <f>IF(AF65=$D$4,AF65,IF(OR(IFERROR(VLOOKUP(VLOOKUP($B65, Dependencies!$B$2:$G$230, 2,FALSE),$B$14:AG$73, AG$74,FALSE),"o")=$D$4,IFERROR(VLOOKUP(VLOOKUP($B65, Dependencies!$B$2:$G$230, 3,FALSE),$B$14:AG$73, AG$74,FALSE),"o")=$D$4,IFERROR(VLOOKUP(VLOOKUP($B65, Dependencies!$B$2:$G$230, 4,FALSE),$B$14:AG$73, AG$74,FALSE),"o")=$D$4,IFERROR(VLOOKUP(VLOOKUP($B65, Dependencies!$B$2:$G$230, 5,FALSE),$B$14:AG$73, AG$74,FALSE),"o")=$D$4,IFERROR(VLOOKUP(VLOOKUP($B65, Dependencies!$B$2:$G$230, 6,FALSE),$B$14:AG$73, AG$74,FALSE),"o")=$D$4),$D$4,IF(OR(IFERROR(VLOOKUP(VLOOKUP($B65, Dependencies!$B$2:$G$230, 2,FALSE), $B$14:AG$73, AG$74,FALSE),"o")=$D$5,IFERROR(VLOOKUP(VLOOKUP($B65, Dependencies!$B$2:$G$230, 3,FALSE), $B$14:AG$73, AG$74,FALSE),"o")=$D$5,IFERROR(VLOOKUP(VLOOKUP($B65, Dependencies!$B$2:$G$230, 4,FALSE), $B$14:AG$73, AG$74,FALSE),"o")=$D$5,IFERROR(VLOOKUP(VLOOKUP($B65, Dependencies!$B$2:$G$230, 5,FALSE), $B$14:AG$73, AG$74,FALSE),"o")=$D$5,IFERROR(VLOOKUP(VLOOKUP($B65, Dependencies!$B$2:$G$230, 6,FALSE), $B$14:AG$73, AG$74,FALSE),"o")=$D$5),$D$5,AF65)))</f>
        <v>o</v>
      </c>
      <c r="AH65" s="94" t="s">
        <v>323</v>
      </c>
      <c r="AI65" s="72" t="str">
        <f>IF(AH65=$D$4,AH65,IF(OR(IFERROR(VLOOKUP(VLOOKUP($B65, Dependencies!$B$2:$G$230, 2,FALSE),$B$14:AI$73, AI$74,FALSE),"o")=$D$4,IFERROR(VLOOKUP(VLOOKUP($B65, Dependencies!$B$2:$G$230, 3,FALSE),$B$14:AI$73, AI$74,FALSE),"o")=$D$4,IFERROR(VLOOKUP(VLOOKUP($B65, Dependencies!$B$2:$G$230, 4,FALSE),$B$14:AI$73, AI$74,FALSE),"o")=$D$4,IFERROR(VLOOKUP(VLOOKUP($B65, Dependencies!$B$2:$G$230, 5,FALSE),$B$14:AI$73, AI$74,FALSE),"o")=$D$4,IFERROR(VLOOKUP(VLOOKUP($B65, Dependencies!$B$2:$G$230, 6,FALSE),$B$14:AI$73, AI$74,FALSE),"o")=$D$4),$D$4,IF(OR(IFERROR(VLOOKUP(VLOOKUP($B65, Dependencies!$B$2:$G$230, 2,FALSE), $B$14:AI$73, AI$74,FALSE),"o")=$D$5,IFERROR(VLOOKUP(VLOOKUP($B65, Dependencies!$B$2:$G$230, 3,FALSE), $B$14:AI$73, AI$74,FALSE),"o")=$D$5,IFERROR(VLOOKUP(VLOOKUP($B65, Dependencies!$B$2:$G$230, 4,FALSE), $B$14:AI$73, AI$74,FALSE),"o")=$D$5,IFERROR(VLOOKUP(VLOOKUP($B65, Dependencies!$B$2:$G$230, 5,FALSE), $B$14:AI$73, AI$74,FALSE),"o")=$D$5,IFERROR(VLOOKUP(VLOOKUP($B65, Dependencies!$B$2:$G$230, 6,FALSE), $B$14:AI$73, AI$74,FALSE),"o")=$D$5),$D$5,AH65)))</f>
        <v>o</v>
      </c>
      <c r="AJ65" s="94" t="s">
        <v>323</v>
      </c>
      <c r="AK65" s="72" t="str">
        <f>IF(AJ65=$D$4,AJ65,IF(OR(IFERROR(VLOOKUP(VLOOKUP($B65, Dependencies!$B$2:$G$230, 2,FALSE),$B$14:AK$73, AK$74,FALSE),"o")=$D$4,IFERROR(VLOOKUP(VLOOKUP($B65, Dependencies!$B$2:$G$230, 3,FALSE),$B$14:AK$73, AK$74,FALSE),"o")=$D$4,IFERROR(VLOOKUP(VLOOKUP($B65, Dependencies!$B$2:$G$230, 4,FALSE),$B$14:AK$73, AK$74,FALSE),"o")=$D$4,IFERROR(VLOOKUP(VLOOKUP($B65, Dependencies!$B$2:$G$230, 5,FALSE),$B$14:AK$73, AK$74,FALSE),"o")=$D$4,IFERROR(VLOOKUP(VLOOKUP($B65, Dependencies!$B$2:$G$230, 6,FALSE),$B$14:AK$73, AK$74,FALSE),"o")=$D$4),$D$4,IF(OR(IFERROR(VLOOKUP(VLOOKUP($B65, Dependencies!$B$2:$G$230, 2,FALSE), $B$14:AK$73, AK$74,FALSE),"o")=$D$5,IFERROR(VLOOKUP(VLOOKUP($B65, Dependencies!$B$2:$G$230, 3,FALSE), $B$14:AK$73, AK$74,FALSE),"o")=$D$5,IFERROR(VLOOKUP(VLOOKUP($B65, Dependencies!$B$2:$G$230, 4,FALSE), $B$14:AK$73, AK$74,FALSE),"o")=$D$5,IFERROR(VLOOKUP(VLOOKUP($B65, Dependencies!$B$2:$G$230, 5,FALSE), $B$14:AK$73, AK$74,FALSE),"o")=$D$5,IFERROR(VLOOKUP(VLOOKUP($B65, Dependencies!$B$2:$G$230, 6,FALSE), $B$14:AK$73, AK$74,FALSE),"o")=$D$5),$D$5,AJ65)))</f>
        <v>o</v>
      </c>
      <c r="AL65" s="94" t="s">
        <v>323</v>
      </c>
      <c r="AM65" s="72" t="str">
        <f>IF(AL65=$D$4,AL65,IF(OR(IFERROR(VLOOKUP(VLOOKUP($B65, Dependencies!$B$2:$G$230, 2,FALSE),$B$14:AM$73, AM$74,FALSE),"o")=$D$4,IFERROR(VLOOKUP(VLOOKUP($B65, Dependencies!$B$2:$G$230, 3,FALSE),$B$14:AM$73, AM$74,FALSE),"o")=$D$4,IFERROR(VLOOKUP(VLOOKUP($B65, Dependencies!$B$2:$G$230, 4,FALSE),$B$14:AM$73, AM$74,FALSE),"o")=$D$4,IFERROR(VLOOKUP(VLOOKUP($B65, Dependencies!$B$2:$G$230, 5,FALSE),$B$14:AM$73, AM$74,FALSE),"o")=$D$4,IFERROR(VLOOKUP(VLOOKUP($B65, Dependencies!$B$2:$G$230, 6,FALSE),$B$14:AM$73, AM$74,FALSE),"o")=$D$4),$D$4,IF(OR(IFERROR(VLOOKUP(VLOOKUP($B65, Dependencies!$B$2:$G$230, 2,FALSE), $B$14:AM$73, AM$74,FALSE),"o")=$D$5,IFERROR(VLOOKUP(VLOOKUP($B65, Dependencies!$B$2:$G$230, 3,FALSE), $B$14:AM$73, AM$74,FALSE),"o")=$D$5,IFERROR(VLOOKUP(VLOOKUP($B65, Dependencies!$B$2:$G$230, 4,FALSE), $B$14:AM$73, AM$74,FALSE),"o")=$D$5,IFERROR(VLOOKUP(VLOOKUP($B65, Dependencies!$B$2:$G$230, 5,FALSE), $B$14:AM$73, AM$74,FALSE),"o")=$D$5,IFERROR(VLOOKUP(VLOOKUP($B65, Dependencies!$B$2:$G$230, 6,FALSE), $B$14:AM$73, AM$74,FALSE),"o")=$D$5),$D$5,AL65)))</f>
        <v>o</v>
      </c>
      <c r="AN65" s="94" t="s">
        <v>323</v>
      </c>
      <c r="AO65" s="72" t="str">
        <f>IF(AN65=$D$4,AN65,IF(OR(IFERROR(VLOOKUP(VLOOKUP($B65, Dependencies!$B$2:$G$230, 2,FALSE),$B$14:AO$73, AO$74,FALSE),"o")=$D$4,IFERROR(VLOOKUP(VLOOKUP($B65, Dependencies!$B$2:$G$230, 3,FALSE),$B$14:AO$73, AO$74,FALSE),"o")=$D$4,IFERROR(VLOOKUP(VLOOKUP($B65, Dependencies!$B$2:$G$230, 4,FALSE),$B$14:AO$73, AO$74,FALSE),"o")=$D$4,IFERROR(VLOOKUP(VLOOKUP($B65, Dependencies!$B$2:$G$230, 5,FALSE),$B$14:AO$73, AO$74,FALSE),"o")=$D$4,IFERROR(VLOOKUP(VLOOKUP($B65, Dependencies!$B$2:$G$230, 6,FALSE),$B$14:AO$73, AO$74,FALSE),"o")=$D$4),$D$4,IF(OR(IFERROR(VLOOKUP(VLOOKUP($B65, Dependencies!$B$2:$G$230, 2,FALSE), $B$14:AO$73, AO$74,FALSE),"o")=$D$5,IFERROR(VLOOKUP(VLOOKUP($B65, Dependencies!$B$2:$G$230, 3,FALSE), $B$14:AO$73, AO$74,FALSE),"o")=$D$5,IFERROR(VLOOKUP(VLOOKUP($B65, Dependencies!$B$2:$G$230, 4,FALSE), $B$14:AO$73, AO$74,FALSE),"o")=$D$5,IFERROR(VLOOKUP(VLOOKUP($B65, Dependencies!$B$2:$G$230, 5,FALSE), $B$14:AO$73, AO$74,FALSE),"o")=$D$5,IFERROR(VLOOKUP(VLOOKUP($B65, Dependencies!$B$2:$G$230, 6,FALSE), $B$14:AO$73, AO$74,FALSE),"o")=$D$5),$D$5,AN65)))</f>
        <v>o</v>
      </c>
      <c r="AP65" s="94" t="s">
        <v>323</v>
      </c>
      <c r="AQ65" s="72" t="str">
        <f>IF(AP65=$D$4,AP65,IF(OR(IFERROR(VLOOKUP(VLOOKUP($B65, Dependencies!$B$2:$G$230, 2,FALSE),$B$14:AQ$73, AQ$74,FALSE),"o")=$D$4,IFERROR(VLOOKUP(VLOOKUP($B65, Dependencies!$B$2:$G$230, 3,FALSE),$B$14:AQ$73, AQ$74,FALSE),"o")=$D$4,IFERROR(VLOOKUP(VLOOKUP($B65, Dependencies!$B$2:$G$230, 4,FALSE),$B$14:AQ$73, AQ$74,FALSE),"o")=$D$4,IFERROR(VLOOKUP(VLOOKUP($B65, Dependencies!$B$2:$G$230, 5,FALSE),$B$14:AQ$73, AQ$74,FALSE),"o")=$D$4,IFERROR(VLOOKUP(VLOOKUP($B65, Dependencies!$B$2:$G$230, 6,FALSE),$B$14:AQ$73, AQ$74,FALSE),"o")=$D$4),$D$4,IF(OR(IFERROR(VLOOKUP(VLOOKUP($B65, Dependencies!$B$2:$G$230, 2,FALSE), $B$14:AQ$73, AQ$74,FALSE),"o")=$D$5,IFERROR(VLOOKUP(VLOOKUP($B65, Dependencies!$B$2:$G$230, 3,FALSE), $B$14:AQ$73, AQ$74,FALSE),"o")=$D$5,IFERROR(VLOOKUP(VLOOKUP($B65, Dependencies!$B$2:$G$230, 4,FALSE), $B$14:AQ$73, AQ$74,FALSE),"o")=$D$5,IFERROR(VLOOKUP(VLOOKUP($B65, Dependencies!$B$2:$G$230, 5,FALSE), $B$14:AQ$73, AQ$74,FALSE),"o")=$D$5,IFERROR(VLOOKUP(VLOOKUP($B65, Dependencies!$B$2:$G$230, 6,FALSE), $B$14:AQ$73, AQ$74,FALSE),"o")=$D$5),$D$5,AP65)))</f>
        <v>o</v>
      </c>
      <c r="AR65" s="94" t="s">
        <v>323</v>
      </c>
      <c r="AS65" s="71" t="str">
        <f>IF(AR65=$D$4,AR65,IF(OR(IFERROR(VLOOKUP(VLOOKUP($B65, Dependencies!$B$2:$G$230, 2,FALSE),$B$14:AS$73, AS$74,FALSE),"o")=$D$4,IFERROR(VLOOKUP(VLOOKUP($B65, Dependencies!$B$2:$G$230, 3,FALSE),$B$14:AS$73, AS$74,FALSE),"o")=$D$4,IFERROR(VLOOKUP(VLOOKUP($B65, Dependencies!$B$2:$G$230, 4,FALSE),$B$14:AS$73, AS$74,FALSE),"o")=$D$4,IFERROR(VLOOKUP(VLOOKUP($B65, Dependencies!$B$2:$G$230, 5,FALSE),$B$14:AS$73, AS$74,FALSE),"o")=$D$4,IFERROR(VLOOKUP(VLOOKUP($B65, Dependencies!$B$2:$G$230, 6,FALSE),$B$14:AS$73, AS$74,FALSE),"o")=$D$4),$D$4,IF(OR(IFERROR(VLOOKUP(VLOOKUP($B65, Dependencies!$B$2:$G$230, 2,FALSE), $B$14:AS$73, AS$74,FALSE),"o")=$D$5,IFERROR(VLOOKUP(VLOOKUP($B65, Dependencies!$B$2:$G$230, 3,FALSE), $B$14:AS$73, AS$74,FALSE),"o")=$D$5,IFERROR(VLOOKUP(VLOOKUP($B65, Dependencies!$B$2:$G$230, 4,FALSE), $B$14:AS$73, AS$74,FALSE),"o")=$D$5,IFERROR(VLOOKUP(VLOOKUP($B65, Dependencies!$B$2:$G$230, 5,FALSE), $B$14:AS$73, AS$74,FALSE),"o")=$D$5,IFERROR(VLOOKUP(VLOOKUP($B65, Dependencies!$B$2:$G$230, 6,FALSE), $B$14:AS$73, AS$74,FALSE),"o")=$D$5),$D$5,AR65)))</f>
        <v>o</v>
      </c>
    </row>
    <row r="66" spans="1:45" x14ac:dyDescent="0.2">
      <c r="A66" s="40"/>
      <c r="B66" s="73" t="str">
        <f>MLEOsv2!A54</f>
        <v>MLEO_07_01</v>
      </c>
      <c r="C66" s="73">
        <f>MLEOsv2!C54</f>
        <v>9</v>
      </c>
      <c r="D66" s="42" t="str">
        <f>MLEOsv2!G54</f>
        <v>export data in text-based formats with correct exception handling.</v>
      </c>
      <c r="E66" s="51" t="b">
        <f>MLEOsv2!H54</f>
        <v>0</v>
      </c>
      <c r="F66" s="93" t="s">
        <v>323</v>
      </c>
      <c r="G66" s="70" t="str">
        <f>IF(F66=$D$4,F66,IF(OR(IFERROR(VLOOKUP(VLOOKUP($B66, Dependencies!$B$2:$G$230, 2,FALSE),$B$14:G$73, G$74,FALSE),"o")=$D$4,IFERROR(VLOOKUP(VLOOKUP($B66, Dependencies!$B$2:$G$230, 3,FALSE),$B$14:G$73, G$74,FALSE),"o")=$D$4,IFERROR(VLOOKUP(VLOOKUP($B66, Dependencies!$B$2:$G$230, 4,FALSE),$B$14:G$73, G$74,FALSE),"o")=$D$4,IFERROR(VLOOKUP(VLOOKUP($B66, Dependencies!$B$2:$G$230, 5,FALSE),$B$14:G$73, G$74,FALSE),"o")=$D$4,IFERROR(VLOOKUP(VLOOKUP($B66, Dependencies!$B$2:$G$230, 6,FALSE),$B$14:G$73, G$74,FALSE),"o")=$D$4),$D$4,IF(OR(IFERROR(VLOOKUP(VLOOKUP($B66, Dependencies!$B$2:$G$230, 2,FALSE), $B$14:G$73, G$74,FALSE),"o")=$D$5,IFERROR(VLOOKUP(VLOOKUP($B66, Dependencies!$B$2:$G$230, 3,FALSE), $B$14:G$73, G$74,FALSE),"o")=$D$5,IFERROR(VLOOKUP(VLOOKUP($B66, Dependencies!$B$2:$G$230, 4,FALSE), $B$14:G$73, G$74,FALSE),"o")=$D$5,IFERROR(VLOOKUP(VLOOKUP($B66, Dependencies!$B$2:$G$230, 5,FALSE), $B$14:G$73, G$74,FALSE),"o")=$D$5,IFERROR(VLOOKUP(VLOOKUP($B66, Dependencies!$B$2:$G$230, 6,FALSE), $B$14:G$73, G$74,FALSE),"o")=$D$5),$D$5,F66)))</f>
        <v>o</v>
      </c>
      <c r="H66" s="93" t="s">
        <v>321</v>
      </c>
      <c r="I66" s="70" t="str">
        <f>IF(H66=$D$4,H66,IF(OR(IFERROR(VLOOKUP(VLOOKUP($B66, Dependencies!$B$2:$G$230, 2,FALSE),$B$14:I$73, I$74,FALSE),"o")=$D$4,IFERROR(VLOOKUP(VLOOKUP($B66, Dependencies!$B$2:$G$230, 3,FALSE),$B$14:I$73, I$74,FALSE),"o")=$D$4,IFERROR(VLOOKUP(VLOOKUP($B66, Dependencies!$B$2:$G$230, 4,FALSE),$B$14:I$73, I$74,FALSE),"o")=$D$4,IFERROR(VLOOKUP(VLOOKUP($B66, Dependencies!$B$2:$G$230, 5,FALSE),$B$14:I$73, I$74,FALSE),"o")=$D$4,IFERROR(VLOOKUP(VLOOKUP($B66, Dependencies!$B$2:$G$230, 6,FALSE),$B$14:I$73, I$74,FALSE),"o")=$D$4),$D$4,IF(OR(IFERROR(VLOOKUP(VLOOKUP($B66, Dependencies!$B$2:$G$230, 2,FALSE), $B$14:I$73, I$74,FALSE),"o")=$D$5,IFERROR(VLOOKUP(VLOOKUP($B66, Dependencies!$B$2:$G$230, 3,FALSE), $B$14:I$73, I$74,FALSE),"o")=$D$5,IFERROR(VLOOKUP(VLOOKUP($B66, Dependencies!$B$2:$G$230, 4,FALSE), $B$14:I$73, I$74,FALSE),"o")=$D$5,IFERROR(VLOOKUP(VLOOKUP($B66, Dependencies!$B$2:$G$230, 5,FALSE), $B$14:I$73, I$74,FALSE),"o")=$D$5,IFERROR(VLOOKUP(VLOOKUP($B66, Dependencies!$B$2:$G$230, 6,FALSE), $B$14:I$73, I$74,FALSE),"o")=$D$5),$D$5,H66)))</f>
        <v>pr</v>
      </c>
      <c r="J66" s="93" t="s">
        <v>323</v>
      </c>
      <c r="K66" s="70" t="str">
        <f>IF(J66=$D$4,J66,IF(OR(IFERROR(VLOOKUP(VLOOKUP($B66, Dependencies!$B$2:$G$230, 2,FALSE),$B$14:K$73, K$74,FALSE),"o")=$D$4,IFERROR(VLOOKUP(VLOOKUP($B66, Dependencies!$B$2:$G$230, 3,FALSE),$B$14:K$73, K$74,FALSE),"o")=$D$4,IFERROR(VLOOKUP(VLOOKUP($B66, Dependencies!$B$2:$G$230, 4,FALSE),$B$14:K$73, K$74,FALSE),"o")=$D$4,IFERROR(VLOOKUP(VLOOKUP($B66, Dependencies!$B$2:$G$230, 5,FALSE),$B$14:K$73, K$74,FALSE),"o")=$D$4,IFERROR(VLOOKUP(VLOOKUP($B66, Dependencies!$B$2:$G$230, 6,FALSE),$B$14:K$73, K$74,FALSE),"o")=$D$4),$D$4,IF(OR(IFERROR(VLOOKUP(VLOOKUP($B66, Dependencies!$B$2:$G$230, 2,FALSE), $B$14:K$73, K$74,FALSE),"o")=$D$5,IFERROR(VLOOKUP(VLOOKUP($B66, Dependencies!$B$2:$G$230, 3,FALSE), $B$14:K$73, K$74,FALSE),"o")=$D$5,IFERROR(VLOOKUP(VLOOKUP($B66, Dependencies!$B$2:$G$230, 4,FALSE), $B$14:K$73, K$74,FALSE),"o")=$D$5,IFERROR(VLOOKUP(VLOOKUP($B66, Dependencies!$B$2:$G$230, 5,FALSE), $B$14:K$73, K$74,FALSE),"o")=$D$5,IFERROR(VLOOKUP(VLOOKUP($B66, Dependencies!$B$2:$G$230, 6,FALSE), $B$14:K$73, K$74,FALSE),"o")=$D$5),$D$5,J66)))</f>
        <v>o</v>
      </c>
      <c r="L66" s="93" t="s">
        <v>323</v>
      </c>
      <c r="M66" s="70" t="str">
        <f>IF(L66=$D$4,L66,IF(OR(IFERROR(VLOOKUP(VLOOKUP($B66, Dependencies!$B$2:$G$230, 2,FALSE),$B$14:M$73, M$74,FALSE),"o")=$D$4,IFERROR(VLOOKUP(VLOOKUP($B66, Dependencies!$B$2:$G$230, 3,FALSE),$B$14:M$73, M$74,FALSE),"o")=$D$4,IFERROR(VLOOKUP(VLOOKUP($B66, Dependencies!$B$2:$G$230, 4,FALSE),$B$14:M$73, M$74,FALSE),"o")=$D$4,IFERROR(VLOOKUP(VLOOKUP($B66, Dependencies!$B$2:$G$230, 5,FALSE),$B$14:M$73, M$74,FALSE),"o")=$D$4,IFERROR(VLOOKUP(VLOOKUP($B66, Dependencies!$B$2:$G$230, 6,FALSE),$B$14:M$73, M$74,FALSE),"o")=$D$4),$D$4,IF(OR(IFERROR(VLOOKUP(VLOOKUP($B66, Dependencies!$B$2:$G$230, 2,FALSE), $B$14:M$73, M$74,FALSE),"o")=$D$5,IFERROR(VLOOKUP(VLOOKUP($B66, Dependencies!$B$2:$G$230, 3,FALSE), $B$14:M$73, M$74,FALSE),"o")=$D$5,IFERROR(VLOOKUP(VLOOKUP($B66, Dependencies!$B$2:$G$230, 4,FALSE), $B$14:M$73, M$74,FALSE),"o")=$D$5,IFERROR(VLOOKUP(VLOOKUP($B66, Dependencies!$B$2:$G$230, 5,FALSE), $B$14:M$73, M$74,FALSE),"o")=$D$5,IFERROR(VLOOKUP(VLOOKUP($B66, Dependencies!$B$2:$G$230, 6,FALSE), $B$14:M$73, M$74,FALSE),"o")=$D$5),$D$5,L66)))</f>
        <v>o</v>
      </c>
      <c r="N66" s="93" t="s">
        <v>323</v>
      </c>
      <c r="O66" s="70" t="str">
        <f>IF(N66=$D$4,N66,IF(OR(IFERROR(VLOOKUP(VLOOKUP($B66, Dependencies!$B$2:$G$230, 2,FALSE),$B$14:O$73, O$74,FALSE),"o")=$D$4,IFERROR(VLOOKUP(VLOOKUP($B66, Dependencies!$B$2:$G$230, 3,FALSE),$B$14:O$73, O$74,FALSE),"o")=$D$4,IFERROR(VLOOKUP(VLOOKUP($B66, Dependencies!$B$2:$G$230, 4,FALSE),$B$14:O$73, O$74,FALSE),"o")=$D$4,IFERROR(VLOOKUP(VLOOKUP($B66, Dependencies!$B$2:$G$230, 5,FALSE),$B$14:O$73, O$74,FALSE),"o")=$D$4,IFERROR(VLOOKUP(VLOOKUP($B66, Dependencies!$B$2:$G$230, 6,FALSE),$B$14:O$73, O$74,FALSE),"o")=$D$4),$D$4,IF(OR(IFERROR(VLOOKUP(VLOOKUP($B66, Dependencies!$B$2:$G$230, 2,FALSE), $B$14:O$73, O$74,FALSE),"o")=$D$5,IFERROR(VLOOKUP(VLOOKUP($B66, Dependencies!$B$2:$G$230, 3,FALSE), $B$14:O$73, O$74,FALSE),"o")=$D$5,IFERROR(VLOOKUP(VLOOKUP($B66, Dependencies!$B$2:$G$230, 4,FALSE), $B$14:O$73, O$74,FALSE),"o")=$D$5,IFERROR(VLOOKUP(VLOOKUP($B66, Dependencies!$B$2:$G$230, 5,FALSE), $B$14:O$73, O$74,FALSE),"o")=$D$5,IFERROR(VLOOKUP(VLOOKUP($B66, Dependencies!$B$2:$G$230, 6,FALSE), $B$14:O$73, O$74,FALSE),"o")=$D$5),$D$5,N66)))</f>
        <v>o</v>
      </c>
      <c r="P66" s="93" t="s">
        <v>323</v>
      </c>
      <c r="Q66" s="70" t="str">
        <f>IF(P66=$D$4,P66,IF(OR(IFERROR(VLOOKUP(VLOOKUP($B66, Dependencies!$B$2:$G$230, 2,FALSE),$B$14:Q$73, Q$74,FALSE),"o")=$D$4,IFERROR(VLOOKUP(VLOOKUP($B66, Dependencies!$B$2:$G$230, 3,FALSE),$B$14:Q$73, Q$74,FALSE),"o")=$D$4,IFERROR(VLOOKUP(VLOOKUP($B66, Dependencies!$B$2:$G$230, 4,FALSE),$B$14:Q$73, Q$74,FALSE),"o")=$D$4,IFERROR(VLOOKUP(VLOOKUP($B66, Dependencies!$B$2:$G$230, 5,FALSE),$B$14:Q$73, Q$74,FALSE),"o")=$D$4,IFERROR(VLOOKUP(VLOOKUP($B66, Dependencies!$B$2:$G$230, 6,FALSE),$B$14:Q$73, Q$74,FALSE),"o")=$D$4),$D$4,IF(OR(IFERROR(VLOOKUP(VLOOKUP($B66, Dependencies!$B$2:$G$230, 2,FALSE), $B$14:Q$73, Q$74,FALSE),"o")=$D$5,IFERROR(VLOOKUP(VLOOKUP($B66, Dependencies!$B$2:$G$230, 3,FALSE), $B$14:Q$73, Q$74,FALSE),"o")=$D$5,IFERROR(VLOOKUP(VLOOKUP($B66, Dependencies!$B$2:$G$230, 4,FALSE), $B$14:Q$73, Q$74,FALSE),"o")=$D$5,IFERROR(VLOOKUP(VLOOKUP($B66, Dependencies!$B$2:$G$230, 5,FALSE), $B$14:Q$73, Q$74,FALSE),"o")=$D$5,IFERROR(VLOOKUP(VLOOKUP($B66, Dependencies!$B$2:$G$230, 6,FALSE), $B$14:Q$73, Q$74,FALSE),"o")=$D$5),$D$5,P66)))</f>
        <v>o</v>
      </c>
      <c r="R66" s="93" t="s">
        <v>323</v>
      </c>
      <c r="S66" s="70" t="str">
        <f>IF(R66=$D$4,R66,IF(OR(IFERROR(VLOOKUP(VLOOKUP($B66, Dependencies!$B$2:$G$230, 2,FALSE),$B$14:S$73, S$74,FALSE),"o")=$D$4,IFERROR(VLOOKUP(VLOOKUP($B66, Dependencies!$B$2:$G$230, 3,FALSE),$B$14:S$73, S$74,FALSE),"o")=$D$4,IFERROR(VLOOKUP(VLOOKUP($B66, Dependencies!$B$2:$G$230, 4,FALSE),$B$14:S$73, S$74,FALSE),"o")=$D$4,IFERROR(VLOOKUP(VLOOKUP($B66, Dependencies!$B$2:$G$230, 5,FALSE),$B$14:S$73, S$74,FALSE),"o")=$D$4,IFERROR(VLOOKUP(VLOOKUP($B66, Dependencies!$B$2:$G$230, 6,FALSE),$B$14:S$73, S$74,FALSE),"o")=$D$4),$D$4,IF(OR(IFERROR(VLOOKUP(VLOOKUP($B66, Dependencies!$B$2:$G$230, 2,FALSE), $B$14:S$73, S$74,FALSE),"o")=$D$5,IFERROR(VLOOKUP(VLOOKUP($B66, Dependencies!$B$2:$G$230, 3,FALSE), $B$14:S$73, S$74,FALSE),"o")=$D$5,IFERROR(VLOOKUP(VLOOKUP($B66, Dependencies!$B$2:$G$230, 4,FALSE), $B$14:S$73, S$74,FALSE),"o")=$D$5,IFERROR(VLOOKUP(VLOOKUP($B66, Dependencies!$B$2:$G$230, 5,FALSE), $B$14:S$73, S$74,FALSE),"o")=$D$5,IFERROR(VLOOKUP(VLOOKUP($B66, Dependencies!$B$2:$G$230, 6,FALSE), $B$14:S$73, S$74,FALSE),"o")=$D$5),$D$5,R66)))</f>
        <v>o</v>
      </c>
      <c r="T66" s="93" t="s">
        <v>323</v>
      </c>
      <c r="U66" s="70" t="str">
        <f>IF(T66=$D$4,T66,IF(OR(IFERROR(VLOOKUP(VLOOKUP($B66, Dependencies!$B$2:$G$230, 2,FALSE),$B$14:U$73, U$74,FALSE),"o")=$D$4,IFERROR(VLOOKUP(VLOOKUP($B66, Dependencies!$B$2:$G$230, 3,FALSE),$B$14:U$73, U$74,FALSE),"o")=$D$4,IFERROR(VLOOKUP(VLOOKUP($B66, Dependencies!$B$2:$G$230, 4,FALSE),$B$14:U$73, U$74,FALSE),"o")=$D$4,IFERROR(VLOOKUP(VLOOKUP($B66, Dependencies!$B$2:$G$230, 5,FALSE),$B$14:U$73, U$74,FALSE),"o")=$D$4,IFERROR(VLOOKUP(VLOOKUP($B66, Dependencies!$B$2:$G$230, 6,FALSE),$B$14:U$73, U$74,FALSE),"o")=$D$4),$D$4,IF(OR(IFERROR(VLOOKUP(VLOOKUP($B66, Dependencies!$B$2:$G$230, 2,FALSE), $B$14:U$73, U$74,FALSE),"o")=$D$5,IFERROR(VLOOKUP(VLOOKUP($B66, Dependencies!$B$2:$G$230, 3,FALSE), $B$14:U$73, U$74,FALSE),"o")=$D$5,IFERROR(VLOOKUP(VLOOKUP($B66, Dependencies!$B$2:$G$230, 4,FALSE), $B$14:U$73, U$74,FALSE),"o")=$D$5,IFERROR(VLOOKUP(VLOOKUP($B66, Dependencies!$B$2:$G$230, 5,FALSE), $B$14:U$73, U$74,FALSE),"o")=$D$5,IFERROR(VLOOKUP(VLOOKUP($B66, Dependencies!$B$2:$G$230, 6,FALSE), $B$14:U$73, U$74,FALSE),"o")=$D$5),$D$5,T66)))</f>
        <v>o</v>
      </c>
      <c r="V66" s="93" t="s">
        <v>323</v>
      </c>
      <c r="W66" s="70" t="str">
        <f>IF(V66=$D$4,V66,IF(OR(IFERROR(VLOOKUP(VLOOKUP($B66, Dependencies!$B$2:$G$230, 2,FALSE),$B$14:W$73, W$74,FALSE),"o")=$D$4,IFERROR(VLOOKUP(VLOOKUP($B66, Dependencies!$B$2:$G$230, 3,FALSE),$B$14:W$73, W$74,FALSE),"o")=$D$4,IFERROR(VLOOKUP(VLOOKUP($B66, Dependencies!$B$2:$G$230, 4,FALSE),$B$14:W$73, W$74,FALSE),"o")=$D$4,IFERROR(VLOOKUP(VLOOKUP($B66, Dependencies!$B$2:$G$230, 5,FALSE),$B$14:W$73, W$74,FALSE),"o")=$D$4,IFERROR(VLOOKUP(VLOOKUP($B66, Dependencies!$B$2:$G$230, 6,FALSE),$B$14:W$73, W$74,FALSE),"o")=$D$4),$D$4,IF(OR(IFERROR(VLOOKUP(VLOOKUP($B66, Dependencies!$B$2:$G$230, 2,FALSE), $B$14:W$73, W$74,FALSE),"o")=$D$5,IFERROR(VLOOKUP(VLOOKUP($B66, Dependencies!$B$2:$G$230, 3,FALSE), $B$14:W$73, W$74,FALSE),"o")=$D$5,IFERROR(VLOOKUP(VLOOKUP($B66, Dependencies!$B$2:$G$230, 4,FALSE), $B$14:W$73, W$74,FALSE),"o")=$D$5,IFERROR(VLOOKUP(VLOOKUP($B66, Dependencies!$B$2:$G$230, 5,FALSE), $B$14:W$73, W$74,FALSE),"o")=$D$5,IFERROR(VLOOKUP(VLOOKUP($B66, Dependencies!$B$2:$G$230, 6,FALSE), $B$14:W$73, W$74,FALSE),"o")=$D$5),$D$5,V66)))</f>
        <v>o</v>
      </c>
      <c r="X66" s="93" t="s">
        <v>323</v>
      </c>
      <c r="Y66" s="70" t="str">
        <f>IF(X66=$D$4,X66,IF(OR(IFERROR(VLOOKUP(VLOOKUP($B66, Dependencies!$B$2:$G$230, 2,FALSE),$B$14:Y$73, Y$74,FALSE),"o")=$D$4,IFERROR(VLOOKUP(VLOOKUP($B66, Dependencies!$B$2:$G$230, 3,FALSE),$B$14:Y$73, Y$74,FALSE),"o")=$D$4,IFERROR(VLOOKUP(VLOOKUP($B66, Dependencies!$B$2:$G$230, 4,FALSE),$B$14:Y$73, Y$74,FALSE),"o")=$D$4,IFERROR(VLOOKUP(VLOOKUP($B66, Dependencies!$B$2:$G$230, 5,FALSE),$B$14:Y$73, Y$74,FALSE),"o")=$D$4,IFERROR(VLOOKUP(VLOOKUP($B66, Dependencies!$B$2:$G$230, 6,FALSE),$B$14:Y$73, Y$74,FALSE),"o")=$D$4),$D$4,IF(OR(IFERROR(VLOOKUP(VLOOKUP($B66, Dependencies!$B$2:$G$230, 2,FALSE), $B$14:Y$73, Y$74,FALSE),"o")=$D$5,IFERROR(VLOOKUP(VLOOKUP($B66, Dependencies!$B$2:$G$230, 3,FALSE), $B$14:Y$73, Y$74,FALSE),"o")=$D$5,IFERROR(VLOOKUP(VLOOKUP($B66, Dependencies!$B$2:$G$230, 4,FALSE), $B$14:Y$73, Y$74,FALSE),"o")=$D$5,IFERROR(VLOOKUP(VLOOKUP($B66, Dependencies!$B$2:$G$230, 5,FALSE), $B$14:Y$73, Y$74,FALSE),"o")=$D$5,IFERROR(VLOOKUP(VLOOKUP($B66, Dependencies!$B$2:$G$230, 6,FALSE), $B$14:Y$73, Y$74,FALSE),"o")=$D$5),$D$5,X66)))</f>
        <v>o</v>
      </c>
      <c r="Z66" s="93" t="s">
        <v>323</v>
      </c>
      <c r="AA66" s="70" t="str">
        <f>IF(Z66=$D$4,Z66,IF(OR(IFERROR(VLOOKUP(VLOOKUP($B66, Dependencies!$B$2:$G$230, 2,FALSE),$B$14:AA$73, AA$74,FALSE),"o")=$D$4,IFERROR(VLOOKUP(VLOOKUP($B66, Dependencies!$B$2:$G$230, 3,FALSE),$B$14:AA$73, AA$74,FALSE),"o")=$D$4,IFERROR(VLOOKUP(VLOOKUP($B66, Dependencies!$B$2:$G$230, 4,FALSE),$B$14:AA$73, AA$74,FALSE),"o")=$D$4,IFERROR(VLOOKUP(VLOOKUP($B66, Dependencies!$B$2:$G$230, 5,FALSE),$B$14:AA$73, AA$74,FALSE),"o")=$D$4,IFERROR(VLOOKUP(VLOOKUP($B66, Dependencies!$B$2:$G$230, 6,FALSE),$B$14:AA$73, AA$74,FALSE),"o")=$D$4),$D$4,IF(OR(IFERROR(VLOOKUP(VLOOKUP($B66, Dependencies!$B$2:$G$230, 2,FALSE), $B$14:AA$73, AA$74,FALSE),"o")=$D$5,IFERROR(VLOOKUP(VLOOKUP($B66, Dependencies!$B$2:$G$230, 3,FALSE), $B$14:AA$73, AA$74,FALSE),"o")=$D$5,IFERROR(VLOOKUP(VLOOKUP($B66, Dependencies!$B$2:$G$230, 4,FALSE), $B$14:AA$73, AA$74,FALSE),"o")=$D$5,IFERROR(VLOOKUP(VLOOKUP($B66, Dependencies!$B$2:$G$230, 5,FALSE), $B$14:AA$73, AA$74,FALSE),"o")=$D$5,IFERROR(VLOOKUP(VLOOKUP($B66, Dependencies!$B$2:$G$230, 6,FALSE), $B$14:AA$73, AA$74,FALSE),"o")=$D$5),$D$5,Z66)))</f>
        <v>o</v>
      </c>
      <c r="AB66" s="93" t="s">
        <v>323</v>
      </c>
      <c r="AC66" s="70" t="str">
        <f>IF(AB66=$D$4,AB66,IF(OR(IFERROR(VLOOKUP(VLOOKUP($B66, Dependencies!$B$2:$G$230, 2,FALSE),$B$14:AC$73, AC$74,FALSE),"o")=$D$4,IFERROR(VLOOKUP(VLOOKUP($B66, Dependencies!$B$2:$G$230, 3,FALSE),$B$14:AC$73, AC$74,FALSE),"o")=$D$4,IFERROR(VLOOKUP(VLOOKUP($B66, Dependencies!$B$2:$G$230, 4,FALSE),$B$14:AC$73, AC$74,FALSE),"o")=$D$4,IFERROR(VLOOKUP(VLOOKUP($B66, Dependencies!$B$2:$G$230, 5,FALSE),$B$14:AC$73, AC$74,FALSE),"o")=$D$4,IFERROR(VLOOKUP(VLOOKUP($B66, Dependencies!$B$2:$G$230, 6,FALSE),$B$14:AC$73, AC$74,FALSE),"o")=$D$4),$D$4,IF(OR(IFERROR(VLOOKUP(VLOOKUP($B66, Dependencies!$B$2:$G$230, 2,FALSE), $B$14:AC$73, AC$74,FALSE),"o")=$D$5,IFERROR(VLOOKUP(VLOOKUP($B66, Dependencies!$B$2:$G$230, 3,FALSE), $B$14:AC$73, AC$74,FALSE),"o")=$D$5,IFERROR(VLOOKUP(VLOOKUP($B66, Dependencies!$B$2:$G$230, 4,FALSE), $B$14:AC$73, AC$74,FALSE),"o")=$D$5,IFERROR(VLOOKUP(VLOOKUP($B66, Dependencies!$B$2:$G$230, 5,FALSE), $B$14:AC$73, AC$74,FALSE),"o")=$D$5,IFERROR(VLOOKUP(VLOOKUP($B66, Dependencies!$B$2:$G$230, 6,FALSE), $B$14:AC$73, AC$74,FALSE),"o")=$D$5),$D$5,AB66)))</f>
        <v>o</v>
      </c>
      <c r="AD66" s="93" t="s">
        <v>323</v>
      </c>
      <c r="AE66" s="70" t="str">
        <f>IF(AD66=$D$4,AD66,IF(OR(IFERROR(VLOOKUP(VLOOKUP($B66, Dependencies!$B$2:$G$230, 2,FALSE),$B$14:AE$73, AE$74,FALSE),"o")=$D$4,IFERROR(VLOOKUP(VLOOKUP($B66, Dependencies!$B$2:$G$230, 3,FALSE),$B$14:AE$73, AE$74,FALSE),"o")=$D$4,IFERROR(VLOOKUP(VLOOKUP($B66, Dependencies!$B$2:$G$230, 4,FALSE),$B$14:AE$73, AE$74,FALSE),"o")=$D$4,IFERROR(VLOOKUP(VLOOKUP($B66, Dependencies!$B$2:$G$230, 5,FALSE),$B$14:AE$73, AE$74,FALSE),"o")=$D$4,IFERROR(VLOOKUP(VLOOKUP($B66, Dependencies!$B$2:$G$230, 6,FALSE),$B$14:AE$73, AE$74,FALSE),"o")=$D$4),$D$4,IF(OR(IFERROR(VLOOKUP(VLOOKUP($B66, Dependencies!$B$2:$G$230, 2,FALSE), $B$14:AE$73, AE$74,FALSE),"o")=$D$5,IFERROR(VLOOKUP(VLOOKUP($B66, Dependencies!$B$2:$G$230, 3,FALSE), $B$14:AE$73, AE$74,FALSE),"o")=$D$5,IFERROR(VLOOKUP(VLOOKUP($B66, Dependencies!$B$2:$G$230, 4,FALSE), $B$14:AE$73, AE$74,FALSE),"o")=$D$5,IFERROR(VLOOKUP(VLOOKUP($B66, Dependencies!$B$2:$G$230, 5,FALSE), $B$14:AE$73, AE$74,FALSE),"o")=$D$5,IFERROR(VLOOKUP(VLOOKUP($B66, Dependencies!$B$2:$G$230, 6,FALSE), $B$14:AE$73, AE$74,FALSE),"o")=$D$5),$D$5,AD66)))</f>
        <v>o</v>
      </c>
      <c r="AF66" s="93" t="s">
        <v>323</v>
      </c>
      <c r="AG66" s="70" t="str">
        <f>IF(AF66=$D$4,AF66,IF(OR(IFERROR(VLOOKUP(VLOOKUP($B66, Dependencies!$B$2:$G$230, 2,FALSE),$B$14:AG$73, AG$74,FALSE),"o")=$D$4,IFERROR(VLOOKUP(VLOOKUP($B66, Dependencies!$B$2:$G$230, 3,FALSE),$B$14:AG$73, AG$74,FALSE),"o")=$D$4,IFERROR(VLOOKUP(VLOOKUP($B66, Dependencies!$B$2:$G$230, 4,FALSE),$B$14:AG$73, AG$74,FALSE),"o")=$D$4,IFERROR(VLOOKUP(VLOOKUP($B66, Dependencies!$B$2:$G$230, 5,FALSE),$B$14:AG$73, AG$74,FALSE),"o")=$D$4,IFERROR(VLOOKUP(VLOOKUP($B66, Dependencies!$B$2:$G$230, 6,FALSE),$B$14:AG$73, AG$74,FALSE),"o")=$D$4),$D$4,IF(OR(IFERROR(VLOOKUP(VLOOKUP($B66, Dependencies!$B$2:$G$230, 2,FALSE), $B$14:AG$73, AG$74,FALSE),"o")=$D$5,IFERROR(VLOOKUP(VLOOKUP($B66, Dependencies!$B$2:$G$230, 3,FALSE), $B$14:AG$73, AG$74,FALSE),"o")=$D$5,IFERROR(VLOOKUP(VLOOKUP($B66, Dependencies!$B$2:$G$230, 4,FALSE), $B$14:AG$73, AG$74,FALSE),"o")=$D$5,IFERROR(VLOOKUP(VLOOKUP($B66, Dependencies!$B$2:$G$230, 5,FALSE), $B$14:AG$73, AG$74,FALSE),"o")=$D$5,IFERROR(VLOOKUP(VLOOKUP($B66, Dependencies!$B$2:$G$230, 6,FALSE), $B$14:AG$73, AG$74,FALSE),"o")=$D$5),$D$5,AF66)))</f>
        <v>o</v>
      </c>
      <c r="AH66" s="93" t="s">
        <v>323</v>
      </c>
      <c r="AI66" s="70" t="str">
        <f>IF(AH66=$D$4,AH66,IF(OR(IFERROR(VLOOKUP(VLOOKUP($B66, Dependencies!$B$2:$G$230, 2,FALSE),$B$14:AI$73, AI$74,FALSE),"o")=$D$4,IFERROR(VLOOKUP(VLOOKUP($B66, Dependencies!$B$2:$G$230, 3,FALSE),$B$14:AI$73, AI$74,FALSE),"o")=$D$4,IFERROR(VLOOKUP(VLOOKUP($B66, Dependencies!$B$2:$G$230, 4,FALSE),$B$14:AI$73, AI$74,FALSE),"o")=$D$4,IFERROR(VLOOKUP(VLOOKUP($B66, Dependencies!$B$2:$G$230, 5,FALSE),$B$14:AI$73, AI$74,FALSE),"o")=$D$4,IFERROR(VLOOKUP(VLOOKUP($B66, Dependencies!$B$2:$G$230, 6,FALSE),$B$14:AI$73, AI$74,FALSE),"o")=$D$4),$D$4,IF(OR(IFERROR(VLOOKUP(VLOOKUP($B66, Dependencies!$B$2:$G$230, 2,FALSE), $B$14:AI$73, AI$74,FALSE),"o")=$D$5,IFERROR(VLOOKUP(VLOOKUP($B66, Dependencies!$B$2:$G$230, 3,FALSE), $B$14:AI$73, AI$74,FALSE),"o")=$D$5,IFERROR(VLOOKUP(VLOOKUP($B66, Dependencies!$B$2:$G$230, 4,FALSE), $B$14:AI$73, AI$74,FALSE),"o")=$D$5,IFERROR(VLOOKUP(VLOOKUP($B66, Dependencies!$B$2:$G$230, 5,FALSE), $B$14:AI$73, AI$74,FALSE),"o")=$D$5,IFERROR(VLOOKUP(VLOOKUP($B66, Dependencies!$B$2:$G$230, 6,FALSE), $B$14:AI$73, AI$74,FALSE),"o")=$D$5),$D$5,AH66)))</f>
        <v>o</v>
      </c>
      <c r="AJ66" s="93" t="s">
        <v>323</v>
      </c>
      <c r="AK66" s="70" t="str">
        <f>IF(AJ66=$D$4,AJ66,IF(OR(IFERROR(VLOOKUP(VLOOKUP($B66, Dependencies!$B$2:$G$230, 2,FALSE),$B$14:AK$73, AK$74,FALSE),"o")=$D$4,IFERROR(VLOOKUP(VLOOKUP($B66, Dependencies!$B$2:$G$230, 3,FALSE),$B$14:AK$73, AK$74,FALSE),"o")=$D$4,IFERROR(VLOOKUP(VLOOKUP($B66, Dependencies!$B$2:$G$230, 4,FALSE),$B$14:AK$73, AK$74,FALSE),"o")=$D$4,IFERROR(VLOOKUP(VLOOKUP($B66, Dependencies!$B$2:$G$230, 5,FALSE),$B$14:AK$73, AK$74,FALSE),"o")=$D$4,IFERROR(VLOOKUP(VLOOKUP($B66, Dependencies!$B$2:$G$230, 6,FALSE),$B$14:AK$73, AK$74,FALSE),"o")=$D$4),$D$4,IF(OR(IFERROR(VLOOKUP(VLOOKUP($B66, Dependencies!$B$2:$G$230, 2,FALSE), $B$14:AK$73, AK$74,FALSE),"o")=$D$5,IFERROR(VLOOKUP(VLOOKUP($B66, Dependencies!$B$2:$G$230, 3,FALSE), $B$14:AK$73, AK$74,FALSE),"o")=$D$5,IFERROR(VLOOKUP(VLOOKUP($B66, Dependencies!$B$2:$G$230, 4,FALSE), $B$14:AK$73, AK$74,FALSE),"o")=$D$5,IFERROR(VLOOKUP(VLOOKUP($B66, Dependencies!$B$2:$G$230, 5,FALSE), $B$14:AK$73, AK$74,FALSE),"o")=$D$5,IFERROR(VLOOKUP(VLOOKUP($B66, Dependencies!$B$2:$G$230, 6,FALSE), $B$14:AK$73, AK$74,FALSE),"o")=$D$5),$D$5,AJ66)))</f>
        <v>o</v>
      </c>
      <c r="AL66" s="93" t="s">
        <v>323</v>
      </c>
      <c r="AM66" s="70" t="str">
        <f>IF(AL66=$D$4,AL66,IF(OR(IFERROR(VLOOKUP(VLOOKUP($B66, Dependencies!$B$2:$G$230, 2,FALSE),$B$14:AM$73, AM$74,FALSE),"o")=$D$4,IFERROR(VLOOKUP(VLOOKUP($B66, Dependencies!$B$2:$G$230, 3,FALSE),$B$14:AM$73, AM$74,FALSE),"o")=$D$4,IFERROR(VLOOKUP(VLOOKUP($B66, Dependencies!$B$2:$G$230, 4,FALSE),$B$14:AM$73, AM$74,FALSE),"o")=$D$4,IFERROR(VLOOKUP(VLOOKUP($B66, Dependencies!$B$2:$G$230, 5,FALSE),$B$14:AM$73, AM$74,FALSE),"o")=$D$4,IFERROR(VLOOKUP(VLOOKUP($B66, Dependencies!$B$2:$G$230, 6,FALSE),$B$14:AM$73, AM$74,FALSE),"o")=$D$4),$D$4,IF(OR(IFERROR(VLOOKUP(VLOOKUP($B66, Dependencies!$B$2:$G$230, 2,FALSE), $B$14:AM$73, AM$74,FALSE),"o")=$D$5,IFERROR(VLOOKUP(VLOOKUP($B66, Dependencies!$B$2:$G$230, 3,FALSE), $B$14:AM$73, AM$74,FALSE),"o")=$D$5,IFERROR(VLOOKUP(VLOOKUP($B66, Dependencies!$B$2:$G$230, 4,FALSE), $B$14:AM$73, AM$74,FALSE),"o")=$D$5,IFERROR(VLOOKUP(VLOOKUP($B66, Dependencies!$B$2:$G$230, 5,FALSE), $B$14:AM$73, AM$74,FALSE),"o")=$D$5,IFERROR(VLOOKUP(VLOOKUP($B66, Dependencies!$B$2:$G$230, 6,FALSE), $B$14:AM$73, AM$74,FALSE),"o")=$D$5),$D$5,AL66)))</f>
        <v>o</v>
      </c>
      <c r="AN66" s="93" t="s">
        <v>323</v>
      </c>
      <c r="AO66" s="70" t="str">
        <f>IF(AN66=$D$4,AN66,IF(OR(IFERROR(VLOOKUP(VLOOKUP($B66, Dependencies!$B$2:$G$230, 2,FALSE),$B$14:AO$73, AO$74,FALSE),"o")=$D$4,IFERROR(VLOOKUP(VLOOKUP($B66, Dependencies!$B$2:$G$230, 3,FALSE),$B$14:AO$73, AO$74,FALSE),"o")=$D$4,IFERROR(VLOOKUP(VLOOKUP($B66, Dependencies!$B$2:$G$230, 4,FALSE),$B$14:AO$73, AO$74,FALSE),"o")=$D$4,IFERROR(VLOOKUP(VLOOKUP($B66, Dependencies!$B$2:$G$230, 5,FALSE),$B$14:AO$73, AO$74,FALSE),"o")=$D$4,IFERROR(VLOOKUP(VLOOKUP($B66, Dependencies!$B$2:$G$230, 6,FALSE),$B$14:AO$73, AO$74,FALSE),"o")=$D$4),$D$4,IF(OR(IFERROR(VLOOKUP(VLOOKUP($B66, Dependencies!$B$2:$G$230, 2,FALSE), $B$14:AO$73, AO$74,FALSE),"o")=$D$5,IFERROR(VLOOKUP(VLOOKUP($B66, Dependencies!$B$2:$G$230, 3,FALSE), $B$14:AO$73, AO$74,FALSE),"o")=$D$5,IFERROR(VLOOKUP(VLOOKUP($B66, Dependencies!$B$2:$G$230, 4,FALSE), $B$14:AO$73, AO$74,FALSE),"o")=$D$5,IFERROR(VLOOKUP(VLOOKUP($B66, Dependencies!$B$2:$G$230, 5,FALSE), $B$14:AO$73, AO$74,FALSE),"o")=$D$5,IFERROR(VLOOKUP(VLOOKUP($B66, Dependencies!$B$2:$G$230, 6,FALSE), $B$14:AO$73, AO$74,FALSE),"o")=$D$5),$D$5,AN66)))</f>
        <v>o</v>
      </c>
      <c r="AP66" s="93" t="s">
        <v>323</v>
      </c>
      <c r="AQ66" s="70" t="str">
        <f>IF(AP66=$D$4,AP66,IF(OR(IFERROR(VLOOKUP(VLOOKUP($B66, Dependencies!$B$2:$G$230, 2,FALSE),$B$14:AQ$73, AQ$74,FALSE),"o")=$D$4,IFERROR(VLOOKUP(VLOOKUP($B66, Dependencies!$B$2:$G$230, 3,FALSE),$B$14:AQ$73, AQ$74,FALSE),"o")=$D$4,IFERROR(VLOOKUP(VLOOKUP($B66, Dependencies!$B$2:$G$230, 4,FALSE),$B$14:AQ$73, AQ$74,FALSE),"o")=$D$4,IFERROR(VLOOKUP(VLOOKUP($B66, Dependencies!$B$2:$G$230, 5,FALSE),$B$14:AQ$73, AQ$74,FALSE),"o")=$D$4,IFERROR(VLOOKUP(VLOOKUP($B66, Dependencies!$B$2:$G$230, 6,FALSE),$B$14:AQ$73, AQ$74,FALSE),"o")=$D$4),$D$4,IF(OR(IFERROR(VLOOKUP(VLOOKUP($B66, Dependencies!$B$2:$G$230, 2,FALSE), $B$14:AQ$73, AQ$74,FALSE),"o")=$D$5,IFERROR(VLOOKUP(VLOOKUP($B66, Dependencies!$B$2:$G$230, 3,FALSE), $B$14:AQ$73, AQ$74,FALSE),"o")=$D$5,IFERROR(VLOOKUP(VLOOKUP($B66, Dependencies!$B$2:$G$230, 4,FALSE), $B$14:AQ$73, AQ$74,FALSE),"o")=$D$5,IFERROR(VLOOKUP(VLOOKUP($B66, Dependencies!$B$2:$G$230, 5,FALSE), $B$14:AQ$73, AQ$74,FALSE),"o")=$D$5,IFERROR(VLOOKUP(VLOOKUP($B66, Dependencies!$B$2:$G$230, 6,FALSE), $B$14:AQ$73, AQ$74,FALSE),"o")=$D$5),$D$5,AP66)))</f>
        <v>o</v>
      </c>
      <c r="AR66" s="93" t="s">
        <v>323</v>
      </c>
      <c r="AS66" s="69" t="str">
        <f>IF(AR66=$D$4,AR66,IF(OR(IFERROR(VLOOKUP(VLOOKUP($B66, Dependencies!$B$2:$G$230, 2,FALSE),$B$14:AS$73, AS$74,FALSE),"o")=$D$4,IFERROR(VLOOKUP(VLOOKUP($B66, Dependencies!$B$2:$G$230, 3,FALSE),$B$14:AS$73, AS$74,FALSE),"o")=$D$4,IFERROR(VLOOKUP(VLOOKUP($B66, Dependencies!$B$2:$G$230, 4,FALSE),$B$14:AS$73, AS$74,FALSE),"o")=$D$4,IFERROR(VLOOKUP(VLOOKUP($B66, Dependencies!$B$2:$G$230, 5,FALSE),$B$14:AS$73, AS$74,FALSE),"o")=$D$4,IFERROR(VLOOKUP(VLOOKUP($B66, Dependencies!$B$2:$G$230, 6,FALSE),$B$14:AS$73, AS$74,FALSE),"o")=$D$4),$D$4,IF(OR(IFERROR(VLOOKUP(VLOOKUP($B66, Dependencies!$B$2:$G$230, 2,FALSE), $B$14:AS$73, AS$74,FALSE),"o")=$D$5,IFERROR(VLOOKUP(VLOOKUP($B66, Dependencies!$B$2:$G$230, 3,FALSE), $B$14:AS$73, AS$74,FALSE),"o")=$D$5,IFERROR(VLOOKUP(VLOOKUP($B66, Dependencies!$B$2:$G$230, 4,FALSE), $B$14:AS$73, AS$74,FALSE),"o")=$D$5,IFERROR(VLOOKUP(VLOOKUP($B66, Dependencies!$B$2:$G$230, 5,FALSE), $B$14:AS$73, AS$74,FALSE),"o")=$D$5,IFERROR(VLOOKUP(VLOOKUP($B66, Dependencies!$B$2:$G$230, 6,FALSE), $B$14:AS$73, AS$74,FALSE),"o")=$D$5),$D$5,AR66)))</f>
        <v>o</v>
      </c>
    </row>
    <row r="67" spans="1:45" x14ac:dyDescent="0.2">
      <c r="A67" s="40"/>
      <c r="B67" s="74" t="str">
        <f>MLEOsv2!A55</f>
        <v>MLEO_07_02</v>
      </c>
      <c r="C67" s="74">
        <f>MLEOsv2!C55</f>
        <v>9</v>
      </c>
      <c r="D67" s="44" t="str">
        <f>MLEOsv2!G55</f>
        <v>import data in csv format with correct exception handling.</v>
      </c>
      <c r="E67" s="68" t="b">
        <f>MLEOsv2!H55</f>
        <v>0</v>
      </c>
      <c r="F67" s="94" t="s">
        <v>323</v>
      </c>
      <c r="G67" s="72" t="str">
        <f>IF(F67=$D$4,F67,IF(OR(IFERROR(VLOOKUP(VLOOKUP($B67, Dependencies!$B$2:$G$230, 2,FALSE),$B$14:G$73, G$74,FALSE),"o")=$D$4,IFERROR(VLOOKUP(VLOOKUP($B67, Dependencies!$B$2:$G$230, 3,FALSE),$B$14:G$73, G$74,FALSE),"o")=$D$4,IFERROR(VLOOKUP(VLOOKUP($B67, Dependencies!$B$2:$G$230, 4,FALSE),$B$14:G$73, G$74,FALSE),"o")=$D$4,IFERROR(VLOOKUP(VLOOKUP($B67, Dependencies!$B$2:$G$230, 5,FALSE),$B$14:G$73, G$74,FALSE),"o")=$D$4,IFERROR(VLOOKUP(VLOOKUP($B67, Dependencies!$B$2:$G$230, 6,FALSE),$B$14:G$73, G$74,FALSE),"o")=$D$4),$D$4,IF(OR(IFERROR(VLOOKUP(VLOOKUP($B67, Dependencies!$B$2:$G$230, 2,FALSE), $B$14:G$73, G$74,FALSE),"o")=$D$5,IFERROR(VLOOKUP(VLOOKUP($B67, Dependencies!$B$2:$G$230, 3,FALSE), $B$14:G$73, G$74,FALSE),"o")=$D$5,IFERROR(VLOOKUP(VLOOKUP($B67, Dependencies!$B$2:$G$230, 4,FALSE), $B$14:G$73, G$74,FALSE),"o")=$D$5,IFERROR(VLOOKUP(VLOOKUP($B67, Dependencies!$B$2:$G$230, 5,FALSE), $B$14:G$73, G$74,FALSE),"o")=$D$5,IFERROR(VLOOKUP(VLOOKUP($B67, Dependencies!$B$2:$G$230, 6,FALSE), $B$14:G$73, G$74,FALSE),"o")=$D$5),$D$5,F67)))</f>
        <v>o</v>
      </c>
      <c r="H67" s="94" t="s">
        <v>321</v>
      </c>
      <c r="I67" s="72" t="str">
        <f>IF(H67=$D$4,H67,IF(OR(IFERROR(VLOOKUP(VLOOKUP($B67, Dependencies!$B$2:$G$230, 2,FALSE),$B$14:I$73, I$74,FALSE),"o")=$D$4,IFERROR(VLOOKUP(VLOOKUP($B67, Dependencies!$B$2:$G$230, 3,FALSE),$B$14:I$73, I$74,FALSE),"o")=$D$4,IFERROR(VLOOKUP(VLOOKUP($B67, Dependencies!$B$2:$G$230, 4,FALSE),$B$14:I$73, I$74,FALSE),"o")=$D$4,IFERROR(VLOOKUP(VLOOKUP($B67, Dependencies!$B$2:$G$230, 5,FALSE),$B$14:I$73, I$74,FALSE),"o")=$D$4,IFERROR(VLOOKUP(VLOOKUP($B67, Dependencies!$B$2:$G$230, 6,FALSE),$B$14:I$73, I$74,FALSE),"o")=$D$4),$D$4,IF(OR(IFERROR(VLOOKUP(VLOOKUP($B67, Dependencies!$B$2:$G$230, 2,FALSE), $B$14:I$73, I$74,FALSE),"o")=$D$5,IFERROR(VLOOKUP(VLOOKUP($B67, Dependencies!$B$2:$G$230, 3,FALSE), $B$14:I$73, I$74,FALSE),"o")=$D$5,IFERROR(VLOOKUP(VLOOKUP($B67, Dependencies!$B$2:$G$230, 4,FALSE), $B$14:I$73, I$74,FALSE),"o")=$D$5,IFERROR(VLOOKUP(VLOOKUP($B67, Dependencies!$B$2:$G$230, 5,FALSE), $B$14:I$73, I$74,FALSE),"o")=$D$5,IFERROR(VLOOKUP(VLOOKUP($B67, Dependencies!$B$2:$G$230, 6,FALSE), $B$14:I$73, I$74,FALSE),"o")=$D$5),$D$5,H67)))</f>
        <v>pr</v>
      </c>
      <c r="J67" s="94" t="s">
        <v>323</v>
      </c>
      <c r="K67" s="72" t="str">
        <f>IF(J67=$D$4,J67,IF(OR(IFERROR(VLOOKUP(VLOOKUP($B67, Dependencies!$B$2:$G$230, 2,FALSE),$B$14:K$73, K$74,FALSE),"o")=$D$4,IFERROR(VLOOKUP(VLOOKUP($B67, Dependencies!$B$2:$G$230, 3,FALSE),$B$14:K$73, K$74,FALSE),"o")=$D$4,IFERROR(VLOOKUP(VLOOKUP($B67, Dependencies!$B$2:$G$230, 4,FALSE),$B$14:K$73, K$74,FALSE),"o")=$D$4,IFERROR(VLOOKUP(VLOOKUP($B67, Dependencies!$B$2:$G$230, 5,FALSE),$B$14:K$73, K$74,FALSE),"o")=$D$4,IFERROR(VLOOKUP(VLOOKUP($B67, Dependencies!$B$2:$G$230, 6,FALSE),$B$14:K$73, K$74,FALSE),"o")=$D$4),$D$4,IF(OR(IFERROR(VLOOKUP(VLOOKUP($B67, Dependencies!$B$2:$G$230, 2,FALSE), $B$14:K$73, K$74,FALSE),"o")=$D$5,IFERROR(VLOOKUP(VLOOKUP($B67, Dependencies!$B$2:$G$230, 3,FALSE), $B$14:K$73, K$74,FALSE),"o")=$D$5,IFERROR(VLOOKUP(VLOOKUP($B67, Dependencies!$B$2:$G$230, 4,FALSE), $B$14:K$73, K$74,FALSE),"o")=$D$5,IFERROR(VLOOKUP(VLOOKUP($B67, Dependencies!$B$2:$G$230, 5,FALSE), $B$14:K$73, K$74,FALSE),"o")=$D$5,IFERROR(VLOOKUP(VLOOKUP($B67, Dependencies!$B$2:$G$230, 6,FALSE), $B$14:K$73, K$74,FALSE),"o")=$D$5),$D$5,J67)))</f>
        <v>o</v>
      </c>
      <c r="L67" s="94" t="s">
        <v>323</v>
      </c>
      <c r="M67" s="72" t="str">
        <f>IF(L67=$D$4,L67,IF(OR(IFERROR(VLOOKUP(VLOOKUP($B67, Dependencies!$B$2:$G$230, 2,FALSE),$B$14:M$73, M$74,FALSE),"o")=$D$4,IFERROR(VLOOKUP(VLOOKUP($B67, Dependencies!$B$2:$G$230, 3,FALSE),$B$14:M$73, M$74,FALSE),"o")=$D$4,IFERROR(VLOOKUP(VLOOKUP($B67, Dependencies!$B$2:$G$230, 4,FALSE),$B$14:M$73, M$74,FALSE),"o")=$D$4,IFERROR(VLOOKUP(VLOOKUP($B67, Dependencies!$B$2:$G$230, 5,FALSE),$B$14:M$73, M$74,FALSE),"o")=$D$4,IFERROR(VLOOKUP(VLOOKUP($B67, Dependencies!$B$2:$G$230, 6,FALSE),$B$14:M$73, M$74,FALSE),"o")=$D$4),$D$4,IF(OR(IFERROR(VLOOKUP(VLOOKUP($B67, Dependencies!$B$2:$G$230, 2,FALSE), $B$14:M$73, M$74,FALSE),"o")=$D$5,IFERROR(VLOOKUP(VLOOKUP($B67, Dependencies!$B$2:$G$230, 3,FALSE), $B$14:M$73, M$74,FALSE),"o")=$D$5,IFERROR(VLOOKUP(VLOOKUP($B67, Dependencies!$B$2:$G$230, 4,FALSE), $B$14:M$73, M$74,FALSE),"o")=$D$5,IFERROR(VLOOKUP(VLOOKUP($B67, Dependencies!$B$2:$G$230, 5,FALSE), $B$14:M$73, M$74,FALSE),"o")=$D$5,IFERROR(VLOOKUP(VLOOKUP($B67, Dependencies!$B$2:$G$230, 6,FALSE), $B$14:M$73, M$74,FALSE),"o")=$D$5),$D$5,L67)))</f>
        <v>o</v>
      </c>
      <c r="N67" s="94" t="s">
        <v>323</v>
      </c>
      <c r="O67" s="72" t="str">
        <f>IF(N67=$D$4,N67,IF(OR(IFERROR(VLOOKUP(VLOOKUP($B67, Dependencies!$B$2:$G$230, 2,FALSE),$B$14:O$73, O$74,FALSE),"o")=$D$4,IFERROR(VLOOKUP(VLOOKUP($B67, Dependencies!$B$2:$G$230, 3,FALSE),$B$14:O$73, O$74,FALSE),"o")=$D$4,IFERROR(VLOOKUP(VLOOKUP($B67, Dependencies!$B$2:$G$230, 4,FALSE),$B$14:O$73, O$74,FALSE),"o")=$D$4,IFERROR(VLOOKUP(VLOOKUP($B67, Dependencies!$B$2:$G$230, 5,FALSE),$B$14:O$73, O$74,FALSE),"o")=$D$4,IFERROR(VLOOKUP(VLOOKUP($B67, Dependencies!$B$2:$G$230, 6,FALSE),$B$14:O$73, O$74,FALSE),"o")=$D$4),$D$4,IF(OR(IFERROR(VLOOKUP(VLOOKUP($B67, Dependencies!$B$2:$G$230, 2,FALSE), $B$14:O$73, O$74,FALSE),"o")=$D$5,IFERROR(VLOOKUP(VLOOKUP($B67, Dependencies!$B$2:$G$230, 3,FALSE), $B$14:O$73, O$74,FALSE),"o")=$D$5,IFERROR(VLOOKUP(VLOOKUP($B67, Dependencies!$B$2:$G$230, 4,FALSE), $B$14:O$73, O$74,FALSE),"o")=$D$5,IFERROR(VLOOKUP(VLOOKUP($B67, Dependencies!$B$2:$G$230, 5,FALSE), $B$14:O$73, O$74,FALSE),"o")=$D$5,IFERROR(VLOOKUP(VLOOKUP($B67, Dependencies!$B$2:$G$230, 6,FALSE), $B$14:O$73, O$74,FALSE),"o")=$D$5),$D$5,N67)))</f>
        <v>o</v>
      </c>
      <c r="P67" s="94" t="s">
        <v>323</v>
      </c>
      <c r="Q67" s="72" t="str">
        <f>IF(P67=$D$4,P67,IF(OR(IFERROR(VLOOKUP(VLOOKUP($B67, Dependencies!$B$2:$G$230, 2,FALSE),$B$14:Q$73, Q$74,FALSE),"o")=$D$4,IFERROR(VLOOKUP(VLOOKUP($B67, Dependencies!$B$2:$G$230, 3,FALSE),$B$14:Q$73, Q$74,FALSE),"o")=$D$4,IFERROR(VLOOKUP(VLOOKUP($B67, Dependencies!$B$2:$G$230, 4,FALSE),$B$14:Q$73, Q$74,FALSE),"o")=$D$4,IFERROR(VLOOKUP(VLOOKUP($B67, Dependencies!$B$2:$G$230, 5,FALSE),$B$14:Q$73, Q$74,FALSE),"o")=$D$4,IFERROR(VLOOKUP(VLOOKUP($B67, Dependencies!$B$2:$G$230, 6,FALSE),$B$14:Q$73, Q$74,FALSE),"o")=$D$4),$D$4,IF(OR(IFERROR(VLOOKUP(VLOOKUP($B67, Dependencies!$B$2:$G$230, 2,FALSE), $B$14:Q$73, Q$74,FALSE),"o")=$D$5,IFERROR(VLOOKUP(VLOOKUP($B67, Dependencies!$B$2:$G$230, 3,FALSE), $B$14:Q$73, Q$74,FALSE),"o")=$D$5,IFERROR(VLOOKUP(VLOOKUP($B67, Dependencies!$B$2:$G$230, 4,FALSE), $B$14:Q$73, Q$74,FALSE),"o")=$D$5,IFERROR(VLOOKUP(VLOOKUP($B67, Dependencies!$B$2:$G$230, 5,FALSE), $B$14:Q$73, Q$74,FALSE),"o")=$D$5,IFERROR(VLOOKUP(VLOOKUP($B67, Dependencies!$B$2:$G$230, 6,FALSE), $B$14:Q$73, Q$74,FALSE),"o")=$D$5),$D$5,P67)))</f>
        <v>o</v>
      </c>
      <c r="R67" s="94" t="s">
        <v>323</v>
      </c>
      <c r="S67" s="72" t="str">
        <f>IF(R67=$D$4,R67,IF(OR(IFERROR(VLOOKUP(VLOOKUP($B67, Dependencies!$B$2:$G$230, 2,FALSE),$B$14:S$73, S$74,FALSE),"o")=$D$4,IFERROR(VLOOKUP(VLOOKUP($B67, Dependencies!$B$2:$G$230, 3,FALSE),$B$14:S$73, S$74,FALSE),"o")=$D$4,IFERROR(VLOOKUP(VLOOKUP($B67, Dependencies!$B$2:$G$230, 4,FALSE),$B$14:S$73, S$74,FALSE),"o")=$D$4,IFERROR(VLOOKUP(VLOOKUP($B67, Dependencies!$B$2:$G$230, 5,FALSE),$B$14:S$73, S$74,FALSE),"o")=$D$4,IFERROR(VLOOKUP(VLOOKUP($B67, Dependencies!$B$2:$G$230, 6,FALSE),$B$14:S$73, S$74,FALSE),"o")=$D$4),$D$4,IF(OR(IFERROR(VLOOKUP(VLOOKUP($B67, Dependencies!$B$2:$G$230, 2,FALSE), $B$14:S$73, S$74,FALSE),"o")=$D$5,IFERROR(VLOOKUP(VLOOKUP($B67, Dependencies!$B$2:$G$230, 3,FALSE), $B$14:S$73, S$74,FALSE),"o")=$D$5,IFERROR(VLOOKUP(VLOOKUP($B67, Dependencies!$B$2:$G$230, 4,FALSE), $B$14:S$73, S$74,FALSE),"o")=$D$5,IFERROR(VLOOKUP(VLOOKUP($B67, Dependencies!$B$2:$G$230, 5,FALSE), $B$14:S$73, S$74,FALSE),"o")=$D$5,IFERROR(VLOOKUP(VLOOKUP($B67, Dependencies!$B$2:$G$230, 6,FALSE), $B$14:S$73, S$74,FALSE),"o")=$D$5),$D$5,R67)))</f>
        <v>o</v>
      </c>
      <c r="T67" s="94" t="s">
        <v>323</v>
      </c>
      <c r="U67" s="72" t="str">
        <f>IF(T67=$D$4,T67,IF(OR(IFERROR(VLOOKUP(VLOOKUP($B67, Dependencies!$B$2:$G$230, 2,FALSE),$B$14:U$73, U$74,FALSE),"o")=$D$4,IFERROR(VLOOKUP(VLOOKUP($B67, Dependencies!$B$2:$G$230, 3,FALSE),$B$14:U$73, U$74,FALSE),"o")=$D$4,IFERROR(VLOOKUP(VLOOKUP($B67, Dependencies!$B$2:$G$230, 4,FALSE),$B$14:U$73, U$74,FALSE),"o")=$D$4,IFERROR(VLOOKUP(VLOOKUP($B67, Dependencies!$B$2:$G$230, 5,FALSE),$B$14:U$73, U$74,FALSE),"o")=$D$4,IFERROR(VLOOKUP(VLOOKUP($B67, Dependencies!$B$2:$G$230, 6,FALSE),$B$14:U$73, U$74,FALSE),"o")=$D$4),$D$4,IF(OR(IFERROR(VLOOKUP(VLOOKUP($B67, Dependencies!$B$2:$G$230, 2,FALSE), $B$14:U$73, U$74,FALSE),"o")=$D$5,IFERROR(VLOOKUP(VLOOKUP($B67, Dependencies!$B$2:$G$230, 3,FALSE), $B$14:U$73, U$74,FALSE),"o")=$D$5,IFERROR(VLOOKUP(VLOOKUP($B67, Dependencies!$B$2:$G$230, 4,FALSE), $B$14:U$73, U$74,FALSE),"o")=$D$5,IFERROR(VLOOKUP(VLOOKUP($B67, Dependencies!$B$2:$G$230, 5,FALSE), $B$14:U$73, U$74,FALSE),"o")=$D$5,IFERROR(VLOOKUP(VLOOKUP($B67, Dependencies!$B$2:$G$230, 6,FALSE), $B$14:U$73, U$74,FALSE),"o")=$D$5),$D$5,T67)))</f>
        <v>o</v>
      </c>
      <c r="V67" s="94" t="s">
        <v>323</v>
      </c>
      <c r="W67" s="72" t="str">
        <f>IF(V67=$D$4,V67,IF(OR(IFERROR(VLOOKUP(VLOOKUP($B67, Dependencies!$B$2:$G$230, 2,FALSE),$B$14:W$73, W$74,FALSE),"o")=$D$4,IFERROR(VLOOKUP(VLOOKUP($B67, Dependencies!$B$2:$G$230, 3,FALSE),$B$14:W$73, W$74,FALSE),"o")=$D$4,IFERROR(VLOOKUP(VLOOKUP($B67, Dependencies!$B$2:$G$230, 4,FALSE),$B$14:W$73, W$74,FALSE),"o")=$D$4,IFERROR(VLOOKUP(VLOOKUP($B67, Dependencies!$B$2:$G$230, 5,FALSE),$B$14:W$73, W$74,FALSE),"o")=$D$4,IFERROR(VLOOKUP(VLOOKUP($B67, Dependencies!$B$2:$G$230, 6,FALSE),$B$14:W$73, W$74,FALSE),"o")=$D$4),$D$4,IF(OR(IFERROR(VLOOKUP(VLOOKUP($B67, Dependencies!$B$2:$G$230, 2,FALSE), $B$14:W$73, W$74,FALSE),"o")=$D$5,IFERROR(VLOOKUP(VLOOKUP($B67, Dependencies!$B$2:$G$230, 3,FALSE), $B$14:W$73, W$74,FALSE),"o")=$D$5,IFERROR(VLOOKUP(VLOOKUP($B67, Dependencies!$B$2:$G$230, 4,FALSE), $B$14:W$73, W$74,FALSE),"o")=$D$5,IFERROR(VLOOKUP(VLOOKUP($B67, Dependencies!$B$2:$G$230, 5,FALSE), $B$14:W$73, W$74,FALSE),"o")=$D$5,IFERROR(VLOOKUP(VLOOKUP($B67, Dependencies!$B$2:$G$230, 6,FALSE), $B$14:W$73, W$74,FALSE),"o")=$D$5),$D$5,V67)))</f>
        <v>o</v>
      </c>
      <c r="X67" s="94" t="s">
        <v>323</v>
      </c>
      <c r="Y67" s="72" t="str">
        <f>IF(X67=$D$4,X67,IF(OR(IFERROR(VLOOKUP(VLOOKUP($B67, Dependencies!$B$2:$G$230, 2,FALSE),$B$14:Y$73, Y$74,FALSE),"o")=$D$4,IFERROR(VLOOKUP(VLOOKUP($B67, Dependencies!$B$2:$G$230, 3,FALSE),$B$14:Y$73, Y$74,FALSE),"o")=$D$4,IFERROR(VLOOKUP(VLOOKUP($B67, Dependencies!$B$2:$G$230, 4,FALSE),$B$14:Y$73, Y$74,FALSE),"o")=$D$4,IFERROR(VLOOKUP(VLOOKUP($B67, Dependencies!$B$2:$G$230, 5,FALSE),$B$14:Y$73, Y$74,FALSE),"o")=$D$4,IFERROR(VLOOKUP(VLOOKUP($B67, Dependencies!$B$2:$G$230, 6,FALSE),$B$14:Y$73, Y$74,FALSE),"o")=$D$4),$D$4,IF(OR(IFERROR(VLOOKUP(VLOOKUP($B67, Dependencies!$B$2:$G$230, 2,FALSE), $B$14:Y$73, Y$74,FALSE),"o")=$D$5,IFERROR(VLOOKUP(VLOOKUP($B67, Dependencies!$B$2:$G$230, 3,FALSE), $B$14:Y$73, Y$74,FALSE),"o")=$D$5,IFERROR(VLOOKUP(VLOOKUP($B67, Dependencies!$B$2:$G$230, 4,FALSE), $B$14:Y$73, Y$74,FALSE),"o")=$D$5,IFERROR(VLOOKUP(VLOOKUP($B67, Dependencies!$B$2:$G$230, 5,FALSE), $B$14:Y$73, Y$74,FALSE),"o")=$D$5,IFERROR(VLOOKUP(VLOOKUP($B67, Dependencies!$B$2:$G$230, 6,FALSE), $B$14:Y$73, Y$74,FALSE),"o")=$D$5),$D$5,X67)))</f>
        <v>o</v>
      </c>
      <c r="Z67" s="94" t="s">
        <v>323</v>
      </c>
      <c r="AA67" s="72" t="str">
        <f>IF(Z67=$D$4,Z67,IF(OR(IFERROR(VLOOKUP(VLOOKUP($B67, Dependencies!$B$2:$G$230, 2,FALSE),$B$14:AA$73, AA$74,FALSE),"o")=$D$4,IFERROR(VLOOKUP(VLOOKUP($B67, Dependencies!$B$2:$G$230, 3,FALSE),$B$14:AA$73, AA$74,FALSE),"o")=$D$4,IFERROR(VLOOKUP(VLOOKUP($B67, Dependencies!$B$2:$G$230, 4,FALSE),$B$14:AA$73, AA$74,FALSE),"o")=$D$4,IFERROR(VLOOKUP(VLOOKUP($B67, Dependencies!$B$2:$G$230, 5,FALSE),$B$14:AA$73, AA$74,FALSE),"o")=$D$4,IFERROR(VLOOKUP(VLOOKUP($B67, Dependencies!$B$2:$G$230, 6,FALSE),$B$14:AA$73, AA$74,FALSE),"o")=$D$4),$D$4,IF(OR(IFERROR(VLOOKUP(VLOOKUP($B67, Dependencies!$B$2:$G$230, 2,FALSE), $B$14:AA$73, AA$74,FALSE),"o")=$D$5,IFERROR(VLOOKUP(VLOOKUP($B67, Dependencies!$B$2:$G$230, 3,FALSE), $B$14:AA$73, AA$74,FALSE),"o")=$D$5,IFERROR(VLOOKUP(VLOOKUP($B67, Dependencies!$B$2:$G$230, 4,FALSE), $B$14:AA$73, AA$74,FALSE),"o")=$D$5,IFERROR(VLOOKUP(VLOOKUP($B67, Dependencies!$B$2:$G$230, 5,FALSE), $B$14:AA$73, AA$74,FALSE),"o")=$D$5,IFERROR(VLOOKUP(VLOOKUP($B67, Dependencies!$B$2:$G$230, 6,FALSE), $B$14:AA$73, AA$74,FALSE),"o")=$D$5),$D$5,Z67)))</f>
        <v>o</v>
      </c>
      <c r="AB67" s="94" t="s">
        <v>323</v>
      </c>
      <c r="AC67" s="72" t="str">
        <f>IF(AB67=$D$4,AB67,IF(OR(IFERROR(VLOOKUP(VLOOKUP($B67, Dependencies!$B$2:$G$230, 2,FALSE),$B$14:AC$73, AC$74,FALSE),"o")=$D$4,IFERROR(VLOOKUP(VLOOKUP($B67, Dependencies!$B$2:$G$230, 3,FALSE),$B$14:AC$73, AC$74,FALSE),"o")=$D$4,IFERROR(VLOOKUP(VLOOKUP($B67, Dependencies!$B$2:$G$230, 4,FALSE),$B$14:AC$73, AC$74,FALSE),"o")=$D$4,IFERROR(VLOOKUP(VLOOKUP($B67, Dependencies!$B$2:$G$230, 5,FALSE),$B$14:AC$73, AC$74,FALSE),"o")=$D$4,IFERROR(VLOOKUP(VLOOKUP($B67, Dependencies!$B$2:$G$230, 6,FALSE),$B$14:AC$73, AC$74,FALSE),"o")=$D$4),$D$4,IF(OR(IFERROR(VLOOKUP(VLOOKUP($B67, Dependencies!$B$2:$G$230, 2,FALSE), $B$14:AC$73, AC$74,FALSE),"o")=$D$5,IFERROR(VLOOKUP(VLOOKUP($B67, Dependencies!$B$2:$G$230, 3,FALSE), $B$14:AC$73, AC$74,FALSE),"o")=$D$5,IFERROR(VLOOKUP(VLOOKUP($B67, Dependencies!$B$2:$G$230, 4,FALSE), $B$14:AC$73, AC$74,FALSE),"o")=$D$5,IFERROR(VLOOKUP(VLOOKUP($B67, Dependencies!$B$2:$G$230, 5,FALSE), $B$14:AC$73, AC$74,FALSE),"o")=$D$5,IFERROR(VLOOKUP(VLOOKUP($B67, Dependencies!$B$2:$G$230, 6,FALSE), $B$14:AC$73, AC$74,FALSE),"o")=$D$5),$D$5,AB67)))</f>
        <v>o</v>
      </c>
      <c r="AD67" s="94" t="s">
        <v>323</v>
      </c>
      <c r="AE67" s="72" t="str">
        <f>IF(AD67=$D$4,AD67,IF(OR(IFERROR(VLOOKUP(VLOOKUP($B67, Dependencies!$B$2:$G$230, 2,FALSE),$B$14:AE$73, AE$74,FALSE),"o")=$D$4,IFERROR(VLOOKUP(VLOOKUP($B67, Dependencies!$B$2:$G$230, 3,FALSE),$B$14:AE$73, AE$74,FALSE),"o")=$D$4,IFERROR(VLOOKUP(VLOOKUP($B67, Dependencies!$B$2:$G$230, 4,FALSE),$B$14:AE$73, AE$74,FALSE),"o")=$D$4,IFERROR(VLOOKUP(VLOOKUP($B67, Dependencies!$B$2:$G$230, 5,FALSE),$B$14:AE$73, AE$74,FALSE),"o")=$D$4,IFERROR(VLOOKUP(VLOOKUP($B67, Dependencies!$B$2:$G$230, 6,FALSE),$B$14:AE$73, AE$74,FALSE),"o")=$D$4),$D$4,IF(OR(IFERROR(VLOOKUP(VLOOKUP($B67, Dependencies!$B$2:$G$230, 2,FALSE), $B$14:AE$73, AE$74,FALSE),"o")=$D$5,IFERROR(VLOOKUP(VLOOKUP($B67, Dependencies!$B$2:$G$230, 3,FALSE), $B$14:AE$73, AE$74,FALSE),"o")=$D$5,IFERROR(VLOOKUP(VLOOKUP($B67, Dependencies!$B$2:$G$230, 4,FALSE), $B$14:AE$73, AE$74,FALSE),"o")=$D$5,IFERROR(VLOOKUP(VLOOKUP($B67, Dependencies!$B$2:$G$230, 5,FALSE), $B$14:AE$73, AE$74,FALSE),"o")=$D$5,IFERROR(VLOOKUP(VLOOKUP($B67, Dependencies!$B$2:$G$230, 6,FALSE), $B$14:AE$73, AE$74,FALSE),"o")=$D$5),$D$5,AD67)))</f>
        <v>o</v>
      </c>
      <c r="AF67" s="94" t="s">
        <v>323</v>
      </c>
      <c r="AG67" s="72" t="str">
        <f>IF(AF67=$D$4,AF67,IF(OR(IFERROR(VLOOKUP(VLOOKUP($B67, Dependencies!$B$2:$G$230, 2,FALSE),$B$14:AG$73, AG$74,FALSE),"o")=$D$4,IFERROR(VLOOKUP(VLOOKUP($B67, Dependencies!$B$2:$G$230, 3,FALSE),$B$14:AG$73, AG$74,FALSE),"o")=$D$4,IFERROR(VLOOKUP(VLOOKUP($B67, Dependencies!$B$2:$G$230, 4,FALSE),$B$14:AG$73, AG$74,FALSE),"o")=$D$4,IFERROR(VLOOKUP(VLOOKUP($B67, Dependencies!$B$2:$G$230, 5,FALSE),$B$14:AG$73, AG$74,FALSE),"o")=$D$4,IFERROR(VLOOKUP(VLOOKUP($B67, Dependencies!$B$2:$G$230, 6,FALSE),$B$14:AG$73, AG$74,FALSE),"o")=$D$4),$D$4,IF(OR(IFERROR(VLOOKUP(VLOOKUP($B67, Dependencies!$B$2:$G$230, 2,FALSE), $B$14:AG$73, AG$74,FALSE),"o")=$D$5,IFERROR(VLOOKUP(VLOOKUP($B67, Dependencies!$B$2:$G$230, 3,FALSE), $B$14:AG$73, AG$74,FALSE),"o")=$D$5,IFERROR(VLOOKUP(VLOOKUP($B67, Dependencies!$B$2:$G$230, 4,FALSE), $B$14:AG$73, AG$74,FALSE),"o")=$D$5,IFERROR(VLOOKUP(VLOOKUP($B67, Dependencies!$B$2:$G$230, 5,FALSE), $B$14:AG$73, AG$74,FALSE),"o")=$D$5,IFERROR(VLOOKUP(VLOOKUP($B67, Dependencies!$B$2:$G$230, 6,FALSE), $B$14:AG$73, AG$74,FALSE),"o")=$D$5),$D$5,AF67)))</f>
        <v>o</v>
      </c>
      <c r="AH67" s="94" t="s">
        <v>323</v>
      </c>
      <c r="AI67" s="72" t="str">
        <f>IF(AH67=$D$4,AH67,IF(OR(IFERROR(VLOOKUP(VLOOKUP($B67, Dependencies!$B$2:$G$230, 2,FALSE),$B$14:AI$73, AI$74,FALSE),"o")=$D$4,IFERROR(VLOOKUP(VLOOKUP($B67, Dependencies!$B$2:$G$230, 3,FALSE),$B$14:AI$73, AI$74,FALSE),"o")=$D$4,IFERROR(VLOOKUP(VLOOKUP($B67, Dependencies!$B$2:$G$230, 4,FALSE),$B$14:AI$73, AI$74,FALSE),"o")=$D$4,IFERROR(VLOOKUP(VLOOKUP($B67, Dependencies!$B$2:$G$230, 5,FALSE),$B$14:AI$73, AI$74,FALSE),"o")=$D$4,IFERROR(VLOOKUP(VLOOKUP($B67, Dependencies!$B$2:$G$230, 6,FALSE),$B$14:AI$73, AI$74,FALSE),"o")=$D$4),$D$4,IF(OR(IFERROR(VLOOKUP(VLOOKUP($B67, Dependencies!$B$2:$G$230, 2,FALSE), $B$14:AI$73, AI$74,FALSE),"o")=$D$5,IFERROR(VLOOKUP(VLOOKUP($B67, Dependencies!$B$2:$G$230, 3,FALSE), $B$14:AI$73, AI$74,FALSE),"o")=$D$5,IFERROR(VLOOKUP(VLOOKUP($B67, Dependencies!$B$2:$G$230, 4,FALSE), $B$14:AI$73, AI$74,FALSE),"o")=$D$5,IFERROR(VLOOKUP(VLOOKUP($B67, Dependencies!$B$2:$G$230, 5,FALSE), $B$14:AI$73, AI$74,FALSE),"o")=$D$5,IFERROR(VLOOKUP(VLOOKUP($B67, Dependencies!$B$2:$G$230, 6,FALSE), $B$14:AI$73, AI$74,FALSE),"o")=$D$5),$D$5,AH67)))</f>
        <v>o</v>
      </c>
      <c r="AJ67" s="94" t="s">
        <v>323</v>
      </c>
      <c r="AK67" s="72" t="str">
        <f>IF(AJ67=$D$4,AJ67,IF(OR(IFERROR(VLOOKUP(VLOOKUP($B67, Dependencies!$B$2:$G$230, 2,FALSE),$B$14:AK$73, AK$74,FALSE),"o")=$D$4,IFERROR(VLOOKUP(VLOOKUP($B67, Dependencies!$B$2:$G$230, 3,FALSE),$B$14:AK$73, AK$74,FALSE),"o")=$D$4,IFERROR(VLOOKUP(VLOOKUP($B67, Dependencies!$B$2:$G$230, 4,FALSE),$B$14:AK$73, AK$74,FALSE),"o")=$D$4,IFERROR(VLOOKUP(VLOOKUP($B67, Dependencies!$B$2:$G$230, 5,FALSE),$B$14:AK$73, AK$74,FALSE),"o")=$D$4,IFERROR(VLOOKUP(VLOOKUP($B67, Dependencies!$B$2:$G$230, 6,FALSE),$B$14:AK$73, AK$74,FALSE),"o")=$D$4),$D$4,IF(OR(IFERROR(VLOOKUP(VLOOKUP($B67, Dependencies!$B$2:$G$230, 2,FALSE), $B$14:AK$73, AK$74,FALSE),"o")=$D$5,IFERROR(VLOOKUP(VLOOKUP($B67, Dependencies!$B$2:$G$230, 3,FALSE), $B$14:AK$73, AK$74,FALSE),"o")=$D$5,IFERROR(VLOOKUP(VLOOKUP($B67, Dependencies!$B$2:$G$230, 4,FALSE), $B$14:AK$73, AK$74,FALSE),"o")=$D$5,IFERROR(VLOOKUP(VLOOKUP($B67, Dependencies!$B$2:$G$230, 5,FALSE), $B$14:AK$73, AK$74,FALSE),"o")=$D$5,IFERROR(VLOOKUP(VLOOKUP($B67, Dependencies!$B$2:$G$230, 6,FALSE), $B$14:AK$73, AK$74,FALSE),"o")=$D$5),$D$5,AJ67)))</f>
        <v>o</v>
      </c>
      <c r="AL67" s="94" t="s">
        <v>323</v>
      </c>
      <c r="AM67" s="72" t="str">
        <f>IF(AL67=$D$4,AL67,IF(OR(IFERROR(VLOOKUP(VLOOKUP($B67, Dependencies!$B$2:$G$230, 2,FALSE),$B$14:AM$73, AM$74,FALSE),"o")=$D$4,IFERROR(VLOOKUP(VLOOKUP($B67, Dependencies!$B$2:$G$230, 3,FALSE),$B$14:AM$73, AM$74,FALSE),"o")=$D$4,IFERROR(VLOOKUP(VLOOKUP($B67, Dependencies!$B$2:$G$230, 4,FALSE),$B$14:AM$73, AM$74,FALSE),"o")=$D$4,IFERROR(VLOOKUP(VLOOKUP($B67, Dependencies!$B$2:$G$230, 5,FALSE),$B$14:AM$73, AM$74,FALSE),"o")=$D$4,IFERROR(VLOOKUP(VLOOKUP($B67, Dependencies!$B$2:$G$230, 6,FALSE),$B$14:AM$73, AM$74,FALSE),"o")=$D$4),$D$4,IF(OR(IFERROR(VLOOKUP(VLOOKUP($B67, Dependencies!$B$2:$G$230, 2,FALSE), $B$14:AM$73, AM$74,FALSE),"o")=$D$5,IFERROR(VLOOKUP(VLOOKUP($B67, Dependencies!$B$2:$G$230, 3,FALSE), $B$14:AM$73, AM$74,FALSE),"o")=$D$5,IFERROR(VLOOKUP(VLOOKUP($B67, Dependencies!$B$2:$G$230, 4,FALSE), $B$14:AM$73, AM$74,FALSE),"o")=$D$5,IFERROR(VLOOKUP(VLOOKUP($B67, Dependencies!$B$2:$G$230, 5,FALSE), $B$14:AM$73, AM$74,FALSE),"o")=$D$5,IFERROR(VLOOKUP(VLOOKUP($B67, Dependencies!$B$2:$G$230, 6,FALSE), $B$14:AM$73, AM$74,FALSE),"o")=$D$5),$D$5,AL67)))</f>
        <v>o</v>
      </c>
      <c r="AN67" s="94" t="s">
        <v>323</v>
      </c>
      <c r="AO67" s="72" t="str">
        <f>IF(AN67=$D$4,AN67,IF(OR(IFERROR(VLOOKUP(VLOOKUP($B67, Dependencies!$B$2:$G$230, 2,FALSE),$B$14:AO$73, AO$74,FALSE),"o")=$D$4,IFERROR(VLOOKUP(VLOOKUP($B67, Dependencies!$B$2:$G$230, 3,FALSE),$B$14:AO$73, AO$74,FALSE),"o")=$D$4,IFERROR(VLOOKUP(VLOOKUP($B67, Dependencies!$B$2:$G$230, 4,FALSE),$B$14:AO$73, AO$74,FALSE),"o")=$D$4,IFERROR(VLOOKUP(VLOOKUP($B67, Dependencies!$B$2:$G$230, 5,FALSE),$B$14:AO$73, AO$74,FALSE),"o")=$D$4,IFERROR(VLOOKUP(VLOOKUP($B67, Dependencies!$B$2:$G$230, 6,FALSE),$B$14:AO$73, AO$74,FALSE),"o")=$D$4),$D$4,IF(OR(IFERROR(VLOOKUP(VLOOKUP($B67, Dependencies!$B$2:$G$230, 2,FALSE), $B$14:AO$73, AO$74,FALSE),"o")=$D$5,IFERROR(VLOOKUP(VLOOKUP($B67, Dependencies!$B$2:$G$230, 3,FALSE), $B$14:AO$73, AO$74,FALSE),"o")=$D$5,IFERROR(VLOOKUP(VLOOKUP($B67, Dependencies!$B$2:$G$230, 4,FALSE), $B$14:AO$73, AO$74,FALSE),"o")=$D$5,IFERROR(VLOOKUP(VLOOKUP($B67, Dependencies!$B$2:$G$230, 5,FALSE), $B$14:AO$73, AO$74,FALSE),"o")=$D$5,IFERROR(VLOOKUP(VLOOKUP($B67, Dependencies!$B$2:$G$230, 6,FALSE), $B$14:AO$73, AO$74,FALSE),"o")=$D$5),$D$5,AN67)))</f>
        <v>o</v>
      </c>
      <c r="AP67" s="94" t="s">
        <v>323</v>
      </c>
      <c r="AQ67" s="72" t="str">
        <f>IF(AP67=$D$4,AP67,IF(OR(IFERROR(VLOOKUP(VLOOKUP($B67, Dependencies!$B$2:$G$230, 2,FALSE),$B$14:AQ$73, AQ$74,FALSE),"o")=$D$4,IFERROR(VLOOKUP(VLOOKUP($B67, Dependencies!$B$2:$G$230, 3,FALSE),$B$14:AQ$73, AQ$74,FALSE),"o")=$D$4,IFERROR(VLOOKUP(VLOOKUP($B67, Dependencies!$B$2:$G$230, 4,FALSE),$B$14:AQ$73, AQ$74,FALSE),"o")=$D$4,IFERROR(VLOOKUP(VLOOKUP($B67, Dependencies!$B$2:$G$230, 5,FALSE),$B$14:AQ$73, AQ$74,FALSE),"o")=$D$4,IFERROR(VLOOKUP(VLOOKUP($B67, Dependencies!$B$2:$G$230, 6,FALSE),$B$14:AQ$73, AQ$74,FALSE),"o")=$D$4),$D$4,IF(OR(IFERROR(VLOOKUP(VLOOKUP($B67, Dependencies!$B$2:$G$230, 2,FALSE), $B$14:AQ$73, AQ$74,FALSE),"o")=$D$5,IFERROR(VLOOKUP(VLOOKUP($B67, Dependencies!$B$2:$G$230, 3,FALSE), $B$14:AQ$73, AQ$74,FALSE),"o")=$D$5,IFERROR(VLOOKUP(VLOOKUP($B67, Dependencies!$B$2:$G$230, 4,FALSE), $B$14:AQ$73, AQ$74,FALSE),"o")=$D$5,IFERROR(VLOOKUP(VLOOKUP($B67, Dependencies!$B$2:$G$230, 5,FALSE), $B$14:AQ$73, AQ$74,FALSE),"o")=$D$5,IFERROR(VLOOKUP(VLOOKUP($B67, Dependencies!$B$2:$G$230, 6,FALSE), $B$14:AQ$73, AQ$74,FALSE),"o")=$D$5),$D$5,AP67)))</f>
        <v>o</v>
      </c>
      <c r="AR67" s="94" t="s">
        <v>323</v>
      </c>
      <c r="AS67" s="71" t="str">
        <f>IF(AR67=$D$4,AR67,IF(OR(IFERROR(VLOOKUP(VLOOKUP($B67, Dependencies!$B$2:$G$230, 2,FALSE),$B$14:AS$73, AS$74,FALSE),"o")=$D$4,IFERROR(VLOOKUP(VLOOKUP($B67, Dependencies!$B$2:$G$230, 3,FALSE),$B$14:AS$73, AS$74,FALSE),"o")=$D$4,IFERROR(VLOOKUP(VLOOKUP($B67, Dependencies!$B$2:$G$230, 4,FALSE),$B$14:AS$73, AS$74,FALSE),"o")=$D$4,IFERROR(VLOOKUP(VLOOKUP($B67, Dependencies!$B$2:$G$230, 5,FALSE),$B$14:AS$73, AS$74,FALSE),"o")=$D$4,IFERROR(VLOOKUP(VLOOKUP($B67, Dependencies!$B$2:$G$230, 6,FALSE),$B$14:AS$73, AS$74,FALSE),"o")=$D$4),$D$4,IF(OR(IFERROR(VLOOKUP(VLOOKUP($B67, Dependencies!$B$2:$G$230, 2,FALSE), $B$14:AS$73, AS$74,FALSE),"o")=$D$5,IFERROR(VLOOKUP(VLOOKUP($B67, Dependencies!$B$2:$G$230, 3,FALSE), $B$14:AS$73, AS$74,FALSE),"o")=$D$5,IFERROR(VLOOKUP(VLOOKUP($B67, Dependencies!$B$2:$G$230, 4,FALSE), $B$14:AS$73, AS$74,FALSE),"o")=$D$5,IFERROR(VLOOKUP(VLOOKUP($B67, Dependencies!$B$2:$G$230, 5,FALSE), $B$14:AS$73, AS$74,FALSE),"o")=$D$5,IFERROR(VLOOKUP(VLOOKUP($B67, Dependencies!$B$2:$G$230, 6,FALSE), $B$14:AS$73, AS$74,FALSE),"o")=$D$5),$D$5,AR67)))</f>
        <v>o</v>
      </c>
    </row>
    <row r="68" spans="1:45" x14ac:dyDescent="0.2">
      <c r="A68" s="40"/>
      <c r="B68" s="73" t="str">
        <f>MLEOsv2!A56</f>
        <v>MLEO_08_01</v>
      </c>
      <c r="C68" s="73">
        <f>MLEOsv2!C56</f>
        <v>10</v>
      </c>
      <c r="D68" s="42" t="str">
        <f>MLEOsv2!G56</f>
        <v>design, write and execute tests for a single method in a class using a unit test framework.</v>
      </c>
      <c r="E68" s="51" t="b">
        <f>MLEOsv2!H56</f>
        <v>1</v>
      </c>
      <c r="F68" s="93" t="s">
        <v>323</v>
      </c>
      <c r="G68" s="70" t="str">
        <f>IF(F68=$D$4,F68,IF(OR(IFERROR(VLOOKUP(VLOOKUP($B68, Dependencies!$B$2:$G$230, 2,FALSE),$B$14:G$73, G$74,FALSE),"o")=$D$4,IFERROR(VLOOKUP(VLOOKUP($B68, Dependencies!$B$2:$G$230, 3,FALSE),$B$14:G$73, G$74,FALSE),"o")=$D$4,IFERROR(VLOOKUP(VLOOKUP($B68, Dependencies!$B$2:$G$230, 4,FALSE),$B$14:G$73, G$74,FALSE),"o")=$D$4,IFERROR(VLOOKUP(VLOOKUP($B68, Dependencies!$B$2:$G$230, 5,FALSE),$B$14:G$73, G$74,FALSE),"o")=$D$4,IFERROR(VLOOKUP(VLOOKUP($B68, Dependencies!$B$2:$G$230, 6,FALSE),$B$14:G$73, G$74,FALSE),"o")=$D$4),$D$4,IF(OR(IFERROR(VLOOKUP(VLOOKUP($B68, Dependencies!$B$2:$G$230, 2,FALSE), $B$14:G$73, G$74,FALSE),"o")=$D$5,IFERROR(VLOOKUP(VLOOKUP($B68, Dependencies!$B$2:$G$230, 3,FALSE), $B$14:G$73, G$74,FALSE),"o")=$D$5,IFERROR(VLOOKUP(VLOOKUP($B68, Dependencies!$B$2:$G$230, 4,FALSE), $B$14:G$73, G$74,FALSE),"o")=$D$5,IFERROR(VLOOKUP(VLOOKUP($B68, Dependencies!$B$2:$G$230, 5,FALSE), $B$14:G$73, G$74,FALSE),"o")=$D$5,IFERROR(VLOOKUP(VLOOKUP($B68, Dependencies!$B$2:$G$230, 6,FALSE), $B$14:G$73, G$74,FALSE),"o")=$D$5),$D$5,F68)))</f>
        <v>o</v>
      </c>
      <c r="H68" s="93" t="s">
        <v>321</v>
      </c>
      <c r="I68" s="70" t="str">
        <f>IF(H68=$D$4,H68,IF(OR(IFERROR(VLOOKUP(VLOOKUP($B68, Dependencies!$B$2:$G$230, 2,FALSE),$B$14:I$73, I$74,FALSE),"o")=$D$4,IFERROR(VLOOKUP(VLOOKUP($B68, Dependencies!$B$2:$G$230, 3,FALSE),$B$14:I$73, I$74,FALSE),"o")=$D$4,IFERROR(VLOOKUP(VLOOKUP($B68, Dependencies!$B$2:$G$230, 4,FALSE),$B$14:I$73, I$74,FALSE),"o")=$D$4,IFERROR(VLOOKUP(VLOOKUP($B68, Dependencies!$B$2:$G$230, 5,FALSE),$B$14:I$73, I$74,FALSE),"o")=$D$4,IFERROR(VLOOKUP(VLOOKUP($B68, Dependencies!$B$2:$G$230, 6,FALSE),$B$14:I$73, I$74,FALSE),"o")=$D$4),$D$4,IF(OR(IFERROR(VLOOKUP(VLOOKUP($B68, Dependencies!$B$2:$G$230, 2,FALSE), $B$14:I$73, I$74,FALSE),"o")=$D$5,IFERROR(VLOOKUP(VLOOKUP($B68, Dependencies!$B$2:$G$230, 3,FALSE), $B$14:I$73, I$74,FALSE),"o")=$D$5,IFERROR(VLOOKUP(VLOOKUP($B68, Dependencies!$B$2:$G$230, 4,FALSE), $B$14:I$73, I$74,FALSE),"o")=$D$5,IFERROR(VLOOKUP(VLOOKUP($B68, Dependencies!$B$2:$G$230, 5,FALSE), $B$14:I$73, I$74,FALSE),"o")=$D$5,IFERROR(VLOOKUP(VLOOKUP($B68, Dependencies!$B$2:$G$230, 6,FALSE), $B$14:I$73, I$74,FALSE),"o")=$D$5),$D$5,H68)))</f>
        <v>pr</v>
      </c>
      <c r="J68" s="93" t="s">
        <v>321</v>
      </c>
      <c r="K68" s="70" t="str">
        <f>IF(J68=$D$4,J68,IF(OR(IFERROR(VLOOKUP(VLOOKUP($B68, Dependencies!$B$2:$G$230, 2,FALSE),$B$14:K$73, K$74,FALSE),"o")=$D$4,IFERROR(VLOOKUP(VLOOKUP($B68, Dependencies!$B$2:$G$230, 3,FALSE),$B$14:K$73, K$74,FALSE),"o")=$D$4,IFERROR(VLOOKUP(VLOOKUP($B68, Dependencies!$B$2:$G$230, 4,FALSE),$B$14:K$73, K$74,FALSE),"o")=$D$4,IFERROR(VLOOKUP(VLOOKUP($B68, Dependencies!$B$2:$G$230, 5,FALSE),$B$14:K$73, K$74,FALSE),"o")=$D$4,IFERROR(VLOOKUP(VLOOKUP($B68, Dependencies!$B$2:$G$230, 6,FALSE),$B$14:K$73, K$74,FALSE),"o")=$D$4),$D$4,IF(OR(IFERROR(VLOOKUP(VLOOKUP($B68, Dependencies!$B$2:$G$230, 2,FALSE), $B$14:K$73, K$74,FALSE),"o")=$D$5,IFERROR(VLOOKUP(VLOOKUP($B68, Dependencies!$B$2:$G$230, 3,FALSE), $B$14:K$73, K$74,FALSE),"o")=$D$5,IFERROR(VLOOKUP(VLOOKUP($B68, Dependencies!$B$2:$G$230, 4,FALSE), $B$14:K$73, K$74,FALSE),"o")=$D$5,IFERROR(VLOOKUP(VLOOKUP($B68, Dependencies!$B$2:$G$230, 5,FALSE), $B$14:K$73, K$74,FALSE),"o")=$D$5,IFERROR(VLOOKUP(VLOOKUP($B68, Dependencies!$B$2:$G$230, 6,FALSE), $B$14:K$73, K$74,FALSE),"o")=$D$5),$D$5,J68)))</f>
        <v>r</v>
      </c>
      <c r="L68" s="93" t="s">
        <v>323</v>
      </c>
      <c r="M68" s="70" t="str">
        <f>IF(L68=$D$4,L68,IF(OR(IFERROR(VLOOKUP(VLOOKUP($B68, Dependencies!$B$2:$G$230, 2,FALSE),$B$14:M$73, M$74,FALSE),"o")=$D$4,IFERROR(VLOOKUP(VLOOKUP($B68, Dependencies!$B$2:$G$230, 3,FALSE),$B$14:M$73, M$74,FALSE),"o")=$D$4,IFERROR(VLOOKUP(VLOOKUP($B68, Dependencies!$B$2:$G$230, 4,FALSE),$B$14:M$73, M$74,FALSE),"o")=$D$4,IFERROR(VLOOKUP(VLOOKUP($B68, Dependencies!$B$2:$G$230, 5,FALSE),$B$14:M$73, M$74,FALSE),"o")=$D$4,IFERROR(VLOOKUP(VLOOKUP($B68, Dependencies!$B$2:$G$230, 6,FALSE),$B$14:M$73, M$74,FALSE),"o")=$D$4),$D$4,IF(OR(IFERROR(VLOOKUP(VLOOKUP($B68, Dependencies!$B$2:$G$230, 2,FALSE), $B$14:M$73, M$74,FALSE),"o")=$D$5,IFERROR(VLOOKUP(VLOOKUP($B68, Dependencies!$B$2:$G$230, 3,FALSE), $B$14:M$73, M$74,FALSE),"o")=$D$5,IFERROR(VLOOKUP(VLOOKUP($B68, Dependencies!$B$2:$G$230, 4,FALSE), $B$14:M$73, M$74,FALSE),"o")=$D$5,IFERROR(VLOOKUP(VLOOKUP($B68, Dependencies!$B$2:$G$230, 5,FALSE), $B$14:M$73, M$74,FALSE),"o")=$D$5,IFERROR(VLOOKUP(VLOOKUP($B68, Dependencies!$B$2:$G$230, 6,FALSE), $B$14:M$73, M$74,FALSE),"o")=$D$5),$D$5,L68)))</f>
        <v>o</v>
      </c>
      <c r="N68" s="93" t="s">
        <v>323</v>
      </c>
      <c r="O68" s="70" t="str">
        <f>IF(N68=$D$4,N68,IF(OR(IFERROR(VLOOKUP(VLOOKUP($B68, Dependencies!$B$2:$G$230, 2,FALSE),$B$14:O$73, O$74,FALSE),"o")=$D$4,IFERROR(VLOOKUP(VLOOKUP($B68, Dependencies!$B$2:$G$230, 3,FALSE),$B$14:O$73, O$74,FALSE),"o")=$D$4,IFERROR(VLOOKUP(VLOOKUP($B68, Dependencies!$B$2:$G$230, 4,FALSE),$B$14:O$73, O$74,FALSE),"o")=$D$4,IFERROR(VLOOKUP(VLOOKUP($B68, Dependencies!$B$2:$G$230, 5,FALSE),$B$14:O$73, O$74,FALSE),"o")=$D$4,IFERROR(VLOOKUP(VLOOKUP($B68, Dependencies!$B$2:$G$230, 6,FALSE),$B$14:O$73, O$74,FALSE),"o")=$D$4),$D$4,IF(OR(IFERROR(VLOOKUP(VLOOKUP($B68, Dependencies!$B$2:$G$230, 2,FALSE), $B$14:O$73, O$74,FALSE),"o")=$D$5,IFERROR(VLOOKUP(VLOOKUP($B68, Dependencies!$B$2:$G$230, 3,FALSE), $B$14:O$73, O$74,FALSE),"o")=$D$5,IFERROR(VLOOKUP(VLOOKUP($B68, Dependencies!$B$2:$G$230, 4,FALSE), $B$14:O$73, O$74,FALSE),"o")=$D$5,IFERROR(VLOOKUP(VLOOKUP($B68, Dependencies!$B$2:$G$230, 5,FALSE), $B$14:O$73, O$74,FALSE),"o")=$D$5,IFERROR(VLOOKUP(VLOOKUP($B68, Dependencies!$B$2:$G$230, 6,FALSE), $B$14:O$73, O$74,FALSE),"o")=$D$5),$D$5,N68)))</f>
        <v>o</v>
      </c>
      <c r="P68" s="93" t="s">
        <v>323</v>
      </c>
      <c r="Q68" s="70" t="str">
        <f>IF(P68=$D$4,P68,IF(OR(IFERROR(VLOOKUP(VLOOKUP($B68, Dependencies!$B$2:$G$230, 2,FALSE),$B$14:Q$73, Q$74,FALSE),"o")=$D$4,IFERROR(VLOOKUP(VLOOKUP($B68, Dependencies!$B$2:$G$230, 3,FALSE),$B$14:Q$73, Q$74,FALSE),"o")=$D$4,IFERROR(VLOOKUP(VLOOKUP($B68, Dependencies!$B$2:$G$230, 4,FALSE),$B$14:Q$73, Q$74,FALSE),"o")=$D$4,IFERROR(VLOOKUP(VLOOKUP($B68, Dependencies!$B$2:$G$230, 5,FALSE),$B$14:Q$73, Q$74,FALSE),"o")=$D$4,IFERROR(VLOOKUP(VLOOKUP($B68, Dependencies!$B$2:$G$230, 6,FALSE),$B$14:Q$73, Q$74,FALSE),"o")=$D$4),$D$4,IF(OR(IFERROR(VLOOKUP(VLOOKUP($B68, Dependencies!$B$2:$G$230, 2,FALSE), $B$14:Q$73, Q$74,FALSE),"o")=$D$5,IFERROR(VLOOKUP(VLOOKUP($B68, Dependencies!$B$2:$G$230, 3,FALSE), $B$14:Q$73, Q$74,FALSE),"o")=$D$5,IFERROR(VLOOKUP(VLOOKUP($B68, Dependencies!$B$2:$G$230, 4,FALSE), $B$14:Q$73, Q$74,FALSE),"o")=$D$5,IFERROR(VLOOKUP(VLOOKUP($B68, Dependencies!$B$2:$G$230, 5,FALSE), $B$14:Q$73, Q$74,FALSE),"o")=$D$5,IFERROR(VLOOKUP(VLOOKUP($B68, Dependencies!$B$2:$G$230, 6,FALSE), $B$14:Q$73, Q$74,FALSE),"o")=$D$5),$D$5,P68)))</f>
        <v>o</v>
      </c>
      <c r="R68" s="93" t="s">
        <v>323</v>
      </c>
      <c r="S68" s="70" t="str">
        <f>IF(R68=$D$4,R68,IF(OR(IFERROR(VLOOKUP(VLOOKUP($B68, Dependencies!$B$2:$G$230, 2,FALSE),$B$14:S$73, S$74,FALSE),"o")=$D$4,IFERROR(VLOOKUP(VLOOKUP($B68, Dependencies!$B$2:$G$230, 3,FALSE),$B$14:S$73, S$74,FALSE),"o")=$D$4,IFERROR(VLOOKUP(VLOOKUP($B68, Dependencies!$B$2:$G$230, 4,FALSE),$B$14:S$73, S$74,FALSE),"o")=$D$4,IFERROR(VLOOKUP(VLOOKUP($B68, Dependencies!$B$2:$G$230, 5,FALSE),$B$14:S$73, S$74,FALSE),"o")=$D$4,IFERROR(VLOOKUP(VLOOKUP($B68, Dependencies!$B$2:$G$230, 6,FALSE),$B$14:S$73, S$74,FALSE),"o")=$D$4),$D$4,IF(OR(IFERROR(VLOOKUP(VLOOKUP($B68, Dependencies!$B$2:$G$230, 2,FALSE), $B$14:S$73, S$74,FALSE),"o")=$D$5,IFERROR(VLOOKUP(VLOOKUP($B68, Dependencies!$B$2:$G$230, 3,FALSE), $B$14:S$73, S$74,FALSE),"o")=$D$5,IFERROR(VLOOKUP(VLOOKUP($B68, Dependencies!$B$2:$G$230, 4,FALSE), $B$14:S$73, S$74,FALSE),"o")=$D$5,IFERROR(VLOOKUP(VLOOKUP($B68, Dependencies!$B$2:$G$230, 5,FALSE), $B$14:S$73, S$74,FALSE),"o")=$D$5,IFERROR(VLOOKUP(VLOOKUP($B68, Dependencies!$B$2:$G$230, 6,FALSE), $B$14:S$73, S$74,FALSE),"o")=$D$5),$D$5,R68)))</f>
        <v>o</v>
      </c>
      <c r="T68" s="93" t="s">
        <v>323</v>
      </c>
      <c r="U68" s="70" t="str">
        <f>IF(T68=$D$4,T68,IF(OR(IFERROR(VLOOKUP(VLOOKUP($B68, Dependencies!$B$2:$G$230, 2,FALSE),$B$14:U$73, U$74,FALSE),"o")=$D$4,IFERROR(VLOOKUP(VLOOKUP($B68, Dependencies!$B$2:$G$230, 3,FALSE),$B$14:U$73, U$74,FALSE),"o")=$D$4,IFERROR(VLOOKUP(VLOOKUP($B68, Dependencies!$B$2:$G$230, 4,FALSE),$B$14:U$73, U$74,FALSE),"o")=$D$4,IFERROR(VLOOKUP(VLOOKUP($B68, Dependencies!$B$2:$G$230, 5,FALSE),$B$14:U$73, U$74,FALSE),"o")=$D$4,IFERROR(VLOOKUP(VLOOKUP($B68, Dependencies!$B$2:$G$230, 6,FALSE),$B$14:U$73, U$74,FALSE),"o")=$D$4),$D$4,IF(OR(IFERROR(VLOOKUP(VLOOKUP($B68, Dependencies!$B$2:$G$230, 2,FALSE), $B$14:U$73, U$74,FALSE),"o")=$D$5,IFERROR(VLOOKUP(VLOOKUP($B68, Dependencies!$B$2:$G$230, 3,FALSE), $B$14:U$73, U$74,FALSE),"o")=$D$5,IFERROR(VLOOKUP(VLOOKUP($B68, Dependencies!$B$2:$G$230, 4,FALSE), $B$14:U$73, U$74,FALSE),"o")=$D$5,IFERROR(VLOOKUP(VLOOKUP($B68, Dependencies!$B$2:$G$230, 5,FALSE), $B$14:U$73, U$74,FALSE),"o")=$D$5,IFERROR(VLOOKUP(VLOOKUP($B68, Dependencies!$B$2:$G$230, 6,FALSE), $B$14:U$73, U$74,FALSE),"o")=$D$5),$D$5,T68)))</f>
        <v>o</v>
      </c>
      <c r="V68" s="93" t="s">
        <v>323</v>
      </c>
      <c r="W68" s="70" t="str">
        <f>IF(V68=$D$4,V68,IF(OR(IFERROR(VLOOKUP(VLOOKUP($B68, Dependencies!$B$2:$G$230, 2,FALSE),$B$14:W$73, W$74,FALSE),"o")=$D$4,IFERROR(VLOOKUP(VLOOKUP($B68, Dependencies!$B$2:$G$230, 3,FALSE),$B$14:W$73, W$74,FALSE),"o")=$D$4,IFERROR(VLOOKUP(VLOOKUP($B68, Dependencies!$B$2:$G$230, 4,FALSE),$B$14:W$73, W$74,FALSE),"o")=$D$4,IFERROR(VLOOKUP(VLOOKUP($B68, Dependencies!$B$2:$G$230, 5,FALSE),$B$14:W$73, W$74,FALSE),"o")=$D$4,IFERROR(VLOOKUP(VLOOKUP($B68, Dependencies!$B$2:$G$230, 6,FALSE),$B$14:W$73, W$74,FALSE),"o")=$D$4),$D$4,IF(OR(IFERROR(VLOOKUP(VLOOKUP($B68, Dependencies!$B$2:$G$230, 2,FALSE), $B$14:W$73, W$74,FALSE),"o")=$D$5,IFERROR(VLOOKUP(VLOOKUP($B68, Dependencies!$B$2:$G$230, 3,FALSE), $B$14:W$73, W$74,FALSE),"o")=$D$5,IFERROR(VLOOKUP(VLOOKUP($B68, Dependencies!$B$2:$G$230, 4,FALSE), $B$14:W$73, W$74,FALSE),"o")=$D$5,IFERROR(VLOOKUP(VLOOKUP($B68, Dependencies!$B$2:$G$230, 5,FALSE), $B$14:W$73, W$74,FALSE),"o")=$D$5,IFERROR(VLOOKUP(VLOOKUP($B68, Dependencies!$B$2:$G$230, 6,FALSE), $B$14:W$73, W$74,FALSE),"o")=$D$5),$D$5,V68)))</f>
        <v>o</v>
      </c>
      <c r="X68" s="93" t="s">
        <v>323</v>
      </c>
      <c r="Y68" s="70" t="str">
        <f>IF(X68=$D$4,X68,IF(OR(IFERROR(VLOOKUP(VLOOKUP($B68, Dependencies!$B$2:$G$230, 2,FALSE),$B$14:Y$73, Y$74,FALSE),"o")=$D$4,IFERROR(VLOOKUP(VLOOKUP($B68, Dependencies!$B$2:$G$230, 3,FALSE),$B$14:Y$73, Y$74,FALSE),"o")=$D$4,IFERROR(VLOOKUP(VLOOKUP($B68, Dependencies!$B$2:$G$230, 4,FALSE),$B$14:Y$73, Y$74,FALSE),"o")=$D$4,IFERROR(VLOOKUP(VLOOKUP($B68, Dependencies!$B$2:$G$230, 5,FALSE),$B$14:Y$73, Y$74,FALSE),"o")=$D$4,IFERROR(VLOOKUP(VLOOKUP($B68, Dependencies!$B$2:$G$230, 6,FALSE),$B$14:Y$73, Y$74,FALSE),"o")=$D$4),$D$4,IF(OR(IFERROR(VLOOKUP(VLOOKUP($B68, Dependencies!$B$2:$G$230, 2,FALSE), $B$14:Y$73, Y$74,FALSE),"o")=$D$5,IFERROR(VLOOKUP(VLOOKUP($B68, Dependencies!$B$2:$G$230, 3,FALSE), $B$14:Y$73, Y$74,FALSE),"o")=$D$5,IFERROR(VLOOKUP(VLOOKUP($B68, Dependencies!$B$2:$G$230, 4,FALSE), $B$14:Y$73, Y$74,FALSE),"o")=$D$5,IFERROR(VLOOKUP(VLOOKUP($B68, Dependencies!$B$2:$G$230, 5,FALSE), $B$14:Y$73, Y$74,FALSE),"o")=$D$5,IFERROR(VLOOKUP(VLOOKUP($B68, Dependencies!$B$2:$G$230, 6,FALSE), $B$14:Y$73, Y$74,FALSE),"o")=$D$5),$D$5,X68)))</f>
        <v>o</v>
      </c>
      <c r="Z68" s="93" t="s">
        <v>323</v>
      </c>
      <c r="AA68" s="70" t="str">
        <f>IF(Z68=$D$4,Z68,IF(OR(IFERROR(VLOOKUP(VLOOKUP($B68, Dependencies!$B$2:$G$230, 2,FALSE),$B$14:AA$73, AA$74,FALSE),"o")=$D$4,IFERROR(VLOOKUP(VLOOKUP($B68, Dependencies!$B$2:$G$230, 3,FALSE),$B$14:AA$73, AA$74,FALSE),"o")=$D$4,IFERROR(VLOOKUP(VLOOKUP($B68, Dependencies!$B$2:$G$230, 4,FALSE),$B$14:AA$73, AA$74,FALSE),"o")=$D$4,IFERROR(VLOOKUP(VLOOKUP($B68, Dependencies!$B$2:$G$230, 5,FALSE),$B$14:AA$73, AA$74,FALSE),"o")=$D$4,IFERROR(VLOOKUP(VLOOKUP($B68, Dependencies!$B$2:$G$230, 6,FALSE),$B$14:AA$73, AA$74,FALSE),"o")=$D$4),$D$4,IF(OR(IFERROR(VLOOKUP(VLOOKUP($B68, Dependencies!$B$2:$G$230, 2,FALSE), $B$14:AA$73, AA$74,FALSE),"o")=$D$5,IFERROR(VLOOKUP(VLOOKUP($B68, Dependencies!$B$2:$G$230, 3,FALSE), $B$14:AA$73, AA$74,FALSE),"o")=$D$5,IFERROR(VLOOKUP(VLOOKUP($B68, Dependencies!$B$2:$G$230, 4,FALSE), $B$14:AA$73, AA$74,FALSE),"o")=$D$5,IFERROR(VLOOKUP(VLOOKUP($B68, Dependencies!$B$2:$G$230, 5,FALSE), $B$14:AA$73, AA$74,FALSE),"o")=$D$5,IFERROR(VLOOKUP(VLOOKUP($B68, Dependencies!$B$2:$G$230, 6,FALSE), $B$14:AA$73, AA$74,FALSE),"o")=$D$5),$D$5,Z68)))</f>
        <v>o</v>
      </c>
      <c r="AB68" s="93" t="s">
        <v>323</v>
      </c>
      <c r="AC68" s="70" t="str">
        <f>IF(AB68=$D$4,AB68,IF(OR(IFERROR(VLOOKUP(VLOOKUP($B68, Dependencies!$B$2:$G$230, 2,FALSE),$B$14:AC$73, AC$74,FALSE),"o")=$D$4,IFERROR(VLOOKUP(VLOOKUP($B68, Dependencies!$B$2:$G$230, 3,FALSE),$B$14:AC$73, AC$74,FALSE),"o")=$D$4,IFERROR(VLOOKUP(VLOOKUP($B68, Dependencies!$B$2:$G$230, 4,FALSE),$B$14:AC$73, AC$74,FALSE),"o")=$D$4,IFERROR(VLOOKUP(VLOOKUP($B68, Dependencies!$B$2:$G$230, 5,FALSE),$B$14:AC$73, AC$74,FALSE),"o")=$D$4,IFERROR(VLOOKUP(VLOOKUP($B68, Dependencies!$B$2:$G$230, 6,FALSE),$B$14:AC$73, AC$74,FALSE),"o")=$D$4),$D$4,IF(OR(IFERROR(VLOOKUP(VLOOKUP($B68, Dependencies!$B$2:$G$230, 2,FALSE), $B$14:AC$73, AC$74,FALSE),"o")=$D$5,IFERROR(VLOOKUP(VLOOKUP($B68, Dependencies!$B$2:$G$230, 3,FALSE), $B$14:AC$73, AC$74,FALSE),"o")=$D$5,IFERROR(VLOOKUP(VLOOKUP($B68, Dependencies!$B$2:$G$230, 4,FALSE), $B$14:AC$73, AC$74,FALSE),"o")=$D$5,IFERROR(VLOOKUP(VLOOKUP($B68, Dependencies!$B$2:$G$230, 5,FALSE), $B$14:AC$73, AC$74,FALSE),"o")=$D$5,IFERROR(VLOOKUP(VLOOKUP($B68, Dependencies!$B$2:$G$230, 6,FALSE), $B$14:AC$73, AC$74,FALSE),"o")=$D$5),$D$5,AB68)))</f>
        <v>o</v>
      </c>
      <c r="AD68" s="93" t="s">
        <v>323</v>
      </c>
      <c r="AE68" s="70" t="str">
        <f>IF(AD68=$D$4,AD68,IF(OR(IFERROR(VLOOKUP(VLOOKUP($B68, Dependencies!$B$2:$G$230, 2,FALSE),$B$14:AE$73, AE$74,FALSE),"o")=$D$4,IFERROR(VLOOKUP(VLOOKUP($B68, Dependencies!$B$2:$G$230, 3,FALSE),$B$14:AE$73, AE$74,FALSE),"o")=$D$4,IFERROR(VLOOKUP(VLOOKUP($B68, Dependencies!$B$2:$G$230, 4,FALSE),$B$14:AE$73, AE$74,FALSE),"o")=$D$4,IFERROR(VLOOKUP(VLOOKUP($B68, Dependencies!$B$2:$G$230, 5,FALSE),$B$14:AE$73, AE$74,FALSE),"o")=$D$4,IFERROR(VLOOKUP(VLOOKUP($B68, Dependencies!$B$2:$G$230, 6,FALSE),$B$14:AE$73, AE$74,FALSE),"o")=$D$4),$D$4,IF(OR(IFERROR(VLOOKUP(VLOOKUP($B68, Dependencies!$B$2:$G$230, 2,FALSE), $B$14:AE$73, AE$74,FALSE),"o")=$D$5,IFERROR(VLOOKUP(VLOOKUP($B68, Dependencies!$B$2:$G$230, 3,FALSE), $B$14:AE$73, AE$74,FALSE),"o")=$D$5,IFERROR(VLOOKUP(VLOOKUP($B68, Dependencies!$B$2:$G$230, 4,FALSE), $B$14:AE$73, AE$74,FALSE),"o")=$D$5,IFERROR(VLOOKUP(VLOOKUP($B68, Dependencies!$B$2:$G$230, 5,FALSE), $B$14:AE$73, AE$74,FALSE),"o")=$D$5,IFERROR(VLOOKUP(VLOOKUP($B68, Dependencies!$B$2:$G$230, 6,FALSE), $B$14:AE$73, AE$74,FALSE),"o")=$D$5),$D$5,AD68)))</f>
        <v>o</v>
      </c>
      <c r="AF68" s="93" t="s">
        <v>323</v>
      </c>
      <c r="AG68" s="70" t="str">
        <f>IF(AF68=$D$4,AF68,IF(OR(IFERROR(VLOOKUP(VLOOKUP($B68, Dependencies!$B$2:$G$230, 2,FALSE),$B$14:AG$73, AG$74,FALSE),"o")=$D$4,IFERROR(VLOOKUP(VLOOKUP($B68, Dependencies!$B$2:$G$230, 3,FALSE),$B$14:AG$73, AG$74,FALSE),"o")=$D$4,IFERROR(VLOOKUP(VLOOKUP($B68, Dependencies!$B$2:$G$230, 4,FALSE),$B$14:AG$73, AG$74,FALSE),"o")=$D$4,IFERROR(VLOOKUP(VLOOKUP($B68, Dependencies!$B$2:$G$230, 5,FALSE),$B$14:AG$73, AG$74,FALSE),"o")=$D$4,IFERROR(VLOOKUP(VLOOKUP($B68, Dependencies!$B$2:$G$230, 6,FALSE),$B$14:AG$73, AG$74,FALSE),"o")=$D$4),$D$4,IF(OR(IFERROR(VLOOKUP(VLOOKUP($B68, Dependencies!$B$2:$G$230, 2,FALSE), $B$14:AG$73, AG$74,FALSE),"o")=$D$5,IFERROR(VLOOKUP(VLOOKUP($B68, Dependencies!$B$2:$G$230, 3,FALSE), $B$14:AG$73, AG$74,FALSE),"o")=$D$5,IFERROR(VLOOKUP(VLOOKUP($B68, Dependencies!$B$2:$G$230, 4,FALSE), $B$14:AG$73, AG$74,FALSE),"o")=$D$5,IFERROR(VLOOKUP(VLOOKUP($B68, Dependencies!$B$2:$G$230, 5,FALSE), $B$14:AG$73, AG$74,FALSE),"o")=$D$5,IFERROR(VLOOKUP(VLOOKUP($B68, Dependencies!$B$2:$G$230, 6,FALSE), $B$14:AG$73, AG$74,FALSE),"o")=$D$5),$D$5,AF68)))</f>
        <v>o</v>
      </c>
      <c r="AH68" s="93" t="s">
        <v>323</v>
      </c>
      <c r="AI68" s="70" t="str">
        <f>IF(AH68=$D$4,AH68,IF(OR(IFERROR(VLOOKUP(VLOOKUP($B68, Dependencies!$B$2:$G$230, 2,FALSE),$B$14:AI$73, AI$74,FALSE),"o")=$D$4,IFERROR(VLOOKUP(VLOOKUP($B68, Dependencies!$B$2:$G$230, 3,FALSE),$B$14:AI$73, AI$74,FALSE),"o")=$D$4,IFERROR(VLOOKUP(VLOOKUP($B68, Dependencies!$B$2:$G$230, 4,FALSE),$B$14:AI$73, AI$74,FALSE),"o")=$D$4,IFERROR(VLOOKUP(VLOOKUP($B68, Dependencies!$B$2:$G$230, 5,FALSE),$B$14:AI$73, AI$74,FALSE),"o")=$D$4,IFERROR(VLOOKUP(VLOOKUP($B68, Dependencies!$B$2:$G$230, 6,FALSE),$B$14:AI$73, AI$74,FALSE),"o")=$D$4),$D$4,IF(OR(IFERROR(VLOOKUP(VLOOKUP($B68, Dependencies!$B$2:$G$230, 2,FALSE), $B$14:AI$73, AI$74,FALSE),"o")=$D$5,IFERROR(VLOOKUP(VLOOKUP($B68, Dependencies!$B$2:$G$230, 3,FALSE), $B$14:AI$73, AI$74,FALSE),"o")=$D$5,IFERROR(VLOOKUP(VLOOKUP($B68, Dependencies!$B$2:$G$230, 4,FALSE), $B$14:AI$73, AI$74,FALSE),"o")=$D$5,IFERROR(VLOOKUP(VLOOKUP($B68, Dependencies!$B$2:$G$230, 5,FALSE), $B$14:AI$73, AI$74,FALSE),"o")=$D$5,IFERROR(VLOOKUP(VLOOKUP($B68, Dependencies!$B$2:$G$230, 6,FALSE), $B$14:AI$73, AI$74,FALSE),"o")=$D$5),$D$5,AH68)))</f>
        <v>o</v>
      </c>
      <c r="AJ68" s="93" t="s">
        <v>323</v>
      </c>
      <c r="AK68" s="70" t="str">
        <f>IF(AJ68=$D$4,AJ68,IF(OR(IFERROR(VLOOKUP(VLOOKUP($B68, Dependencies!$B$2:$G$230, 2,FALSE),$B$14:AK$73, AK$74,FALSE),"o")=$D$4,IFERROR(VLOOKUP(VLOOKUP($B68, Dependencies!$B$2:$G$230, 3,FALSE),$B$14:AK$73, AK$74,FALSE),"o")=$D$4,IFERROR(VLOOKUP(VLOOKUP($B68, Dependencies!$B$2:$G$230, 4,FALSE),$B$14:AK$73, AK$74,FALSE),"o")=$D$4,IFERROR(VLOOKUP(VLOOKUP($B68, Dependencies!$B$2:$G$230, 5,FALSE),$B$14:AK$73, AK$74,FALSE),"o")=$D$4,IFERROR(VLOOKUP(VLOOKUP($B68, Dependencies!$B$2:$G$230, 6,FALSE),$B$14:AK$73, AK$74,FALSE),"o")=$D$4),$D$4,IF(OR(IFERROR(VLOOKUP(VLOOKUP($B68, Dependencies!$B$2:$G$230, 2,FALSE), $B$14:AK$73, AK$74,FALSE),"o")=$D$5,IFERROR(VLOOKUP(VLOOKUP($B68, Dependencies!$B$2:$G$230, 3,FALSE), $B$14:AK$73, AK$74,FALSE),"o")=$D$5,IFERROR(VLOOKUP(VLOOKUP($B68, Dependencies!$B$2:$G$230, 4,FALSE), $B$14:AK$73, AK$74,FALSE),"o")=$D$5,IFERROR(VLOOKUP(VLOOKUP($B68, Dependencies!$B$2:$G$230, 5,FALSE), $B$14:AK$73, AK$74,FALSE),"o")=$D$5,IFERROR(VLOOKUP(VLOOKUP($B68, Dependencies!$B$2:$G$230, 6,FALSE), $B$14:AK$73, AK$74,FALSE),"o")=$D$5),$D$5,AJ68)))</f>
        <v>o</v>
      </c>
      <c r="AL68" s="93" t="s">
        <v>323</v>
      </c>
      <c r="AM68" s="70" t="str">
        <f>IF(AL68=$D$4,AL68,IF(OR(IFERROR(VLOOKUP(VLOOKUP($B68, Dependencies!$B$2:$G$230, 2,FALSE),$B$14:AM$73, AM$74,FALSE),"o")=$D$4,IFERROR(VLOOKUP(VLOOKUP($B68, Dependencies!$B$2:$G$230, 3,FALSE),$B$14:AM$73, AM$74,FALSE),"o")=$D$4,IFERROR(VLOOKUP(VLOOKUP($B68, Dependencies!$B$2:$G$230, 4,FALSE),$B$14:AM$73, AM$74,FALSE),"o")=$D$4,IFERROR(VLOOKUP(VLOOKUP($B68, Dependencies!$B$2:$G$230, 5,FALSE),$B$14:AM$73, AM$74,FALSE),"o")=$D$4,IFERROR(VLOOKUP(VLOOKUP($B68, Dependencies!$B$2:$G$230, 6,FALSE),$B$14:AM$73, AM$74,FALSE),"o")=$D$4),$D$4,IF(OR(IFERROR(VLOOKUP(VLOOKUP($B68, Dependencies!$B$2:$G$230, 2,FALSE), $B$14:AM$73, AM$74,FALSE),"o")=$D$5,IFERROR(VLOOKUP(VLOOKUP($B68, Dependencies!$B$2:$G$230, 3,FALSE), $B$14:AM$73, AM$74,FALSE),"o")=$D$5,IFERROR(VLOOKUP(VLOOKUP($B68, Dependencies!$B$2:$G$230, 4,FALSE), $B$14:AM$73, AM$74,FALSE),"o")=$D$5,IFERROR(VLOOKUP(VLOOKUP($B68, Dependencies!$B$2:$G$230, 5,FALSE), $B$14:AM$73, AM$74,FALSE),"o")=$D$5,IFERROR(VLOOKUP(VLOOKUP($B68, Dependencies!$B$2:$G$230, 6,FALSE), $B$14:AM$73, AM$74,FALSE),"o")=$D$5),$D$5,AL68)))</f>
        <v>o</v>
      </c>
      <c r="AN68" s="93" t="s">
        <v>323</v>
      </c>
      <c r="AO68" s="70" t="str">
        <f>IF(AN68=$D$4,AN68,IF(OR(IFERROR(VLOOKUP(VLOOKUP($B68, Dependencies!$B$2:$G$230, 2,FALSE),$B$14:AO$73, AO$74,FALSE),"o")=$D$4,IFERROR(VLOOKUP(VLOOKUP($B68, Dependencies!$B$2:$G$230, 3,FALSE),$B$14:AO$73, AO$74,FALSE),"o")=$D$4,IFERROR(VLOOKUP(VLOOKUP($B68, Dependencies!$B$2:$G$230, 4,FALSE),$B$14:AO$73, AO$74,FALSE),"o")=$D$4,IFERROR(VLOOKUP(VLOOKUP($B68, Dependencies!$B$2:$G$230, 5,FALSE),$B$14:AO$73, AO$74,FALSE),"o")=$D$4,IFERROR(VLOOKUP(VLOOKUP($B68, Dependencies!$B$2:$G$230, 6,FALSE),$B$14:AO$73, AO$74,FALSE),"o")=$D$4),$D$4,IF(OR(IFERROR(VLOOKUP(VLOOKUP($B68, Dependencies!$B$2:$G$230, 2,FALSE), $B$14:AO$73, AO$74,FALSE),"o")=$D$5,IFERROR(VLOOKUP(VLOOKUP($B68, Dependencies!$B$2:$G$230, 3,FALSE), $B$14:AO$73, AO$74,FALSE),"o")=$D$5,IFERROR(VLOOKUP(VLOOKUP($B68, Dependencies!$B$2:$G$230, 4,FALSE), $B$14:AO$73, AO$74,FALSE),"o")=$D$5,IFERROR(VLOOKUP(VLOOKUP($B68, Dependencies!$B$2:$G$230, 5,FALSE), $B$14:AO$73, AO$74,FALSE),"o")=$D$5,IFERROR(VLOOKUP(VLOOKUP($B68, Dependencies!$B$2:$G$230, 6,FALSE), $B$14:AO$73, AO$74,FALSE),"o")=$D$5),$D$5,AN68)))</f>
        <v>o</v>
      </c>
      <c r="AP68" s="93" t="s">
        <v>323</v>
      </c>
      <c r="AQ68" s="70" t="str">
        <f>IF(AP68=$D$4,AP68,IF(OR(IFERROR(VLOOKUP(VLOOKUP($B68, Dependencies!$B$2:$G$230, 2,FALSE),$B$14:AQ$73, AQ$74,FALSE),"o")=$D$4,IFERROR(VLOOKUP(VLOOKUP($B68, Dependencies!$B$2:$G$230, 3,FALSE),$B$14:AQ$73, AQ$74,FALSE),"o")=$D$4,IFERROR(VLOOKUP(VLOOKUP($B68, Dependencies!$B$2:$G$230, 4,FALSE),$B$14:AQ$73, AQ$74,FALSE),"o")=$D$4,IFERROR(VLOOKUP(VLOOKUP($B68, Dependencies!$B$2:$G$230, 5,FALSE),$B$14:AQ$73, AQ$74,FALSE),"o")=$D$4,IFERROR(VLOOKUP(VLOOKUP($B68, Dependencies!$B$2:$G$230, 6,FALSE),$B$14:AQ$73, AQ$74,FALSE),"o")=$D$4),$D$4,IF(OR(IFERROR(VLOOKUP(VLOOKUP($B68, Dependencies!$B$2:$G$230, 2,FALSE), $B$14:AQ$73, AQ$74,FALSE),"o")=$D$5,IFERROR(VLOOKUP(VLOOKUP($B68, Dependencies!$B$2:$G$230, 3,FALSE), $B$14:AQ$73, AQ$74,FALSE),"o")=$D$5,IFERROR(VLOOKUP(VLOOKUP($B68, Dependencies!$B$2:$G$230, 4,FALSE), $B$14:AQ$73, AQ$74,FALSE),"o")=$D$5,IFERROR(VLOOKUP(VLOOKUP($B68, Dependencies!$B$2:$G$230, 5,FALSE), $B$14:AQ$73, AQ$74,FALSE),"o")=$D$5,IFERROR(VLOOKUP(VLOOKUP($B68, Dependencies!$B$2:$G$230, 6,FALSE), $B$14:AQ$73, AQ$74,FALSE),"o")=$D$5),$D$5,AP68)))</f>
        <v>o</v>
      </c>
      <c r="AR68" s="93" t="s">
        <v>323</v>
      </c>
      <c r="AS68" s="69" t="str">
        <f>IF(AR68=$D$4,AR68,IF(OR(IFERROR(VLOOKUP(VLOOKUP($B68, Dependencies!$B$2:$G$230, 2,FALSE),$B$14:AS$73, AS$74,FALSE),"o")=$D$4,IFERROR(VLOOKUP(VLOOKUP($B68, Dependencies!$B$2:$G$230, 3,FALSE),$B$14:AS$73, AS$74,FALSE),"o")=$D$4,IFERROR(VLOOKUP(VLOOKUP($B68, Dependencies!$B$2:$G$230, 4,FALSE),$B$14:AS$73, AS$74,FALSE),"o")=$D$4,IFERROR(VLOOKUP(VLOOKUP($B68, Dependencies!$B$2:$G$230, 5,FALSE),$B$14:AS$73, AS$74,FALSE),"o")=$D$4,IFERROR(VLOOKUP(VLOOKUP($B68, Dependencies!$B$2:$G$230, 6,FALSE),$B$14:AS$73, AS$74,FALSE),"o")=$D$4),$D$4,IF(OR(IFERROR(VLOOKUP(VLOOKUP($B68, Dependencies!$B$2:$G$230, 2,FALSE), $B$14:AS$73, AS$74,FALSE),"o")=$D$5,IFERROR(VLOOKUP(VLOOKUP($B68, Dependencies!$B$2:$G$230, 3,FALSE), $B$14:AS$73, AS$74,FALSE),"o")=$D$5,IFERROR(VLOOKUP(VLOOKUP($B68, Dependencies!$B$2:$G$230, 4,FALSE), $B$14:AS$73, AS$74,FALSE),"o")=$D$5,IFERROR(VLOOKUP(VLOOKUP($B68, Dependencies!$B$2:$G$230, 5,FALSE), $B$14:AS$73, AS$74,FALSE),"o")=$D$5,IFERROR(VLOOKUP(VLOOKUP($B68, Dependencies!$B$2:$G$230, 6,FALSE), $B$14:AS$73, AS$74,FALSE),"o")=$D$5),$D$5,AR68)))</f>
        <v>o</v>
      </c>
    </row>
    <row r="69" spans="1:45" x14ac:dyDescent="0.2">
      <c r="A69" s="40"/>
      <c r="B69" s="74" t="str">
        <f>MLEOsv2!A57</f>
        <v>MLEO_08_02</v>
      </c>
      <c r="C69" s="74">
        <f>MLEOsv2!C57</f>
        <v>10</v>
      </c>
      <c r="D69" s="44" t="str">
        <f>MLEOsv2!G57</f>
        <v>design, write and execute unit tests using a unit test framework.</v>
      </c>
      <c r="E69" s="68" t="b">
        <f>MLEOsv2!H57</f>
        <v>0</v>
      </c>
      <c r="F69" s="94" t="s">
        <v>323</v>
      </c>
      <c r="G69" s="72" t="str">
        <f>IF(F69=$D$4,F69,IF(OR(IFERROR(VLOOKUP(VLOOKUP($B69, Dependencies!$B$2:$G$230, 2,FALSE),$B$14:G$73, G$74,FALSE),"o")=$D$4,IFERROR(VLOOKUP(VLOOKUP($B69, Dependencies!$B$2:$G$230, 3,FALSE),$B$14:G$73, G$74,FALSE),"o")=$D$4,IFERROR(VLOOKUP(VLOOKUP($B69, Dependencies!$B$2:$G$230, 4,FALSE),$B$14:G$73, G$74,FALSE),"o")=$D$4,IFERROR(VLOOKUP(VLOOKUP($B69, Dependencies!$B$2:$G$230, 5,FALSE),$B$14:G$73, G$74,FALSE),"o")=$D$4,IFERROR(VLOOKUP(VLOOKUP($B69, Dependencies!$B$2:$G$230, 6,FALSE),$B$14:G$73, G$74,FALSE),"o")=$D$4),$D$4,IF(OR(IFERROR(VLOOKUP(VLOOKUP($B69, Dependencies!$B$2:$G$230, 2,FALSE), $B$14:G$73, G$74,FALSE),"o")=$D$5,IFERROR(VLOOKUP(VLOOKUP($B69, Dependencies!$B$2:$G$230, 3,FALSE), $B$14:G$73, G$74,FALSE),"o")=$D$5,IFERROR(VLOOKUP(VLOOKUP($B69, Dependencies!$B$2:$G$230, 4,FALSE), $B$14:G$73, G$74,FALSE),"o")=$D$5,IFERROR(VLOOKUP(VLOOKUP($B69, Dependencies!$B$2:$G$230, 5,FALSE), $B$14:G$73, G$74,FALSE),"o")=$D$5,IFERROR(VLOOKUP(VLOOKUP($B69, Dependencies!$B$2:$G$230, 6,FALSE), $B$14:G$73, G$74,FALSE),"o")=$D$5),$D$5,F69)))</f>
        <v>o</v>
      </c>
      <c r="H69" s="94" t="s">
        <v>321</v>
      </c>
      <c r="I69" s="72" t="str">
        <f>IF(H69=$D$4,H69,IF(OR(IFERROR(VLOOKUP(VLOOKUP($B69, Dependencies!$B$2:$G$230, 2,FALSE),$B$14:I$73, I$74,FALSE),"o")=$D$4,IFERROR(VLOOKUP(VLOOKUP($B69, Dependencies!$B$2:$G$230, 3,FALSE),$B$14:I$73, I$74,FALSE),"o")=$D$4,IFERROR(VLOOKUP(VLOOKUP($B69, Dependencies!$B$2:$G$230, 4,FALSE),$B$14:I$73, I$74,FALSE),"o")=$D$4,IFERROR(VLOOKUP(VLOOKUP($B69, Dependencies!$B$2:$G$230, 5,FALSE),$B$14:I$73, I$74,FALSE),"o")=$D$4,IFERROR(VLOOKUP(VLOOKUP($B69, Dependencies!$B$2:$G$230, 6,FALSE),$B$14:I$73, I$74,FALSE),"o")=$D$4),$D$4,IF(OR(IFERROR(VLOOKUP(VLOOKUP($B69, Dependencies!$B$2:$G$230, 2,FALSE), $B$14:I$73, I$74,FALSE),"o")=$D$5,IFERROR(VLOOKUP(VLOOKUP($B69, Dependencies!$B$2:$G$230, 3,FALSE), $B$14:I$73, I$74,FALSE),"o")=$D$5,IFERROR(VLOOKUP(VLOOKUP($B69, Dependencies!$B$2:$G$230, 4,FALSE), $B$14:I$73, I$74,FALSE),"o")=$D$5,IFERROR(VLOOKUP(VLOOKUP($B69, Dependencies!$B$2:$G$230, 5,FALSE), $B$14:I$73, I$74,FALSE),"o")=$D$5,IFERROR(VLOOKUP(VLOOKUP($B69, Dependencies!$B$2:$G$230, 6,FALSE), $B$14:I$73, I$74,FALSE),"o")=$D$5),$D$5,H69)))</f>
        <v>pr</v>
      </c>
      <c r="J69" s="94" t="s">
        <v>320</v>
      </c>
      <c r="K69" s="72" t="str">
        <f>IF(J69=$D$4,J69,IF(OR(IFERROR(VLOOKUP(VLOOKUP($B69, Dependencies!$B$2:$G$230, 2,FALSE),$B$14:K$73, K$74,FALSE),"o")=$D$4,IFERROR(VLOOKUP(VLOOKUP($B69, Dependencies!$B$2:$G$230, 3,FALSE),$B$14:K$73, K$74,FALSE),"o")=$D$4,IFERROR(VLOOKUP(VLOOKUP($B69, Dependencies!$B$2:$G$230, 4,FALSE),$B$14:K$73, K$74,FALSE),"o")=$D$4,IFERROR(VLOOKUP(VLOOKUP($B69, Dependencies!$B$2:$G$230, 5,FALSE),$B$14:K$73, K$74,FALSE),"o")=$D$4,IFERROR(VLOOKUP(VLOOKUP($B69, Dependencies!$B$2:$G$230, 6,FALSE),$B$14:K$73, K$74,FALSE),"o")=$D$4),$D$4,IF(OR(IFERROR(VLOOKUP(VLOOKUP($B69, Dependencies!$B$2:$G$230, 2,FALSE), $B$14:K$73, K$74,FALSE),"o")=$D$5,IFERROR(VLOOKUP(VLOOKUP($B69, Dependencies!$B$2:$G$230, 3,FALSE), $B$14:K$73, K$74,FALSE),"o")=$D$5,IFERROR(VLOOKUP(VLOOKUP($B69, Dependencies!$B$2:$G$230, 4,FALSE), $B$14:K$73, K$74,FALSE),"o")=$D$5,IFERROR(VLOOKUP(VLOOKUP($B69, Dependencies!$B$2:$G$230, 5,FALSE), $B$14:K$73, K$74,FALSE),"o")=$D$5,IFERROR(VLOOKUP(VLOOKUP($B69, Dependencies!$B$2:$G$230, 6,FALSE), $B$14:K$73, K$74,FALSE),"o")=$D$5),$D$5,J69)))</f>
        <v>r</v>
      </c>
      <c r="L69" s="94" t="s">
        <v>323</v>
      </c>
      <c r="M69" s="72" t="str">
        <f>IF(L69=$D$4,L69,IF(OR(IFERROR(VLOOKUP(VLOOKUP($B69, Dependencies!$B$2:$G$230, 2,FALSE),$B$14:M$73, M$74,FALSE),"o")=$D$4,IFERROR(VLOOKUP(VLOOKUP($B69, Dependencies!$B$2:$G$230, 3,FALSE),$B$14:M$73, M$74,FALSE),"o")=$D$4,IFERROR(VLOOKUP(VLOOKUP($B69, Dependencies!$B$2:$G$230, 4,FALSE),$B$14:M$73, M$74,FALSE),"o")=$D$4,IFERROR(VLOOKUP(VLOOKUP($B69, Dependencies!$B$2:$G$230, 5,FALSE),$B$14:M$73, M$74,FALSE),"o")=$D$4,IFERROR(VLOOKUP(VLOOKUP($B69, Dependencies!$B$2:$G$230, 6,FALSE),$B$14:M$73, M$74,FALSE),"o")=$D$4),$D$4,IF(OR(IFERROR(VLOOKUP(VLOOKUP($B69, Dependencies!$B$2:$G$230, 2,FALSE), $B$14:M$73, M$74,FALSE),"o")=$D$5,IFERROR(VLOOKUP(VLOOKUP($B69, Dependencies!$B$2:$G$230, 3,FALSE), $B$14:M$73, M$74,FALSE),"o")=$D$5,IFERROR(VLOOKUP(VLOOKUP($B69, Dependencies!$B$2:$G$230, 4,FALSE), $B$14:M$73, M$74,FALSE),"o")=$D$5,IFERROR(VLOOKUP(VLOOKUP($B69, Dependencies!$B$2:$G$230, 5,FALSE), $B$14:M$73, M$74,FALSE),"o")=$D$5,IFERROR(VLOOKUP(VLOOKUP($B69, Dependencies!$B$2:$G$230, 6,FALSE), $B$14:M$73, M$74,FALSE),"o")=$D$5),$D$5,L69)))</f>
        <v>o</v>
      </c>
      <c r="N69" s="94" t="s">
        <v>323</v>
      </c>
      <c r="O69" s="72" t="str">
        <f>IF(N69=$D$4,N69,IF(OR(IFERROR(VLOOKUP(VLOOKUP($B69, Dependencies!$B$2:$G$230, 2,FALSE),$B$14:O$73, O$74,FALSE),"o")=$D$4,IFERROR(VLOOKUP(VLOOKUP($B69, Dependencies!$B$2:$G$230, 3,FALSE),$B$14:O$73, O$74,FALSE),"o")=$D$4,IFERROR(VLOOKUP(VLOOKUP($B69, Dependencies!$B$2:$G$230, 4,FALSE),$B$14:O$73, O$74,FALSE),"o")=$D$4,IFERROR(VLOOKUP(VLOOKUP($B69, Dependencies!$B$2:$G$230, 5,FALSE),$B$14:O$73, O$74,FALSE),"o")=$D$4,IFERROR(VLOOKUP(VLOOKUP($B69, Dependencies!$B$2:$G$230, 6,FALSE),$B$14:O$73, O$74,FALSE),"o")=$D$4),$D$4,IF(OR(IFERROR(VLOOKUP(VLOOKUP($B69, Dependencies!$B$2:$G$230, 2,FALSE), $B$14:O$73, O$74,FALSE),"o")=$D$5,IFERROR(VLOOKUP(VLOOKUP($B69, Dependencies!$B$2:$G$230, 3,FALSE), $B$14:O$73, O$74,FALSE),"o")=$D$5,IFERROR(VLOOKUP(VLOOKUP($B69, Dependencies!$B$2:$G$230, 4,FALSE), $B$14:O$73, O$74,FALSE),"o")=$D$5,IFERROR(VLOOKUP(VLOOKUP($B69, Dependencies!$B$2:$G$230, 5,FALSE), $B$14:O$73, O$74,FALSE),"o")=$D$5,IFERROR(VLOOKUP(VLOOKUP($B69, Dependencies!$B$2:$G$230, 6,FALSE), $B$14:O$73, O$74,FALSE),"o")=$D$5),$D$5,N69)))</f>
        <v>o</v>
      </c>
      <c r="P69" s="94" t="s">
        <v>323</v>
      </c>
      <c r="Q69" s="72" t="str">
        <f>IF(P69=$D$4,P69,IF(OR(IFERROR(VLOOKUP(VLOOKUP($B69, Dependencies!$B$2:$G$230, 2,FALSE),$B$14:Q$73, Q$74,FALSE),"o")=$D$4,IFERROR(VLOOKUP(VLOOKUP($B69, Dependencies!$B$2:$G$230, 3,FALSE),$B$14:Q$73, Q$74,FALSE),"o")=$D$4,IFERROR(VLOOKUP(VLOOKUP($B69, Dependencies!$B$2:$G$230, 4,FALSE),$B$14:Q$73, Q$74,FALSE),"o")=$D$4,IFERROR(VLOOKUP(VLOOKUP($B69, Dependencies!$B$2:$G$230, 5,FALSE),$B$14:Q$73, Q$74,FALSE),"o")=$D$4,IFERROR(VLOOKUP(VLOOKUP($B69, Dependencies!$B$2:$G$230, 6,FALSE),$B$14:Q$73, Q$74,FALSE),"o")=$D$4),$D$4,IF(OR(IFERROR(VLOOKUP(VLOOKUP($B69, Dependencies!$B$2:$G$230, 2,FALSE), $B$14:Q$73, Q$74,FALSE),"o")=$D$5,IFERROR(VLOOKUP(VLOOKUP($B69, Dependencies!$B$2:$G$230, 3,FALSE), $B$14:Q$73, Q$74,FALSE),"o")=$D$5,IFERROR(VLOOKUP(VLOOKUP($B69, Dependencies!$B$2:$G$230, 4,FALSE), $B$14:Q$73, Q$74,FALSE),"o")=$D$5,IFERROR(VLOOKUP(VLOOKUP($B69, Dependencies!$B$2:$G$230, 5,FALSE), $B$14:Q$73, Q$74,FALSE),"o")=$D$5,IFERROR(VLOOKUP(VLOOKUP($B69, Dependencies!$B$2:$G$230, 6,FALSE), $B$14:Q$73, Q$74,FALSE),"o")=$D$5),$D$5,P69)))</f>
        <v>o</v>
      </c>
      <c r="R69" s="94" t="s">
        <v>323</v>
      </c>
      <c r="S69" s="72" t="str">
        <f>IF(R69=$D$4,R69,IF(OR(IFERROR(VLOOKUP(VLOOKUP($B69, Dependencies!$B$2:$G$230, 2,FALSE),$B$14:S$73, S$74,FALSE),"o")=$D$4,IFERROR(VLOOKUP(VLOOKUP($B69, Dependencies!$B$2:$G$230, 3,FALSE),$B$14:S$73, S$74,FALSE),"o")=$D$4,IFERROR(VLOOKUP(VLOOKUP($B69, Dependencies!$B$2:$G$230, 4,FALSE),$B$14:S$73, S$74,FALSE),"o")=$D$4,IFERROR(VLOOKUP(VLOOKUP($B69, Dependencies!$B$2:$G$230, 5,FALSE),$B$14:S$73, S$74,FALSE),"o")=$D$4,IFERROR(VLOOKUP(VLOOKUP($B69, Dependencies!$B$2:$G$230, 6,FALSE),$B$14:S$73, S$74,FALSE),"o")=$D$4),$D$4,IF(OR(IFERROR(VLOOKUP(VLOOKUP($B69, Dependencies!$B$2:$G$230, 2,FALSE), $B$14:S$73, S$74,FALSE),"o")=$D$5,IFERROR(VLOOKUP(VLOOKUP($B69, Dependencies!$B$2:$G$230, 3,FALSE), $B$14:S$73, S$74,FALSE),"o")=$D$5,IFERROR(VLOOKUP(VLOOKUP($B69, Dependencies!$B$2:$G$230, 4,FALSE), $B$14:S$73, S$74,FALSE),"o")=$D$5,IFERROR(VLOOKUP(VLOOKUP($B69, Dependencies!$B$2:$G$230, 5,FALSE), $B$14:S$73, S$74,FALSE),"o")=$D$5,IFERROR(VLOOKUP(VLOOKUP($B69, Dependencies!$B$2:$G$230, 6,FALSE), $B$14:S$73, S$74,FALSE),"o")=$D$5),$D$5,R69)))</f>
        <v>o</v>
      </c>
      <c r="T69" s="94" t="s">
        <v>323</v>
      </c>
      <c r="U69" s="72" t="str">
        <f>IF(T69=$D$4,T69,IF(OR(IFERROR(VLOOKUP(VLOOKUP($B69, Dependencies!$B$2:$G$230, 2,FALSE),$B$14:U$73, U$74,FALSE),"o")=$D$4,IFERROR(VLOOKUP(VLOOKUP($B69, Dependencies!$B$2:$G$230, 3,FALSE),$B$14:U$73, U$74,FALSE),"o")=$D$4,IFERROR(VLOOKUP(VLOOKUP($B69, Dependencies!$B$2:$G$230, 4,FALSE),$B$14:U$73, U$74,FALSE),"o")=$D$4,IFERROR(VLOOKUP(VLOOKUP($B69, Dependencies!$B$2:$G$230, 5,FALSE),$B$14:U$73, U$74,FALSE),"o")=$D$4,IFERROR(VLOOKUP(VLOOKUP($B69, Dependencies!$B$2:$G$230, 6,FALSE),$B$14:U$73, U$74,FALSE),"o")=$D$4),$D$4,IF(OR(IFERROR(VLOOKUP(VLOOKUP($B69, Dependencies!$B$2:$G$230, 2,FALSE), $B$14:U$73, U$74,FALSE),"o")=$D$5,IFERROR(VLOOKUP(VLOOKUP($B69, Dependencies!$B$2:$G$230, 3,FALSE), $B$14:U$73, U$74,FALSE),"o")=$D$5,IFERROR(VLOOKUP(VLOOKUP($B69, Dependencies!$B$2:$G$230, 4,FALSE), $B$14:U$73, U$74,FALSE),"o")=$D$5,IFERROR(VLOOKUP(VLOOKUP($B69, Dependencies!$B$2:$G$230, 5,FALSE), $B$14:U$73, U$74,FALSE),"o")=$D$5,IFERROR(VLOOKUP(VLOOKUP($B69, Dependencies!$B$2:$G$230, 6,FALSE), $B$14:U$73, U$74,FALSE),"o")=$D$5),$D$5,T69)))</f>
        <v>o</v>
      </c>
      <c r="V69" s="94" t="s">
        <v>323</v>
      </c>
      <c r="W69" s="72" t="str">
        <f>IF(V69=$D$4,V69,IF(OR(IFERROR(VLOOKUP(VLOOKUP($B69, Dependencies!$B$2:$G$230, 2,FALSE),$B$14:W$73, W$74,FALSE),"o")=$D$4,IFERROR(VLOOKUP(VLOOKUP($B69, Dependencies!$B$2:$G$230, 3,FALSE),$B$14:W$73, W$74,FALSE),"o")=$D$4,IFERROR(VLOOKUP(VLOOKUP($B69, Dependencies!$B$2:$G$230, 4,FALSE),$B$14:W$73, W$74,FALSE),"o")=$D$4,IFERROR(VLOOKUP(VLOOKUP($B69, Dependencies!$B$2:$G$230, 5,FALSE),$B$14:W$73, W$74,FALSE),"o")=$D$4,IFERROR(VLOOKUP(VLOOKUP($B69, Dependencies!$B$2:$G$230, 6,FALSE),$B$14:W$73, W$74,FALSE),"o")=$D$4),$D$4,IF(OR(IFERROR(VLOOKUP(VLOOKUP($B69, Dependencies!$B$2:$G$230, 2,FALSE), $B$14:W$73, W$74,FALSE),"o")=$D$5,IFERROR(VLOOKUP(VLOOKUP($B69, Dependencies!$B$2:$G$230, 3,FALSE), $B$14:W$73, W$74,FALSE),"o")=$D$5,IFERROR(VLOOKUP(VLOOKUP($B69, Dependencies!$B$2:$G$230, 4,FALSE), $B$14:W$73, W$74,FALSE),"o")=$D$5,IFERROR(VLOOKUP(VLOOKUP($B69, Dependencies!$B$2:$G$230, 5,FALSE), $B$14:W$73, W$74,FALSE),"o")=$D$5,IFERROR(VLOOKUP(VLOOKUP($B69, Dependencies!$B$2:$G$230, 6,FALSE), $B$14:W$73, W$74,FALSE),"o")=$D$5),$D$5,V69)))</f>
        <v>o</v>
      </c>
      <c r="X69" s="94" t="s">
        <v>323</v>
      </c>
      <c r="Y69" s="72" t="str">
        <f>IF(X69=$D$4,X69,IF(OR(IFERROR(VLOOKUP(VLOOKUP($B69, Dependencies!$B$2:$G$230, 2,FALSE),$B$14:Y$73, Y$74,FALSE),"o")=$D$4,IFERROR(VLOOKUP(VLOOKUP($B69, Dependencies!$B$2:$G$230, 3,FALSE),$B$14:Y$73, Y$74,FALSE),"o")=$D$4,IFERROR(VLOOKUP(VLOOKUP($B69, Dependencies!$B$2:$G$230, 4,FALSE),$B$14:Y$73, Y$74,FALSE),"o")=$D$4,IFERROR(VLOOKUP(VLOOKUP($B69, Dependencies!$B$2:$G$230, 5,FALSE),$B$14:Y$73, Y$74,FALSE),"o")=$D$4,IFERROR(VLOOKUP(VLOOKUP($B69, Dependencies!$B$2:$G$230, 6,FALSE),$B$14:Y$73, Y$74,FALSE),"o")=$D$4),$D$4,IF(OR(IFERROR(VLOOKUP(VLOOKUP($B69, Dependencies!$B$2:$G$230, 2,FALSE), $B$14:Y$73, Y$74,FALSE),"o")=$D$5,IFERROR(VLOOKUP(VLOOKUP($B69, Dependencies!$B$2:$G$230, 3,FALSE), $B$14:Y$73, Y$74,FALSE),"o")=$D$5,IFERROR(VLOOKUP(VLOOKUP($B69, Dependencies!$B$2:$G$230, 4,FALSE), $B$14:Y$73, Y$74,FALSE),"o")=$D$5,IFERROR(VLOOKUP(VLOOKUP($B69, Dependencies!$B$2:$G$230, 5,FALSE), $B$14:Y$73, Y$74,FALSE),"o")=$D$5,IFERROR(VLOOKUP(VLOOKUP($B69, Dependencies!$B$2:$G$230, 6,FALSE), $B$14:Y$73, Y$74,FALSE),"o")=$D$5),$D$5,X69)))</f>
        <v>o</v>
      </c>
      <c r="Z69" s="94" t="s">
        <v>323</v>
      </c>
      <c r="AA69" s="72" t="str">
        <f>IF(Z69=$D$4,Z69,IF(OR(IFERROR(VLOOKUP(VLOOKUP($B69, Dependencies!$B$2:$G$230, 2,FALSE),$B$14:AA$73, AA$74,FALSE),"o")=$D$4,IFERROR(VLOOKUP(VLOOKUP($B69, Dependencies!$B$2:$G$230, 3,FALSE),$B$14:AA$73, AA$74,FALSE),"o")=$D$4,IFERROR(VLOOKUP(VLOOKUP($B69, Dependencies!$B$2:$G$230, 4,FALSE),$B$14:AA$73, AA$74,FALSE),"o")=$D$4,IFERROR(VLOOKUP(VLOOKUP($B69, Dependencies!$B$2:$G$230, 5,FALSE),$B$14:AA$73, AA$74,FALSE),"o")=$D$4,IFERROR(VLOOKUP(VLOOKUP($B69, Dependencies!$B$2:$G$230, 6,FALSE),$B$14:AA$73, AA$74,FALSE),"o")=$D$4),$D$4,IF(OR(IFERROR(VLOOKUP(VLOOKUP($B69, Dependencies!$B$2:$G$230, 2,FALSE), $B$14:AA$73, AA$74,FALSE),"o")=$D$5,IFERROR(VLOOKUP(VLOOKUP($B69, Dependencies!$B$2:$G$230, 3,FALSE), $B$14:AA$73, AA$74,FALSE),"o")=$D$5,IFERROR(VLOOKUP(VLOOKUP($B69, Dependencies!$B$2:$G$230, 4,FALSE), $B$14:AA$73, AA$74,FALSE),"o")=$D$5,IFERROR(VLOOKUP(VLOOKUP($B69, Dependencies!$B$2:$G$230, 5,FALSE), $B$14:AA$73, AA$74,FALSE),"o")=$D$5,IFERROR(VLOOKUP(VLOOKUP($B69, Dependencies!$B$2:$G$230, 6,FALSE), $B$14:AA$73, AA$74,FALSE),"o")=$D$5),$D$5,Z69)))</f>
        <v>o</v>
      </c>
      <c r="AB69" s="94" t="s">
        <v>323</v>
      </c>
      <c r="AC69" s="72" t="str">
        <f>IF(AB69=$D$4,AB69,IF(OR(IFERROR(VLOOKUP(VLOOKUP($B69, Dependencies!$B$2:$G$230, 2,FALSE),$B$14:AC$73, AC$74,FALSE),"o")=$D$4,IFERROR(VLOOKUP(VLOOKUP($B69, Dependencies!$B$2:$G$230, 3,FALSE),$B$14:AC$73, AC$74,FALSE),"o")=$D$4,IFERROR(VLOOKUP(VLOOKUP($B69, Dependencies!$B$2:$G$230, 4,FALSE),$B$14:AC$73, AC$74,FALSE),"o")=$D$4,IFERROR(VLOOKUP(VLOOKUP($B69, Dependencies!$B$2:$G$230, 5,FALSE),$B$14:AC$73, AC$74,FALSE),"o")=$D$4,IFERROR(VLOOKUP(VLOOKUP($B69, Dependencies!$B$2:$G$230, 6,FALSE),$B$14:AC$73, AC$74,FALSE),"o")=$D$4),$D$4,IF(OR(IFERROR(VLOOKUP(VLOOKUP($B69, Dependencies!$B$2:$G$230, 2,FALSE), $B$14:AC$73, AC$74,FALSE),"o")=$D$5,IFERROR(VLOOKUP(VLOOKUP($B69, Dependencies!$B$2:$G$230, 3,FALSE), $B$14:AC$73, AC$74,FALSE),"o")=$D$5,IFERROR(VLOOKUP(VLOOKUP($B69, Dependencies!$B$2:$G$230, 4,FALSE), $B$14:AC$73, AC$74,FALSE),"o")=$D$5,IFERROR(VLOOKUP(VLOOKUP($B69, Dependencies!$B$2:$G$230, 5,FALSE), $B$14:AC$73, AC$74,FALSE),"o")=$D$5,IFERROR(VLOOKUP(VLOOKUP($B69, Dependencies!$B$2:$G$230, 6,FALSE), $B$14:AC$73, AC$74,FALSE),"o")=$D$5),$D$5,AB69)))</f>
        <v>o</v>
      </c>
      <c r="AD69" s="94" t="s">
        <v>323</v>
      </c>
      <c r="AE69" s="72" t="str">
        <f>IF(AD69=$D$4,AD69,IF(OR(IFERROR(VLOOKUP(VLOOKUP($B69, Dependencies!$B$2:$G$230, 2,FALSE),$B$14:AE$73, AE$74,FALSE),"o")=$D$4,IFERROR(VLOOKUP(VLOOKUP($B69, Dependencies!$B$2:$G$230, 3,FALSE),$B$14:AE$73, AE$74,FALSE),"o")=$D$4,IFERROR(VLOOKUP(VLOOKUP($B69, Dependencies!$B$2:$G$230, 4,FALSE),$B$14:AE$73, AE$74,FALSE),"o")=$D$4,IFERROR(VLOOKUP(VLOOKUP($B69, Dependencies!$B$2:$G$230, 5,FALSE),$B$14:AE$73, AE$74,FALSE),"o")=$D$4,IFERROR(VLOOKUP(VLOOKUP($B69, Dependencies!$B$2:$G$230, 6,FALSE),$B$14:AE$73, AE$74,FALSE),"o")=$D$4),$D$4,IF(OR(IFERROR(VLOOKUP(VLOOKUP($B69, Dependencies!$B$2:$G$230, 2,FALSE), $B$14:AE$73, AE$74,FALSE),"o")=$D$5,IFERROR(VLOOKUP(VLOOKUP($B69, Dependencies!$B$2:$G$230, 3,FALSE), $B$14:AE$73, AE$74,FALSE),"o")=$D$5,IFERROR(VLOOKUP(VLOOKUP($B69, Dependencies!$B$2:$G$230, 4,FALSE), $B$14:AE$73, AE$74,FALSE),"o")=$D$5,IFERROR(VLOOKUP(VLOOKUP($B69, Dependencies!$B$2:$G$230, 5,FALSE), $B$14:AE$73, AE$74,FALSE),"o")=$D$5,IFERROR(VLOOKUP(VLOOKUP($B69, Dependencies!$B$2:$G$230, 6,FALSE), $B$14:AE$73, AE$74,FALSE),"o")=$D$5),$D$5,AD69)))</f>
        <v>o</v>
      </c>
      <c r="AF69" s="94" t="s">
        <v>323</v>
      </c>
      <c r="AG69" s="72" t="str">
        <f>IF(AF69=$D$4,AF69,IF(OR(IFERROR(VLOOKUP(VLOOKUP($B69, Dependencies!$B$2:$G$230, 2,FALSE),$B$14:AG$73, AG$74,FALSE),"o")=$D$4,IFERROR(VLOOKUP(VLOOKUP($B69, Dependencies!$B$2:$G$230, 3,FALSE),$B$14:AG$73, AG$74,FALSE),"o")=$D$4,IFERROR(VLOOKUP(VLOOKUP($B69, Dependencies!$B$2:$G$230, 4,FALSE),$B$14:AG$73, AG$74,FALSE),"o")=$D$4,IFERROR(VLOOKUP(VLOOKUP($B69, Dependencies!$B$2:$G$230, 5,FALSE),$B$14:AG$73, AG$74,FALSE),"o")=$D$4,IFERROR(VLOOKUP(VLOOKUP($B69, Dependencies!$B$2:$G$230, 6,FALSE),$B$14:AG$73, AG$74,FALSE),"o")=$D$4),$D$4,IF(OR(IFERROR(VLOOKUP(VLOOKUP($B69, Dependencies!$B$2:$G$230, 2,FALSE), $B$14:AG$73, AG$74,FALSE),"o")=$D$5,IFERROR(VLOOKUP(VLOOKUP($B69, Dependencies!$B$2:$G$230, 3,FALSE), $B$14:AG$73, AG$74,FALSE),"o")=$D$5,IFERROR(VLOOKUP(VLOOKUP($B69, Dependencies!$B$2:$G$230, 4,FALSE), $B$14:AG$73, AG$74,FALSE),"o")=$D$5,IFERROR(VLOOKUP(VLOOKUP($B69, Dependencies!$B$2:$G$230, 5,FALSE), $B$14:AG$73, AG$74,FALSE),"o")=$D$5,IFERROR(VLOOKUP(VLOOKUP($B69, Dependencies!$B$2:$G$230, 6,FALSE), $B$14:AG$73, AG$74,FALSE),"o")=$D$5),$D$5,AF69)))</f>
        <v>o</v>
      </c>
      <c r="AH69" s="94" t="s">
        <v>323</v>
      </c>
      <c r="AI69" s="72" t="str">
        <f>IF(AH69=$D$4,AH69,IF(OR(IFERROR(VLOOKUP(VLOOKUP($B69, Dependencies!$B$2:$G$230, 2,FALSE),$B$14:AI$73, AI$74,FALSE),"o")=$D$4,IFERROR(VLOOKUP(VLOOKUP($B69, Dependencies!$B$2:$G$230, 3,FALSE),$B$14:AI$73, AI$74,FALSE),"o")=$D$4,IFERROR(VLOOKUP(VLOOKUP($B69, Dependencies!$B$2:$G$230, 4,FALSE),$B$14:AI$73, AI$74,FALSE),"o")=$D$4,IFERROR(VLOOKUP(VLOOKUP($B69, Dependencies!$B$2:$G$230, 5,FALSE),$B$14:AI$73, AI$74,FALSE),"o")=$D$4,IFERROR(VLOOKUP(VLOOKUP($B69, Dependencies!$B$2:$G$230, 6,FALSE),$B$14:AI$73, AI$74,FALSE),"o")=$D$4),$D$4,IF(OR(IFERROR(VLOOKUP(VLOOKUP($B69, Dependencies!$B$2:$G$230, 2,FALSE), $B$14:AI$73, AI$74,FALSE),"o")=$D$5,IFERROR(VLOOKUP(VLOOKUP($B69, Dependencies!$B$2:$G$230, 3,FALSE), $B$14:AI$73, AI$74,FALSE),"o")=$D$5,IFERROR(VLOOKUP(VLOOKUP($B69, Dependencies!$B$2:$G$230, 4,FALSE), $B$14:AI$73, AI$74,FALSE),"o")=$D$5,IFERROR(VLOOKUP(VLOOKUP($B69, Dependencies!$B$2:$G$230, 5,FALSE), $B$14:AI$73, AI$74,FALSE),"o")=$D$5,IFERROR(VLOOKUP(VLOOKUP($B69, Dependencies!$B$2:$G$230, 6,FALSE), $B$14:AI$73, AI$74,FALSE),"o")=$D$5),$D$5,AH69)))</f>
        <v>o</v>
      </c>
      <c r="AJ69" s="94" t="s">
        <v>323</v>
      </c>
      <c r="AK69" s="72" t="str">
        <f>IF(AJ69=$D$4,AJ69,IF(OR(IFERROR(VLOOKUP(VLOOKUP($B69, Dependencies!$B$2:$G$230, 2,FALSE),$B$14:AK$73, AK$74,FALSE),"o")=$D$4,IFERROR(VLOOKUP(VLOOKUP($B69, Dependencies!$B$2:$G$230, 3,FALSE),$B$14:AK$73, AK$74,FALSE),"o")=$D$4,IFERROR(VLOOKUP(VLOOKUP($B69, Dependencies!$B$2:$G$230, 4,FALSE),$B$14:AK$73, AK$74,FALSE),"o")=$D$4,IFERROR(VLOOKUP(VLOOKUP($B69, Dependencies!$B$2:$G$230, 5,FALSE),$B$14:AK$73, AK$74,FALSE),"o")=$D$4,IFERROR(VLOOKUP(VLOOKUP($B69, Dependencies!$B$2:$G$230, 6,FALSE),$B$14:AK$73, AK$74,FALSE),"o")=$D$4),$D$4,IF(OR(IFERROR(VLOOKUP(VLOOKUP($B69, Dependencies!$B$2:$G$230, 2,FALSE), $B$14:AK$73, AK$74,FALSE),"o")=$D$5,IFERROR(VLOOKUP(VLOOKUP($B69, Dependencies!$B$2:$G$230, 3,FALSE), $B$14:AK$73, AK$74,FALSE),"o")=$D$5,IFERROR(VLOOKUP(VLOOKUP($B69, Dependencies!$B$2:$G$230, 4,FALSE), $B$14:AK$73, AK$74,FALSE),"o")=$D$5,IFERROR(VLOOKUP(VLOOKUP($B69, Dependencies!$B$2:$G$230, 5,FALSE), $B$14:AK$73, AK$74,FALSE),"o")=$D$5,IFERROR(VLOOKUP(VLOOKUP($B69, Dependencies!$B$2:$G$230, 6,FALSE), $B$14:AK$73, AK$74,FALSE),"o")=$D$5),$D$5,AJ69)))</f>
        <v>o</v>
      </c>
      <c r="AL69" s="94" t="s">
        <v>323</v>
      </c>
      <c r="AM69" s="72" t="str">
        <f>IF(AL69=$D$4,AL69,IF(OR(IFERROR(VLOOKUP(VLOOKUP($B69, Dependencies!$B$2:$G$230, 2,FALSE),$B$14:AM$73, AM$74,FALSE),"o")=$D$4,IFERROR(VLOOKUP(VLOOKUP($B69, Dependencies!$B$2:$G$230, 3,FALSE),$B$14:AM$73, AM$74,FALSE),"o")=$D$4,IFERROR(VLOOKUP(VLOOKUP($B69, Dependencies!$B$2:$G$230, 4,FALSE),$B$14:AM$73, AM$74,FALSE),"o")=$D$4,IFERROR(VLOOKUP(VLOOKUP($B69, Dependencies!$B$2:$G$230, 5,FALSE),$B$14:AM$73, AM$74,FALSE),"o")=$D$4,IFERROR(VLOOKUP(VLOOKUP($B69, Dependencies!$B$2:$G$230, 6,FALSE),$B$14:AM$73, AM$74,FALSE),"o")=$D$4),$D$4,IF(OR(IFERROR(VLOOKUP(VLOOKUP($B69, Dependencies!$B$2:$G$230, 2,FALSE), $B$14:AM$73, AM$74,FALSE),"o")=$D$5,IFERROR(VLOOKUP(VLOOKUP($B69, Dependencies!$B$2:$G$230, 3,FALSE), $B$14:AM$73, AM$74,FALSE),"o")=$D$5,IFERROR(VLOOKUP(VLOOKUP($B69, Dependencies!$B$2:$G$230, 4,FALSE), $B$14:AM$73, AM$74,FALSE),"o")=$D$5,IFERROR(VLOOKUP(VLOOKUP($B69, Dependencies!$B$2:$G$230, 5,FALSE), $B$14:AM$73, AM$74,FALSE),"o")=$D$5,IFERROR(VLOOKUP(VLOOKUP($B69, Dependencies!$B$2:$G$230, 6,FALSE), $B$14:AM$73, AM$74,FALSE),"o")=$D$5),$D$5,AL69)))</f>
        <v>o</v>
      </c>
      <c r="AN69" s="94" t="s">
        <v>323</v>
      </c>
      <c r="AO69" s="72" t="str">
        <f>IF(AN69=$D$4,AN69,IF(OR(IFERROR(VLOOKUP(VLOOKUP($B69, Dependencies!$B$2:$G$230, 2,FALSE),$B$14:AO$73, AO$74,FALSE),"o")=$D$4,IFERROR(VLOOKUP(VLOOKUP($B69, Dependencies!$B$2:$G$230, 3,FALSE),$B$14:AO$73, AO$74,FALSE),"o")=$D$4,IFERROR(VLOOKUP(VLOOKUP($B69, Dependencies!$B$2:$G$230, 4,FALSE),$B$14:AO$73, AO$74,FALSE),"o")=$D$4,IFERROR(VLOOKUP(VLOOKUP($B69, Dependencies!$B$2:$G$230, 5,FALSE),$B$14:AO$73, AO$74,FALSE),"o")=$D$4,IFERROR(VLOOKUP(VLOOKUP($B69, Dependencies!$B$2:$G$230, 6,FALSE),$B$14:AO$73, AO$74,FALSE),"o")=$D$4),$D$4,IF(OR(IFERROR(VLOOKUP(VLOOKUP($B69, Dependencies!$B$2:$G$230, 2,FALSE), $B$14:AO$73, AO$74,FALSE),"o")=$D$5,IFERROR(VLOOKUP(VLOOKUP($B69, Dependencies!$B$2:$G$230, 3,FALSE), $B$14:AO$73, AO$74,FALSE),"o")=$D$5,IFERROR(VLOOKUP(VLOOKUP($B69, Dependencies!$B$2:$G$230, 4,FALSE), $B$14:AO$73, AO$74,FALSE),"o")=$D$5,IFERROR(VLOOKUP(VLOOKUP($B69, Dependencies!$B$2:$G$230, 5,FALSE), $B$14:AO$73, AO$74,FALSE),"o")=$D$5,IFERROR(VLOOKUP(VLOOKUP($B69, Dependencies!$B$2:$G$230, 6,FALSE), $B$14:AO$73, AO$74,FALSE),"o")=$D$5),$D$5,AN69)))</f>
        <v>o</v>
      </c>
      <c r="AP69" s="94" t="s">
        <v>323</v>
      </c>
      <c r="AQ69" s="72" t="str">
        <f>IF(AP69=$D$4,AP69,IF(OR(IFERROR(VLOOKUP(VLOOKUP($B69, Dependencies!$B$2:$G$230, 2,FALSE),$B$14:AQ$73, AQ$74,FALSE),"o")=$D$4,IFERROR(VLOOKUP(VLOOKUP($B69, Dependencies!$B$2:$G$230, 3,FALSE),$B$14:AQ$73, AQ$74,FALSE),"o")=$D$4,IFERROR(VLOOKUP(VLOOKUP($B69, Dependencies!$B$2:$G$230, 4,FALSE),$B$14:AQ$73, AQ$74,FALSE),"o")=$D$4,IFERROR(VLOOKUP(VLOOKUP($B69, Dependencies!$B$2:$G$230, 5,FALSE),$B$14:AQ$73, AQ$74,FALSE),"o")=$D$4,IFERROR(VLOOKUP(VLOOKUP($B69, Dependencies!$B$2:$G$230, 6,FALSE),$B$14:AQ$73, AQ$74,FALSE),"o")=$D$4),$D$4,IF(OR(IFERROR(VLOOKUP(VLOOKUP($B69, Dependencies!$B$2:$G$230, 2,FALSE), $B$14:AQ$73, AQ$74,FALSE),"o")=$D$5,IFERROR(VLOOKUP(VLOOKUP($B69, Dependencies!$B$2:$G$230, 3,FALSE), $B$14:AQ$73, AQ$74,FALSE),"o")=$D$5,IFERROR(VLOOKUP(VLOOKUP($B69, Dependencies!$B$2:$G$230, 4,FALSE), $B$14:AQ$73, AQ$74,FALSE),"o")=$D$5,IFERROR(VLOOKUP(VLOOKUP($B69, Dependencies!$B$2:$G$230, 5,FALSE), $B$14:AQ$73, AQ$74,FALSE),"o")=$D$5,IFERROR(VLOOKUP(VLOOKUP($B69, Dependencies!$B$2:$G$230, 6,FALSE), $B$14:AQ$73, AQ$74,FALSE),"o")=$D$5),$D$5,AP69)))</f>
        <v>o</v>
      </c>
      <c r="AR69" s="94" t="s">
        <v>323</v>
      </c>
      <c r="AS69" s="71" t="str">
        <f>IF(AR69=$D$4,AR69,IF(OR(IFERROR(VLOOKUP(VLOOKUP($B69, Dependencies!$B$2:$G$230, 2,FALSE),$B$14:AS$73, AS$74,FALSE),"o")=$D$4,IFERROR(VLOOKUP(VLOOKUP($B69, Dependencies!$B$2:$G$230, 3,FALSE),$B$14:AS$73, AS$74,FALSE),"o")=$D$4,IFERROR(VLOOKUP(VLOOKUP($B69, Dependencies!$B$2:$G$230, 4,FALSE),$B$14:AS$73, AS$74,FALSE),"o")=$D$4,IFERROR(VLOOKUP(VLOOKUP($B69, Dependencies!$B$2:$G$230, 5,FALSE),$B$14:AS$73, AS$74,FALSE),"o")=$D$4,IFERROR(VLOOKUP(VLOOKUP($B69, Dependencies!$B$2:$G$230, 6,FALSE),$B$14:AS$73, AS$74,FALSE),"o")=$D$4),$D$4,IF(OR(IFERROR(VLOOKUP(VLOOKUP($B69, Dependencies!$B$2:$G$230, 2,FALSE), $B$14:AS$73, AS$74,FALSE),"o")=$D$5,IFERROR(VLOOKUP(VLOOKUP($B69, Dependencies!$B$2:$G$230, 3,FALSE), $B$14:AS$73, AS$74,FALSE),"o")=$D$5,IFERROR(VLOOKUP(VLOOKUP($B69, Dependencies!$B$2:$G$230, 4,FALSE), $B$14:AS$73, AS$74,FALSE),"o")=$D$5,IFERROR(VLOOKUP(VLOOKUP($B69, Dependencies!$B$2:$G$230, 5,FALSE), $B$14:AS$73, AS$74,FALSE),"o")=$D$5,IFERROR(VLOOKUP(VLOOKUP($B69, Dependencies!$B$2:$G$230, 6,FALSE), $B$14:AS$73, AS$74,FALSE),"o")=$D$5),$D$5,AR69)))</f>
        <v>o</v>
      </c>
    </row>
    <row r="70" spans="1:45" x14ac:dyDescent="0.2">
      <c r="A70" s="40"/>
      <c r="B70" s="73" t="str">
        <f>MLEOsv2!A58</f>
        <v>MLEO_11_01</v>
      </c>
      <c r="C70" s="73">
        <f>MLEOsv2!C58</f>
        <v>11</v>
      </c>
      <c r="D70" s="42" t="str">
        <f>MLEOsv2!G58</f>
        <v>identify actors based on a problem statement.</v>
      </c>
      <c r="E70" s="51" t="b">
        <f>MLEOsv2!H58</f>
        <v>1</v>
      </c>
      <c r="F70" s="93" t="s">
        <v>323</v>
      </c>
      <c r="G70" s="70" t="str">
        <f>IF(F70=$D$4,F70,IF(OR(IFERROR(VLOOKUP(VLOOKUP($B70, Dependencies!$B$2:$G$230, 2,FALSE),$B$14:G$73, G$74,FALSE),"o")=$D$4,IFERROR(VLOOKUP(VLOOKUP($B70, Dependencies!$B$2:$G$230, 3,FALSE),$B$14:G$73, G$74,FALSE),"o")=$D$4,IFERROR(VLOOKUP(VLOOKUP($B70, Dependencies!$B$2:$G$230, 4,FALSE),$B$14:G$73, G$74,FALSE),"o")=$D$4,IFERROR(VLOOKUP(VLOOKUP($B70, Dependencies!$B$2:$G$230, 5,FALSE),$B$14:G$73, G$74,FALSE),"o")=$D$4,IFERROR(VLOOKUP(VLOOKUP($B70, Dependencies!$B$2:$G$230, 6,FALSE),$B$14:G$73, G$74,FALSE),"o")=$D$4),$D$4,IF(OR(IFERROR(VLOOKUP(VLOOKUP($B70, Dependencies!$B$2:$G$230, 2,FALSE), $B$14:G$73, G$74,FALSE),"o")=$D$5,IFERROR(VLOOKUP(VLOOKUP($B70, Dependencies!$B$2:$G$230, 3,FALSE), $B$14:G$73, G$74,FALSE),"o")=$D$5,IFERROR(VLOOKUP(VLOOKUP($B70, Dependencies!$B$2:$G$230, 4,FALSE), $B$14:G$73, G$74,FALSE),"o")=$D$5,IFERROR(VLOOKUP(VLOOKUP($B70, Dependencies!$B$2:$G$230, 5,FALSE), $B$14:G$73, G$74,FALSE),"o")=$D$5,IFERROR(VLOOKUP(VLOOKUP($B70, Dependencies!$B$2:$G$230, 6,FALSE), $B$14:G$73, G$74,FALSE),"o")=$D$5),$D$5,F70)))</f>
        <v>o</v>
      </c>
      <c r="H70" s="93" t="s">
        <v>321</v>
      </c>
      <c r="I70" s="70" t="str">
        <f>IF(H70=$D$4,H70,IF(OR(IFERROR(VLOOKUP(VLOOKUP($B70, Dependencies!$B$2:$G$230, 2,FALSE),$B$14:I$73, I$74,FALSE),"o")=$D$4,IFERROR(VLOOKUP(VLOOKUP($B70, Dependencies!$B$2:$G$230, 3,FALSE),$B$14:I$73, I$74,FALSE),"o")=$D$4,IFERROR(VLOOKUP(VLOOKUP($B70, Dependencies!$B$2:$G$230, 4,FALSE),$B$14:I$73, I$74,FALSE),"o")=$D$4,IFERROR(VLOOKUP(VLOOKUP($B70, Dependencies!$B$2:$G$230, 5,FALSE),$B$14:I$73, I$74,FALSE),"o")=$D$4,IFERROR(VLOOKUP(VLOOKUP($B70, Dependencies!$B$2:$G$230, 6,FALSE),$B$14:I$73, I$74,FALSE),"o")=$D$4),$D$4,IF(OR(IFERROR(VLOOKUP(VLOOKUP($B70, Dependencies!$B$2:$G$230, 2,FALSE), $B$14:I$73, I$74,FALSE),"o")=$D$5,IFERROR(VLOOKUP(VLOOKUP($B70, Dependencies!$B$2:$G$230, 3,FALSE), $B$14:I$73, I$74,FALSE),"o")=$D$5,IFERROR(VLOOKUP(VLOOKUP($B70, Dependencies!$B$2:$G$230, 4,FALSE), $B$14:I$73, I$74,FALSE),"o")=$D$5,IFERROR(VLOOKUP(VLOOKUP($B70, Dependencies!$B$2:$G$230, 5,FALSE), $B$14:I$73, I$74,FALSE),"o")=$D$5,IFERROR(VLOOKUP(VLOOKUP($B70, Dependencies!$B$2:$G$230, 6,FALSE), $B$14:I$73, I$74,FALSE),"o")=$D$5),$D$5,H70)))</f>
        <v>pr</v>
      </c>
      <c r="J70" s="93" t="s">
        <v>320</v>
      </c>
      <c r="K70" s="70" t="str">
        <f>IF(J70=$D$4,J70,IF(OR(IFERROR(VLOOKUP(VLOOKUP($B70, Dependencies!$B$2:$G$230, 2,FALSE),$B$14:K$73, K$74,FALSE),"o")=$D$4,IFERROR(VLOOKUP(VLOOKUP($B70, Dependencies!$B$2:$G$230, 3,FALSE),$B$14:K$73, K$74,FALSE),"o")=$D$4,IFERROR(VLOOKUP(VLOOKUP($B70, Dependencies!$B$2:$G$230, 4,FALSE),$B$14:K$73, K$74,FALSE),"o")=$D$4,IFERROR(VLOOKUP(VLOOKUP($B70, Dependencies!$B$2:$G$230, 5,FALSE),$B$14:K$73, K$74,FALSE),"o")=$D$4,IFERROR(VLOOKUP(VLOOKUP($B70, Dependencies!$B$2:$G$230, 6,FALSE),$B$14:K$73, K$74,FALSE),"o")=$D$4),$D$4,IF(OR(IFERROR(VLOOKUP(VLOOKUP($B70, Dependencies!$B$2:$G$230, 2,FALSE), $B$14:K$73, K$74,FALSE),"o")=$D$5,IFERROR(VLOOKUP(VLOOKUP($B70, Dependencies!$B$2:$G$230, 3,FALSE), $B$14:K$73, K$74,FALSE),"o")=$D$5,IFERROR(VLOOKUP(VLOOKUP($B70, Dependencies!$B$2:$G$230, 4,FALSE), $B$14:K$73, K$74,FALSE),"o")=$D$5,IFERROR(VLOOKUP(VLOOKUP($B70, Dependencies!$B$2:$G$230, 5,FALSE), $B$14:K$73, K$74,FALSE),"o")=$D$5,IFERROR(VLOOKUP(VLOOKUP($B70, Dependencies!$B$2:$G$230, 6,FALSE), $B$14:K$73, K$74,FALSE),"o")=$D$5),$D$5,J70)))</f>
        <v>r</v>
      </c>
      <c r="L70" s="93" t="s">
        <v>323</v>
      </c>
      <c r="M70" s="70" t="str">
        <f>IF(L70=$D$4,L70,IF(OR(IFERROR(VLOOKUP(VLOOKUP($B70, Dependencies!$B$2:$G$230, 2,FALSE),$B$14:M$73, M$74,FALSE),"o")=$D$4,IFERROR(VLOOKUP(VLOOKUP($B70, Dependencies!$B$2:$G$230, 3,FALSE),$B$14:M$73, M$74,FALSE),"o")=$D$4,IFERROR(VLOOKUP(VLOOKUP($B70, Dependencies!$B$2:$G$230, 4,FALSE),$B$14:M$73, M$74,FALSE),"o")=$D$4,IFERROR(VLOOKUP(VLOOKUP($B70, Dependencies!$B$2:$G$230, 5,FALSE),$B$14:M$73, M$74,FALSE),"o")=$D$4,IFERROR(VLOOKUP(VLOOKUP($B70, Dependencies!$B$2:$G$230, 6,FALSE),$B$14:M$73, M$74,FALSE),"o")=$D$4),$D$4,IF(OR(IFERROR(VLOOKUP(VLOOKUP($B70, Dependencies!$B$2:$G$230, 2,FALSE), $B$14:M$73, M$74,FALSE),"o")=$D$5,IFERROR(VLOOKUP(VLOOKUP($B70, Dependencies!$B$2:$G$230, 3,FALSE), $B$14:M$73, M$74,FALSE),"o")=$D$5,IFERROR(VLOOKUP(VLOOKUP($B70, Dependencies!$B$2:$G$230, 4,FALSE), $B$14:M$73, M$74,FALSE),"o")=$D$5,IFERROR(VLOOKUP(VLOOKUP($B70, Dependencies!$B$2:$G$230, 5,FALSE), $B$14:M$73, M$74,FALSE),"o")=$D$5,IFERROR(VLOOKUP(VLOOKUP($B70, Dependencies!$B$2:$G$230, 6,FALSE), $B$14:M$73, M$74,FALSE),"o")=$D$5),$D$5,L70)))</f>
        <v>o</v>
      </c>
      <c r="N70" s="93" t="s">
        <v>323</v>
      </c>
      <c r="O70" s="70" t="str">
        <f>IF(N70=$D$4,N70,IF(OR(IFERROR(VLOOKUP(VLOOKUP($B70, Dependencies!$B$2:$G$230, 2,FALSE),$B$14:O$73, O$74,FALSE),"o")=$D$4,IFERROR(VLOOKUP(VLOOKUP($B70, Dependencies!$B$2:$G$230, 3,FALSE),$B$14:O$73, O$74,FALSE),"o")=$D$4,IFERROR(VLOOKUP(VLOOKUP($B70, Dependencies!$B$2:$G$230, 4,FALSE),$B$14:O$73, O$74,FALSE),"o")=$D$4,IFERROR(VLOOKUP(VLOOKUP($B70, Dependencies!$B$2:$G$230, 5,FALSE),$B$14:O$73, O$74,FALSE),"o")=$D$4,IFERROR(VLOOKUP(VLOOKUP($B70, Dependencies!$B$2:$G$230, 6,FALSE),$B$14:O$73, O$74,FALSE),"o")=$D$4),$D$4,IF(OR(IFERROR(VLOOKUP(VLOOKUP($B70, Dependencies!$B$2:$G$230, 2,FALSE), $B$14:O$73, O$74,FALSE),"o")=$D$5,IFERROR(VLOOKUP(VLOOKUP($B70, Dependencies!$B$2:$G$230, 3,FALSE), $B$14:O$73, O$74,FALSE),"o")=$D$5,IFERROR(VLOOKUP(VLOOKUP($B70, Dependencies!$B$2:$G$230, 4,FALSE), $B$14:O$73, O$74,FALSE),"o")=$D$5,IFERROR(VLOOKUP(VLOOKUP($B70, Dependencies!$B$2:$G$230, 5,FALSE), $B$14:O$73, O$74,FALSE),"o")=$D$5,IFERROR(VLOOKUP(VLOOKUP($B70, Dependencies!$B$2:$G$230, 6,FALSE), $B$14:O$73, O$74,FALSE),"o")=$D$5),$D$5,N70)))</f>
        <v>o</v>
      </c>
      <c r="P70" s="93" t="s">
        <v>323</v>
      </c>
      <c r="Q70" s="70" t="str">
        <f>IF(P70=$D$4,P70,IF(OR(IFERROR(VLOOKUP(VLOOKUP($B70, Dependencies!$B$2:$G$230, 2,FALSE),$B$14:Q$73, Q$74,FALSE),"o")=$D$4,IFERROR(VLOOKUP(VLOOKUP($B70, Dependencies!$B$2:$G$230, 3,FALSE),$B$14:Q$73, Q$74,FALSE),"o")=$D$4,IFERROR(VLOOKUP(VLOOKUP($B70, Dependencies!$B$2:$G$230, 4,FALSE),$B$14:Q$73, Q$74,FALSE),"o")=$D$4,IFERROR(VLOOKUP(VLOOKUP($B70, Dependencies!$B$2:$G$230, 5,FALSE),$B$14:Q$73, Q$74,FALSE),"o")=$D$4,IFERROR(VLOOKUP(VLOOKUP($B70, Dependencies!$B$2:$G$230, 6,FALSE),$B$14:Q$73, Q$74,FALSE),"o")=$D$4),$D$4,IF(OR(IFERROR(VLOOKUP(VLOOKUP($B70, Dependencies!$B$2:$G$230, 2,FALSE), $B$14:Q$73, Q$74,FALSE),"o")=$D$5,IFERROR(VLOOKUP(VLOOKUP($B70, Dependencies!$B$2:$G$230, 3,FALSE), $B$14:Q$73, Q$74,FALSE),"o")=$D$5,IFERROR(VLOOKUP(VLOOKUP($B70, Dependencies!$B$2:$G$230, 4,FALSE), $B$14:Q$73, Q$74,FALSE),"o")=$D$5,IFERROR(VLOOKUP(VLOOKUP($B70, Dependencies!$B$2:$G$230, 5,FALSE), $B$14:Q$73, Q$74,FALSE),"o")=$D$5,IFERROR(VLOOKUP(VLOOKUP($B70, Dependencies!$B$2:$G$230, 6,FALSE), $B$14:Q$73, Q$74,FALSE),"o")=$D$5),$D$5,P70)))</f>
        <v>o</v>
      </c>
      <c r="R70" s="93" t="s">
        <v>323</v>
      </c>
      <c r="S70" s="70" t="str">
        <f>IF(R70=$D$4,R70,IF(OR(IFERROR(VLOOKUP(VLOOKUP($B70, Dependencies!$B$2:$G$230, 2,FALSE),$B$14:S$73, S$74,FALSE),"o")=$D$4,IFERROR(VLOOKUP(VLOOKUP($B70, Dependencies!$B$2:$G$230, 3,FALSE),$B$14:S$73, S$74,FALSE),"o")=$D$4,IFERROR(VLOOKUP(VLOOKUP($B70, Dependencies!$B$2:$G$230, 4,FALSE),$B$14:S$73, S$74,FALSE),"o")=$D$4,IFERROR(VLOOKUP(VLOOKUP($B70, Dependencies!$B$2:$G$230, 5,FALSE),$B$14:S$73, S$74,FALSE),"o")=$D$4,IFERROR(VLOOKUP(VLOOKUP($B70, Dependencies!$B$2:$G$230, 6,FALSE),$B$14:S$73, S$74,FALSE),"o")=$D$4),$D$4,IF(OR(IFERROR(VLOOKUP(VLOOKUP($B70, Dependencies!$B$2:$G$230, 2,FALSE), $B$14:S$73, S$74,FALSE),"o")=$D$5,IFERROR(VLOOKUP(VLOOKUP($B70, Dependencies!$B$2:$G$230, 3,FALSE), $B$14:S$73, S$74,FALSE),"o")=$D$5,IFERROR(VLOOKUP(VLOOKUP($B70, Dependencies!$B$2:$G$230, 4,FALSE), $B$14:S$73, S$74,FALSE),"o")=$D$5,IFERROR(VLOOKUP(VLOOKUP($B70, Dependencies!$B$2:$G$230, 5,FALSE), $B$14:S$73, S$74,FALSE),"o")=$D$5,IFERROR(VLOOKUP(VLOOKUP($B70, Dependencies!$B$2:$G$230, 6,FALSE), $B$14:S$73, S$74,FALSE),"o")=$D$5),$D$5,R70)))</f>
        <v>o</v>
      </c>
      <c r="T70" s="93" t="s">
        <v>323</v>
      </c>
      <c r="U70" s="70" t="str">
        <f>IF(T70=$D$4,T70,IF(OR(IFERROR(VLOOKUP(VLOOKUP($B70, Dependencies!$B$2:$G$230, 2,FALSE),$B$14:U$73, U$74,FALSE),"o")=$D$4,IFERROR(VLOOKUP(VLOOKUP($B70, Dependencies!$B$2:$G$230, 3,FALSE),$B$14:U$73, U$74,FALSE),"o")=$D$4,IFERROR(VLOOKUP(VLOOKUP($B70, Dependencies!$B$2:$G$230, 4,FALSE),$B$14:U$73, U$74,FALSE),"o")=$D$4,IFERROR(VLOOKUP(VLOOKUP($B70, Dependencies!$B$2:$G$230, 5,FALSE),$B$14:U$73, U$74,FALSE),"o")=$D$4,IFERROR(VLOOKUP(VLOOKUP($B70, Dependencies!$B$2:$G$230, 6,FALSE),$B$14:U$73, U$74,FALSE),"o")=$D$4),$D$4,IF(OR(IFERROR(VLOOKUP(VLOOKUP($B70, Dependencies!$B$2:$G$230, 2,FALSE), $B$14:U$73, U$74,FALSE),"o")=$D$5,IFERROR(VLOOKUP(VLOOKUP($B70, Dependencies!$B$2:$G$230, 3,FALSE), $B$14:U$73, U$74,FALSE),"o")=$D$5,IFERROR(VLOOKUP(VLOOKUP($B70, Dependencies!$B$2:$G$230, 4,FALSE), $B$14:U$73, U$74,FALSE),"o")=$D$5,IFERROR(VLOOKUP(VLOOKUP($B70, Dependencies!$B$2:$G$230, 5,FALSE), $B$14:U$73, U$74,FALSE),"o")=$D$5,IFERROR(VLOOKUP(VLOOKUP($B70, Dependencies!$B$2:$G$230, 6,FALSE), $B$14:U$73, U$74,FALSE),"o")=$D$5),$D$5,T70)))</f>
        <v>o</v>
      </c>
      <c r="V70" s="93" t="s">
        <v>323</v>
      </c>
      <c r="W70" s="70" t="str">
        <f>IF(V70=$D$4,V70,IF(OR(IFERROR(VLOOKUP(VLOOKUP($B70, Dependencies!$B$2:$G$230, 2,FALSE),$B$14:W$73, W$74,FALSE),"o")=$D$4,IFERROR(VLOOKUP(VLOOKUP($B70, Dependencies!$B$2:$G$230, 3,FALSE),$B$14:W$73, W$74,FALSE),"o")=$D$4,IFERROR(VLOOKUP(VLOOKUP($B70, Dependencies!$B$2:$G$230, 4,FALSE),$B$14:W$73, W$74,FALSE),"o")=$D$4,IFERROR(VLOOKUP(VLOOKUP($B70, Dependencies!$B$2:$G$230, 5,FALSE),$B$14:W$73, W$74,FALSE),"o")=$D$4,IFERROR(VLOOKUP(VLOOKUP($B70, Dependencies!$B$2:$G$230, 6,FALSE),$B$14:W$73, W$74,FALSE),"o")=$D$4),$D$4,IF(OR(IFERROR(VLOOKUP(VLOOKUP($B70, Dependencies!$B$2:$G$230, 2,FALSE), $B$14:W$73, W$74,FALSE),"o")=$D$5,IFERROR(VLOOKUP(VLOOKUP($B70, Dependencies!$B$2:$G$230, 3,FALSE), $B$14:W$73, W$74,FALSE),"o")=$D$5,IFERROR(VLOOKUP(VLOOKUP($B70, Dependencies!$B$2:$G$230, 4,FALSE), $B$14:W$73, W$74,FALSE),"o")=$D$5,IFERROR(VLOOKUP(VLOOKUP($B70, Dependencies!$B$2:$G$230, 5,FALSE), $B$14:W$73, W$74,FALSE),"o")=$D$5,IFERROR(VLOOKUP(VLOOKUP($B70, Dependencies!$B$2:$G$230, 6,FALSE), $B$14:W$73, W$74,FALSE),"o")=$D$5),$D$5,V70)))</f>
        <v>o</v>
      </c>
      <c r="X70" s="93" t="s">
        <v>323</v>
      </c>
      <c r="Y70" s="70" t="str">
        <f>IF(X70=$D$4,X70,IF(OR(IFERROR(VLOOKUP(VLOOKUP($B70, Dependencies!$B$2:$G$230, 2,FALSE),$B$14:Y$73, Y$74,FALSE),"o")=$D$4,IFERROR(VLOOKUP(VLOOKUP($B70, Dependencies!$B$2:$G$230, 3,FALSE),$B$14:Y$73, Y$74,FALSE),"o")=$D$4,IFERROR(VLOOKUP(VLOOKUP($B70, Dependencies!$B$2:$G$230, 4,FALSE),$B$14:Y$73, Y$74,FALSE),"o")=$D$4,IFERROR(VLOOKUP(VLOOKUP($B70, Dependencies!$B$2:$G$230, 5,FALSE),$B$14:Y$73, Y$74,FALSE),"o")=$D$4,IFERROR(VLOOKUP(VLOOKUP($B70, Dependencies!$B$2:$G$230, 6,FALSE),$B$14:Y$73, Y$74,FALSE),"o")=$D$4),$D$4,IF(OR(IFERROR(VLOOKUP(VLOOKUP($B70, Dependencies!$B$2:$G$230, 2,FALSE), $B$14:Y$73, Y$74,FALSE),"o")=$D$5,IFERROR(VLOOKUP(VLOOKUP($B70, Dependencies!$B$2:$G$230, 3,FALSE), $B$14:Y$73, Y$74,FALSE),"o")=$D$5,IFERROR(VLOOKUP(VLOOKUP($B70, Dependencies!$B$2:$G$230, 4,FALSE), $B$14:Y$73, Y$74,FALSE),"o")=$D$5,IFERROR(VLOOKUP(VLOOKUP($B70, Dependencies!$B$2:$G$230, 5,FALSE), $B$14:Y$73, Y$74,FALSE),"o")=$D$5,IFERROR(VLOOKUP(VLOOKUP($B70, Dependencies!$B$2:$G$230, 6,FALSE), $B$14:Y$73, Y$74,FALSE),"o")=$D$5),$D$5,X70)))</f>
        <v>o</v>
      </c>
      <c r="Z70" s="93" t="s">
        <v>323</v>
      </c>
      <c r="AA70" s="70" t="str">
        <f>IF(Z70=$D$4,Z70,IF(OR(IFERROR(VLOOKUP(VLOOKUP($B70, Dependencies!$B$2:$G$230, 2,FALSE),$B$14:AA$73, AA$74,FALSE),"o")=$D$4,IFERROR(VLOOKUP(VLOOKUP($B70, Dependencies!$B$2:$G$230, 3,FALSE),$B$14:AA$73, AA$74,FALSE),"o")=$D$4,IFERROR(VLOOKUP(VLOOKUP($B70, Dependencies!$B$2:$G$230, 4,FALSE),$B$14:AA$73, AA$74,FALSE),"o")=$D$4,IFERROR(VLOOKUP(VLOOKUP($B70, Dependencies!$B$2:$G$230, 5,FALSE),$B$14:AA$73, AA$74,FALSE),"o")=$D$4,IFERROR(VLOOKUP(VLOOKUP($B70, Dependencies!$B$2:$G$230, 6,FALSE),$B$14:AA$73, AA$74,FALSE),"o")=$D$4),$D$4,IF(OR(IFERROR(VLOOKUP(VLOOKUP($B70, Dependencies!$B$2:$G$230, 2,FALSE), $B$14:AA$73, AA$74,FALSE),"o")=$D$5,IFERROR(VLOOKUP(VLOOKUP($B70, Dependencies!$B$2:$G$230, 3,FALSE), $B$14:AA$73, AA$74,FALSE),"o")=$D$5,IFERROR(VLOOKUP(VLOOKUP($B70, Dependencies!$B$2:$G$230, 4,FALSE), $B$14:AA$73, AA$74,FALSE),"o")=$D$5,IFERROR(VLOOKUP(VLOOKUP($B70, Dependencies!$B$2:$G$230, 5,FALSE), $B$14:AA$73, AA$74,FALSE),"o")=$D$5,IFERROR(VLOOKUP(VLOOKUP($B70, Dependencies!$B$2:$G$230, 6,FALSE), $B$14:AA$73, AA$74,FALSE),"o")=$D$5),$D$5,Z70)))</f>
        <v>o</v>
      </c>
      <c r="AB70" s="93" t="s">
        <v>323</v>
      </c>
      <c r="AC70" s="70" t="str">
        <f>IF(AB70=$D$4,AB70,IF(OR(IFERROR(VLOOKUP(VLOOKUP($B70, Dependencies!$B$2:$G$230, 2,FALSE),$B$14:AC$73, AC$74,FALSE),"o")=$D$4,IFERROR(VLOOKUP(VLOOKUP($B70, Dependencies!$B$2:$G$230, 3,FALSE),$B$14:AC$73, AC$74,FALSE),"o")=$D$4,IFERROR(VLOOKUP(VLOOKUP($B70, Dependencies!$B$2:$G$230, 4,FALSE),$B$14:AC$73, AC$74,FALSE),"o")=$D$4,IFERROR(VLOOKUP(VLOOKUP($B70, Dependencies!$B$2:$G$230, 5,FALSE),$B$14:AC$73, AC$74,FALSE),"o")=$D$4,IFERROR(VLOOKUP(VLOOKUP($B70, Dependencies!$B$2:$G$230, 6,FALSE),$B$14:AC$73, AC$74,FALSE),"o")=$D$4),$D$4,IF(OR(IFERROR(VLOOKUP(VLOOKUP($B70, Dependencies!$B$2:$G$230, 2,FALSE), $B$14:AC$73, AC$74,FALSE),"o")=$D$5,IFERROR(VLOOKUP(VLOOKUP($B70, Dependencies!$B$2:$G$230, 3,FALSE), $B$14:AC$73, AC$74,FALSE),"o")=$D$5,IFERROR(VLOOKUP(VLOOKUP($B70, Dependencies!$B$2:$G$230, 4,FALSE), $B$14:AC$73, AC$74,FALSE),"o")=$D$5,IFERROR(VLOOKUP(VLOOKUP($B70, Dependencies!$B$2:$G$230, 5,FALSE), $B$14:AC$73, AC$74,FALSE),"o")=$D$5,IFERROR(VLOOKUP(VLOOKUP($B70, Dependencies!$B$2:$G$230, 6,FALSE), $B$14:AC$73, AC$74,FALSE),"o")=$D$5),$D$5,AB70)))</f>
        <v>o</v>
      </c>
      <c r="AD70" s="93" t="s">
        <v>323</v>
      </c>
      <c r="AE70" s="70" t="str">
        <f>IF(AD70=$D$4,AD70,IF(OR(IFERROR(VLOOKUP(VLOOKUP($B70, Dependencies!$B$2:$G$230, 2,FALSE),$B$14:AE$73, AE$74,FALSE),"o")=$D$4,IFERROR(VLOOKUP(VLOOKUP($B70, Dependencies!$B$2:$G$230, 3,FALSE),$B$14:AE$73, AE$74,FALSE),"o")=$D$4,IFERROR(VLOOKUP(VLOOKUP($B70, Dependencies!$B$2:$G$230, 4,FALSE),$B$14:AE$73, AE$74,FALSE),"o")=$D$4,IFERROR(VLOOKUP(VLOOKUP($B70, Dependencies!$B$2:$G$230, 5,FALSE),$B$14:AE$73, AE$74,FALSE),"o")=$D$4,IFERROR(VLOOKUP(VLOOKUP($B70, Dependencies!$B$2:$G$230, 6,FALSE),$B$14:AE$73, AE$74,FALSE),"o")=$D$4),$D$4,IF(OR(IFERROR(VLOOKUP(VLOOKUP($B70, Dependencies!$B$2:$G$230, 2,FALSE), $B$14:AE$73, AE$74,FALSE),"o")=$D$5,IFERROR(VLOOKUP(VLOOKUP($B70, Dependencies!$B$2:$G$230, 3,FALSE), $B$14:AE$73, AE$74,FALSE),"o")=$D$5,IFERROR(VLOOKUP(VLOOKUP($B70, Dependencies!$B$2:$G$230, 4,FALSE), $B$14:AE$73, AE$74,FALSE),"o")=$D$5,IFERROR(VLOOKUP(VLOOKUP($B70, Dependencies!$B$2:$G$230, 5,FALSE), $B$14:AE$73, AE$74,FALSE),"o")=$D$5,IFERROR(VLOOKUP(VLOOKUP($B70, Dependencies!$B$2:$G$230, 6,FALSE), $B$14:AE$73, AE$74,FALSE),"o")=$D$5),$D$5,AD70)))</f>
        <v>o</v>
      </c>
      <c r="AF70" s="93" t="s">
        <v>323</v>
      </c>
      <c r="AG70" s="70" t="str">
        <f>IF(AF70=$D$4,AF70,IF(OR(IFERROR(VLOOKUP(VLOOKUP($B70, Dependencies!$B$2:$G$230, 2,FALSE),$B$14:AG$73, AG$74,FALSE),"o")=$D$4,IFERROR(VLOOKUP(VLOOKUP($B70, Dependencies!$B$2:$G$230, 3,FALSE),$B$14:AG$73, AG$74,FALSE),"o")=$D$4,IFERROR(VLOOKUP(VLOOKUP($B70, Dependencies!$B$2:$G$230, 4,FALSE),$B$14:AG$73, AG$74,FALSE),"o")=$D$4,IFERROR(VLOOKUP(VLOOKUP($B70, Dependencies!$B$2:$G$230, 5,FALSE),$B$14:AG$73, AG$74,FALSE),"o")=$D$4,IFERROR(VLOOKUP(VLOOKUP($B70, Dependencies!$B$2:$G$230, 6,FALSE),$B$14:AG$73, AG$74,FALSE),"o")=$D$4),$D$4,IF(OR(IFERROR(VLOOKUP(VLOOKUP($B70, Dependencies!$B$2:$G$230, 2,FALSE), $B$14:AG$73, AG$74,FALSE),"o")=$D$5,IFERROR(VLOOKUP(VLOOKUP($B70, Dependencies!$B$2:$G$230, 3,FALSE), $B$14:AG$73, AG$74,FALSE),"o")=$D$5,IFERROR(VLOOKUP(VLOOKUP($B70, Dependencies!$B$2:$G$230, 4,FALSE), $B$14:AG$73, AG$74,FALSE),"o")=$D$5,IFERROR(VLOOKUP(VLOOKUP($B70, Dependencies!$B$2:$G$230, 5,FALSE), $B$14:AG$73, AG$74,FALSE),"o")=$D$5,IFERROR(VLOOKUP(VLOOKUP($B70, Dependencies!$B$2:$G$230, 6,FALSE), $B$14:AG$73, AG$74,FALSE),"o")=$D$5),$D$5,AF70)))</f>
        <v>o</v>
      </c>
      <c r="AH70" s="93" t="s">
        <v>323</v>
      </c>
      <c r="AI70" s="70" t="str">
        <f>IF(AH70=$D$4,AH70,IF(OR(IFERROR(VLOOKUP(VLOOKUP($B70, Dependencies!$B$2:$G$230, 2,FALSE),$B$14:AI$73, AI$74,FALSE),"o")=$D$4,IFERROR(VLOOKUP(VLOOKUP($B70, Dependencies!$B$2:$G$230, 3,FALSE),$B$14:AI$73, AI$74,FALSE),"o")=$D$4,IFERROR(VLOOKUP(VLOOKUP($B70, Dependencies!$B$2:$G$230, 4,FALSE),$B$14:AI$73, AI$74,FALSE),"o")=$D$4,IFERROR(VLOOKUP(VLOOKUP($B70, Dependencies!$B$2:$G$230, 5,FALSE),$B$14:AI$73, AI$74,FALSE),"o")=$D$4,IFERROR(VLOOKUP(VLOOKUP($B70, Dependencies!$B$2:$G$230, 6,FALSE),$B$14:AI$73, AI$74,FALSE),"o")=$D$4),$D$4,IF(OR(IFERROR(VLOOKUP(VLOOKUP($B70, Dependencies!$B$2:$G$230, 2,FALSE), $B$14:AI$73, AI$74,FALSE),"o")=$D$5,IFERROR(VLOOKUP(VLOOKUP($B70, Dependencies!$B$2:$G$230, 3,FALSE), $B$14:AI$73, AI$74,FALSE),"o")=$D$5,IFERROR(VLOOKUP(VLOOKUP($B70, Dependencies!$B$2:$G$230, 4,FALSE), $B$14:AI$73, AI$74,FALSE),"o")=$D$5,IFERROR(VLOOKUP(VLOOKUP($B70, Dependencies!$B$2:$G$230, 5,FALSE), $B$14:AI$73, AI$74,FALSE),"o")=$D$5,IFERROR(VLOOKUP(VLOOKUP($B70, Dependencies!$B$2:$G$230, 6,FALSE), $B$14:AI$73, AI$74,FALSE),"o")=$D$5),$D$5,AH70)))</f>
        <v>o</v>
      </c>
      <c r="AJ70" s="93" t="s">
        <v>323</v>
      </c>
      <c r="AK70" s="70" t="str">
        <f>IF(AJ70=$D$4,AJ70,IF(OR(IFERROR(VLOOKUP(VLOOKUP($B70, Dependencies!$B$2:$G$230, 2,FALSE),$B$14:AK$73, AK$74,FALSE),"o")=$D$4,IFERROR(VLOOKUP(VLOOKUP($B70, Dependencies!$B$2:$G$230, 3,FALSE),$B$14:AK$73, AK$74,FALSE),"o")=$D$4,IFERROR(VLOOKUP(VLOOKUP($B70, Dependencies!$B$2:$G$230, 4,FALSE),$B$14:AK$73, AK$74,FALSE),"o")=$D$4,IFERROR(VLOOKUP(VLOOKUP($B70, Dependencies!$B$2:$G$230, 5,FALSE),$B$14:AK$73, AK$74,FALSE),"o")=$D$4,IFERROR(VLOOKUP(VLOOKUP($B70, Dependencies!$B$2:$G$230, 6,FALSE),$B$14:AK$73, AK$74,FALSE),"o")=$D$4),$D$4,IF(OR(IFERROR(VLOOKUP(VLOOKUP($B70, Dependencies!$B$2:$G$230, 2,FALSE), $B$14:AK$73, AK$74,FALSE),"o")=$D$5,IFERROR(VLOOKUP(VLOOKUP($B70, Dependencies!$B$2:$G$230, 3,FALSE), $B$14:AK$73, AK$74,FALSE),"o")=$D$5,IFERROR(VLOOKUP(VLOOKUP($B70, Dependencies!$B$2:$G$230, 4,FALSE), $B$14:AK$73, AK$74,FALSE),"o")=$D$5,IFERROR(VLOOKUP(VLOOKUP($B70, Dependencies!$B$2:$G$230, 5,FALSE), $B$14:AK$73, AK$74,FALSE),"o")=$D$5,IFERROR(VLOOKUP(VLOOKUP($B70, Dependencies!$B$2:$G$230, 6,FALSE), $B$14:AK$73, AK$74,FALSE),"o")=$D$5),$D$5,AJ70)))</f>
        <v>o</v>
      </c>
      <c r="AL70" s="93" t="s">
        <v>323</v>
      </c>
      <c r="AM70" s="70" t="str">
        <f>IF(AL70=$D$4,AL70,IF(OR(IFERROR(VLOOKUP(VLOOKUP($B70, Dependencies!$B$2:$G$230, 2,FALSE),$B$14:AM$73, AM$74,FALSE),"o")=$D$4,IFERROR(VLOOKUP(VLOOKUP($B70, Dependencies!$B$2:$G$230, 3,FALSE),$B$14:AM$73, AM$74,FALSE),"o")=$D$4,IFERROR(VLOOKUP(VLOOKUP($B70, Dependencies!$B$2:$G$230, 4,FALSE),$B$14:AM$73, AM$74,FALSE),"o")=$D$4,IFERROR(VLOOKUP(VLOOKUP($B70, Dependencies!$B$2:$G$230, 5,FALSE),$B$14:AM$73, AM$74,FALSE),"o")=$D$4,IFERROR(VLOOKUP(VLOOKUP($B70, Dependencies!$B$2:$G$230, 6,FALSE),$B$14:AM$73, AM$74,FALSE),"o")=$D$4),$D$4,IF(OR(IFERROR(VLOOKUP(VLOOKUP($B70, Dependencies!$B$2:$G$230, 2,FALSE), $B$14:AM$73, AM$74,FALSE),"o")=$D$5,IFERROR(VLOOKUP(VLOOKUP($B70, Dependencies!$B$2:$G$230, 3,FALSE), $B$14:AM$73, AM$74,FALSE),"o")=$D$5,IFERROR(VLOOKUP(VLOOKUP($B70, Dependencies!$B$2:$G$230, 4,FALSE), $B$14:AM$73, AM$74,FALSE),"o")=$D$5,IFERROR(VLOOKUP(VLOOKUP($B70, Dependencies!$B$2:$G$230, 5,FALSE), $B$14:AM$73, AM$74,FALSE),"o")=$D$5,IFERROR(VLOOKUP(VLOOKUP($B70, Dependencies!$B$2:$G$230, 6,FALSE), $B$14:AM$73, AM$74,FALSE),"o")=$D$5),$D$5,AL70)))</f>
        <v>o</v>
      </c>
      <c r="AN70" s="93" t="s">
        <v>323</v>
      </c>
      <c r="AO70" s="70" t="str">
        <f>IF(AN70=$D$4,AN70,IF(OR(IFERROR(VLOOKUP(VLOOKUP($B70, Dependencies!$B$2:$G$230, 2,FALSE),$B$14:AO$73, AO$74,FALSE),"o")=$D$4,IFERROR(VLOOKUP(VLOOKUP($B70, Dependencies!$B$2:$G$230, 3,FALSE),$B$14:AO$73, AO$74,FALSE),"o")=$D$4,IFERROR(VLOOKUP(VLOOKUP($B70, Dependencies!$B$2:$G$230, 4,FALSE),$B$14:AO$73, AO$74,FALSE),"o")=$D$4,IFERROR(VLOOKUP(VLOOKUP($B70, Dependencies!$B$2:$G$230, 5,FALSE),$B$14:AO$73, AO$74,FALSE),"o")=$D$4,IFERROR(VLOOKUP(VLOOKUP($B70, Dependencies!$B$2:$G$230, 6,FALSE),$B$14:AO$73, AO$74,FALSE),"o")=$D$4),$D$4,IF(OR(IFERROR(VLOOKUP(VLOOKUP($B70, Dependencies!$B$2:$G$230, 2,FALSE), $B$14:AO$73, AO$74,FALSE),"o")=$D$5,IFERROR(VLOOKUP(VLOOKUP($B70, Dependencies!$B$2:$G$230, 3,FALSE), $B$14:AO$73, AO$74,FALSE),"o")=$D$5,IFERROR(VLOOKUP(VLOOKUP($B70, Dependencies!$B$2:$G$230, 4,FALSE), $B$14:AO$73, AO$74,FALSE),"o")=$D$5,IFERROR(VLOOKUP(VLOOKUP($B70, Dependencies!$B$2:$G$230, 5,FALSE), $B$14:AO$73, AO$74,FALSE),"o")=$D$5,IFERROR(VLOOKUP(VLOOKUP($B70, Dependencies!$B$2:$G$230, 6,FALSE), $B$14:AO$73, AO$74,FALSE),"o")=$D$5),$D$5,AN70)))</f>
        <v>o</v>
      </c>
      <c r="AP70" s="93" t="s">
        <v>323</v>
      </c>
      <c r="AQ70" s="70" t="str">
        <f>IF(AP70=$D$4,AP70,IF(OR(IFERROR(VLOOKUP(VLOOKUP($B70, Dependencies!$B$2:$G$230, 2,FALSE),$B$14:AQ$73, AQ$74,FALSE),"o")=$D$4,IFERROR(VLOOKUP(VLOOKUP($B70, Dependencies!$B$2:$G$230, 3,FALSE),$B$14:AQ$73, AQ$74,FALSE),"o")=$D$4,IFERROR(VLOOKUP(VLOOKUP($B70, Dependencies!$B$2:$G$230, 4,FALSE),$B$14:AQ$73, AQ$74,FALSE),"o")=$D$4,IFERROR(VLOOKUP(VLOOKUP($B70, Dependencies!$B$2:$G$230, 5,FALSE),$B$14:AQ$73, AQ$74,FALSE),"o")=$D$4,IFERROR(VLOOKUP(VLOOKUP($B70, Dependencies!$B$2:$G$230, 6,FALSE),$B$14:AQ$73, AQ$74,FALSE),"o")=$D$4),$D$4,IF(OR(IFERROR(VLOOKUP(VLOOKUP($B70, Dependencies!$B$2:$G$230, 2,FALSE), $B$14:AQ$73, AQ$74,FALSE),"o")=$D$5,IFERROR(VLOOKUP(VLOOKUP($B70, Dependencies!$B$2:$G$230, 3,FALSE), $B$14:AQ$73, AQ$74,FALSE),"o")=$D$5,IFERROR(VLOOKUP(VLOOKUP($B70, Dependencies!$B$2:$G$230, 4,FALSE), $B$14:AQ$73, AQ$74,FALSE),"o")=$D$5,IFERROR(VLOOKUP(VLOOKUP($B70, Dependencies!$B$2:$G$230, 5,FALSE), $B$14:AQ$73, AQ$74,FALSE),"o")=$D$5,IFERROR(VLOOKUP(VLOOKUP($B70, Dependencies!$B$2:$G$230, 6,FALSE), $B$14:AQ$73, AQ$74,FALSE),"o")=$D$5),$D$5,AP70)))</f>
        <v>o</v>
      </c>
      <c r="AR70" s="93" t="s">
        <v>323</v>
      </c>
      <c r="AS70" s="69" t="str">
        <f>IF(AR70=$D$4,AR70,IF(OR(IFERROR(VLOOKUP(VLOOKUP($B70, Dependencies!$B$2:$G$230, 2,FALSE),$B$14:AS$73, AS$74,FALSE),"o")=$D$4,IFERROR(VLOOKUP(VLOOKUP($B70, Dependencies!$B$2:$G$230, 3,FALSE),$B$14:AS$73, AS$74,FALSE),"o")=$D$4,IFERROR(VLOOKUP(VLOOKUP($B70, Dependencies!$B$2:$G$230, 4,FALSE),$B$14:AS$73, AS$74,FALSE),"o")=$D$4,IFERROR(VLOOKUP(VLOOKUP($B70, Dependencies!$B$2:$G$230, 5,FALSE),$B$14:AS$73, AS$74,FALSE),"o")=$D$4,IFERROR(VLOOKUP(VLOOKUP($B70, Dependencies!$B$2:$G$230, 6,FALSE),$B$14:AS$73, AS$74,FALSE),"o")=$D$4),$D$4,IF(OR(IFERROR(VLOOKUP(VLOOKUP($B70, Dependencies!$B$2:$G$230, 2,FALSE), $B$14:AS$73, AS$74,FALSE),"o")=$D$5,IFERROR(VLOOKUP(VLOOKUP($B70, Dependencies!$B$2:$G$230, 3,FALSE), $B$14:AS$73, AS$74,FALSE),"o")=$D$5,IFERROR(VLOOKUP(VLOOKUP($B70, Dependencies!$B$2:$G$230, 4,FALSE), $B$14:AS$73, AS$74,FALSE),"o")=$D$5,IFERROR(VLOOKUP(VLOOKUP($B70, Dependencies!$B$2:$G$230, 5,FALSE), $B$14:AS$73, AS$74,FALSE),"o")=$D$5,IFERROR(VLOOKUP(VLOOKUP($B70, Dependencies!$B$2:$G$230, 6,FALSE), $B$14:AS$73, AS$74,FALSE),"o")=$D$5),$D$5,AR70)))</f>
        <v>o</v>
      </c>
    </row>
    <row r="71" spans="1:45" x14ac:dyDescent="0.2">
      <c r="A71" s="40"/>
      <c r="B71" s="74" t="str">
        <f>MLEOsv2!A59</f>
        <v>MLEO_11_02</v>
      </c>
      <c r="C71" s="74">
        <f>MLEOsv2!C59</f>
        <v>11</v>
      </c>
      <c r="D71" s="44" t="str">
        <f>MLEOsv2!G59</f>
        <v>identify messages and message types.</v>
      </c>
      <c r="E71" s="68" t="b">
        <f>MLEOsv2!H59</f>
        <v>1</v>
      </c>
      <c r="F71" s="94" t="s">
        <v>323</v>
      </c>
      <c r="G71" s="72" t="str">
        <f>IF(F71=$D$4,F71,IF(OR(IFERROR(VLOOKUP(VLOOKUP($B71, Dependencies!$B$2:$G$230, 2,FALSE),$B$14:G$73, G$74,FALSE),"o")=$D$4,IFERROR(VLOOKUP(VLOOKUP($B71, Dependencies!$B$2:$G$230, 3,FALSE),$B$14:G$73, G$74,FALSE),"o")=$D$4,IFERROR(VLOOKUP(VLOOKUP($B71, Dependencies!$B$2:$G$230, 4,FALSE),$B$14:G$73, G$74,FALSE),"o")=$D$4,IFERROR(VLOOKUP(VLOOKUP($B71, Dependencies!$B$2:$G$230, 5,FALSE),$B$14:G$73, G$74,FALSE),"o")=$D$4,IFERROR(VLOOKUP(VLOOKUP($B71, Dependencies!$B$2:$G$230, 6,FALSE),$B$14:G$73, G$74,FALSE),"o")=$D$4),$D$4,IF(OR(IFERROR(VLOOKUP(VLOOKUP($B71, Dependencies!$B$2:$G$230, 2,FALSE), $B$14:G$73, G$74,FALSE),"o")=$D$5,IFERROR(VLOOKUP(VLOOKUP($B71, Dependencies!$B$2:$G$230, 3,FALSE), $B$14:G$73, G$74,FALSE),"o")=$D$5,IFERROR(VLOOKUP(VLOOKUP($B71, Dependencies!$B$2:$G$230, 4,FALSE), $B$14:G$73, G$74,FALSE),"o")=$D$5,IFERROR(VLOOKUP(VLOOKUP($B71, Dependencies!$B$2:$G$230, 5,FALSE), $B$14:G$73, G$74,FALSE),"o")=$D$5,IFERROR(VLOOKUP(VLOOKUP($B71, Dependencies!$B$2:$G$230, 6,FALSE), $B$14:G$73, G$74,FALSE),"o")=$D$5),$D$5,F71)))</f>
        <v>o</v>
      </c>
      <c r="H71" s="94" t="s">
        <v>321</v>
      </c>
      <c r="I71" s="72" t="str">
        <f>IF(H71=$D$4,H71,IF(OR(IFERROR(VLOOKUP(VLOOKUP($B71, Dependencies!$B$2:$G$230, 2,FALSE),$B$14:I$73, I$74,FALSE),"o")=$D$4,IFERROR(VLOOKUP(VLOOKUP($B71, Dependencies!$B$2:$G$230, 3,FALSE),$B$14:I$73, I$74,FALSE),"o")=$D$4,IFERROR(VLOOKUP(VLOOKUP($B71, Dependencies!$B$2:$G$230, 4,FALSE),$B$14:I$73, I$74,FALSE),"o")=$D$4,IFERROR(VLOOKUP(VLOOKUP($B71, Dependencies!$B$2:$G$230, 5,FALSE),$B$14:I$73, I$74,FALSE),"o")=$D$4,IFERROR(VLOOKUP(VLOOKUP($B71, Dependencies!$B$2:$G$230, 6,FALSE),$B$14:I$73, I$74,FALSE),"o")=$D$4),$D$4,IF(OR(IFERROR(VLOOKUP(VLOOKUP($B71, Dependencies!$B$2:$G$230, 2,FALSE), $B$14:I$73, I$74,FALSE),"o")=$D$5,IFERROR(VLOOKUP(VLOOKUP($B71, Dependencies!$B$2:$G$230, 3,FALSE), $B$14:I$73, I$74,FALSE),"o")=$D$5,IFERROR(VLOOKUP(VLOOKUP($B71, Dependencies!$B$2:$G$230, 4,FALSE), $B$14:I$73, I$74,FALSE),"o")=$D$5,IFERROR(VLOOKUP(VLOOKUP($B71, Dependencies!$B$2:$G$230, 5,FALSE), $B$14:I$73, I$74,FALSE),"o")=$D$5,IFERROR(VLOOKUP(VLOOKUP($B71, Dependencies!$B$2:$G$230, 6,FALSE), $B$14:I$73, I$74,FALSE),"o")=$D$5),$D$5,H71)))</f>
        <v>pr</v>
      </c>
      <c r="J71" s="94" t="s">
        <v>320</v>
      </c>
      <c r="K71" s="72" t="str">
        <f>IF(J71=$D$4,J71,IF(OR(IFERROR(VLOOKUP(VLOOKUP($B71, Dependencies!$B$2:$G$230, 2,FALSE),$B$14:K$73, K$74,FALSE),"o")=$D$4,IFERROR(VLOOKUP(VLOOKUP($B71, Dependencies!$B$2:$G$230, 3,FALSE),$B$14:K$73, K$74,FALSE),"o")=$D$4,IFERROR(VLOOKUP(VLOOKUP($B71, Dependencies!$B$2:$G$230, 4,FALSE),$B$14:K$73, K$74,FALSE),"o")=$D$4,IFERROR(VLOOKUP(VLOOKUP($B71, Dependencies!$B$2:$G$230, 5,FALSE),$B$14:K$73, K$74,FALSE),"o")=$D$4,IFERROR(VLOOKUP(VLOOKUP($B71, Dependencies!$B$2:$G$230, 6,FALSE),$B$14:K$73, K$74,FALSE),"o")=$D$4),$D$4,IF(OR(IFERROR(VLOOKUP(VLOOKUP($B71, Dependencies!$B$2:$G$230, 2,FALSE), $B$14:K$73, K$74,FALSE),"o")=$D$5,IFERROR(VLOOKUP(VLOOKUP($B71, Dependencies!$B$2:$G$230, 3,FALSE), $B$14:K$73, K$74,FALSE),"o")=$D$5,IFERROR(VLOOKUP(VLOOKUP($B71, Dependencies!$B$2:$G$230, 4,FALSE), $B$14:K$73, K$74,FALSE),"o")=$D$5,IFERROR(VLOOKUP(VLOOKUP($B71, Dependencies!$B$2:$G$230, 5,FALSE), $B$14:K$73, K$74,FALSE),"o")=$D$5,IFERROR(VLOOKUP(VLOOKUP($B71, Dependencies!$B$2:$G$230, 6,FALSE), $B$14:K$73, K$74,FALSE),"o")=$D$5),$D$5,J71)))</f>
        <v>r</v>
      </c>
      <c r="L71" s="94" t="s">
        <v>323</v>
      </c>
      <c r="M71" s="72" t="str">
        <f>IF(L71=$D$4,L71,IF(OR(IFERROR(VLOOKUP(VLOOKUP($B71, Dependencies!$B$2:$G$230, 2,FALSE),$B$14:M$73, M$74,FALSE),"o")=$D$4,IFERROR(VLOOKUP(VLOOKUP($B71, Dependencies!$B$2:$G$230, 3,FALSE),$B$14:M$73, M$74,FALSE),"o")=$D$4,IFERROR(VLOOKUP(VLOOKUP($B71, Dependencies!$B$2:$G$230, 4,FALSE),$B$14:M$73, M$74,FALSE),"o")=$D$4,IFERROR(VLOOKUP(VLOOKUP($B71, Dependencies!$B$2:$G$230, 5,FALSE),$B$14:M$73, M$74,FALSE),"o")=$D$4,IFERROR(VLOOKUP(VLOOKUP($B71, Dependencies!$B$2:$G$230, 6,FALSE),$B$14:M$73, M$74,FALSE),"o")=$D$4),$D$4,IF(OR(IFERROR(VLOOKUP(VLOOKUP($B71, Dependencies!$B$2:$G$230, 2,FALSE), $B$14:M$73, M$74,FALSE),"o")=$D$5,IFERROR(VLOOKUP(VLOOKUP($B71, Dependencies!$B$2:$G$230, 3,FALSE), $B$14:M$73, M$74,FALSE),"o")=$D$5,IFERROR(VLOOKUP(VLOOKUP($B71, Dependencies!$B$2:$G$230, 4,FALSE), $B$14:M$73, M$74,FALSE),"o")=$D$5,IFERROR(VLOOKUP(VLOOKUP($B71, Dependencies!$B$2:$G$230, 5,FALSE), $B$14:M$73, M$74,FALSE),"o")=$D$5,IFERROR(VLOOKUP(VLOOKUP($B71, Dependencies!$B$2:$G$230, 6,FALSE), $B$14:M$73, M$74,FALSE),"o")=$D$5),$D$5,L71)))</f>
        <v>o</v>
      </c>
      <c r="N71" s="94" t="s">
        <v>323</v>
      </c>
      <c r="O71" s="72" t="str">
        <f>IF(N71=$D$4,N71,IF(OR(IFERROR(VLOOKUP(VLOOKUP($B71, Dependencies!$B$2:$G$230, 2,FALSE),$B$14:O$73, O$74,FALSE),"o")=$D$4,IFERROR(VLOOKUP(VLOOKUP($B71, Dependencies!$B$2:$G$230, 3,FALSE),$B$14:O$73, O$74,FALSE),"o")=$D$4,IFERROR(VLOOKUP(VLOOKUP($B71, Dependencies!$B$2:$G$230, 4,FALSE),$B$14:O$73, O$74,FALSE),"o")=$D$4,IFERROR(VLOOKUP(VLOOKUP($B71, Dependencies!$B$2:$G$230, 5,FALSE),$B$14:O$73, O$74,FALSE),"o")=$D$4,IFERROR(VLOOKUP(VLOOKUP($B71, Dependencies!$B$2:$G$230, 6,FALSE),$B$14:O$73, O$74,FALSE),"o")=$D$4),$D$4,IF(OR(IFERROR(VLOOKUP(VLOOKUP($B71, Dependencies!$B$2:$G$230, 2,FALSE), $B$14:O$73, O$74,FALSE),"o")=$D$5,IFERROR(VLOOKUP(VLOOKUP($B71, Dependencies!$B$2:$G$230, 3,FALSE), $B$14:O$73, O$74,FALSE),"o")=$D$5,IFERROR(VLOOKUP(VLOOKUP($B71, Dependencies!$B$2:$G$230, 4,FALSE), $B$14:O$73, O$74,FALSE),"o")=$D$5,IFERROR(VLOOKUP(VLOOKUP($B71, Dependencies!$B$2:$G$230, 5,FALSE), $B$14:O$73, O$74,FALSE),"o")=$D$5,IFERROR(VLOOKUP(VLOOKUP($B71, Dependencies!$B$2:$G$230, 6,FALSE), $B$14:O$73, O$74,FALSE),"o")=$D$5),$D$5,N71)))</f>
        <v>o</v>
      </c>
      <c r="P71" s="94" t="s">
        <v>323</v>
      </c>
      <c r="Q71" s="72" t="str">
        <f>IF(P71=$D$4,P71,IF(OR(IFERROR(VLOOKUP(VLOOKUP($B71, Dependencies!$B$2:$G$230, 2,FALSE),$B$14:Q$73, Q$74,FALSE),"o")=$D$4,IFERROR(VLOOKUP(VLOOKUP($B71, Dependencies!$B$2:$G$230, 3,FALSE),$B$14:Q$73, Q$74,FALSE),"o")=$D$4,IFERROR(VLOOKUP(VLOOKUP($B71, Dependencies!$B$2:$G$230, 4,FALSE),$B$14:Q$73, Q$74,FALSE),"o")=$D$4,IFERROR(VLOOKUP(VLOOKUP($B71, Dependencies!$B$2:$G$230, 5,FALSE),$B$14:Q$73, Q$74,FALSE),"o")=$D$4,IFERROR(VLOOKUP(VLOOKUP($B71, Dependencies!$B$2:$G$230, 6,FALSE),$B$14:Q$73, Q$74,FALSE),"o")=$D$4),$D$4,IF(OR(IFERROR(VLOOKUP(VLOOKUP($B71, Dependencies!$B$2:$G$230, 2,FALSE), $B$14:Q$73, Q$74,FALSE),"o")=$D$5,IFERROR(VLOOKUP(VLOOKUP($B71, Dependencies!$B$2:$G$230, 3,FALSE), $B$14:Q$73, Q$74,FALSE),"o")=$D$5,IFERROR(VLOOKUP(VLOOKUP($B71, Dependencies!$B$2:$G$230, 4,FALSE), $B$14:Q$73, Q$74,FALSE),"o")=$D$5,IFERROR(VLOOKUP(VLOOKUP($B71, Dependencies!$B$2:$G$230, 5,FALSE), $B$14:Q$73, Q$74,FALSE),"o")=$D$5,IFERROR(VLOOKUP(VLOOKUP($B71, Dependencies!$B$2:$G$230, 6,FALSE), $B$14:Q$73, Q$74,FALSE),"o")=$D$5),$D$5,P71)))</f>
        <v>o</v>
      </c>
      <c r="R71" s="94" t="s">
        <v>323</v>
      </c>
      <c r="S71" s="72" t="str">
        <f>IF(R71=$D$4,R71,IF(OR(IFERROR(VLOOKUP(VLOOKUP($B71, Dependencies!$B$2:$G$230, 2,FALSE),$B$14:S$73, S$74,FALSE),"o")=$D$4,IFERROR(VLOOKUP(VLOOKUP($B71, Dependencies!$B$2:$G$230, 3,FALSE),$B$14:S$73, S$74,FALSE),"o")=$D$4,IFERROR(VLOOKUP(VLOOKUP($B71, Dependencies!$B$2:$G$230, 4,FALSE),$B$14:S$73, S$74,FALSE),"o")=$D$4,IFERROR(VLOOKUP(VLOOKUP($B71, Dependencies!$B$2:$G$230, 5,FALSE),$B$14:S$73, S$74,FALSE),"o")=$D$4,IFERROR(VLOOKUP(VLOOKUP($B71, Dependencies!$B$2:$G$230, 6,FALSE),$B$14:S$73, S$74,FALSE),"o")=$D$4),$D$4,IF(OR(IFERROR(VLOOKUP(VLOOKUP($B71, Dependencies!$B$2:$G$230, 2,FALSE), $B$14:S$73, S$74,FALSE),"o")=$D$5,IFERROR(VLOOKUP(VLOOKUP($B71, Dependencies!$B$2:$G$230, 3,FALSE), $B$14:S$73, S$74,FALSE),"o")=$D$5,IFERROR(VLOOKUP(VLOOKUP($B71, Dependencies!$B$2:$G$230, 4,FALSE), $B$14:S$73, S$74,FALSE),"o")=$D$5,IFERROR(VLOOKUP(VLOOKUP($B71, Dependencies!$B$2:$G$230, 5,FALSE), $B$14:S$73, S$74,FALSE),"o")=$D$5,IFERROR(VLOOKUP(VLOOKUP($B71, Dependencies!$B$2:$G$230, 6,FALSE), $B$14:S$73, S$74,FALSE),"o")=$D$5),$D$5,R71)))</f>
        <v>o</v>
      </c>
      <c r="T71" s="94" t="s">
        <v>323</v>
      </c>
      <c r="U71" s="72" t="str">
        <f>IF(T71=$D$4,T71,IF(OR(IFERROR(VLOOKUP(VLOOKUP($B71, Dependencies!$B$2:$G$230, 2,FALSE),$B$14:U$73, U$74,FALSE),"o")=$D$4,IFERROR(VLOOKUP(VLOOKUP($B71, Dependencies!$B$2:$G$230, 3,FALSE),$B$14:U$73, U$74,FALSE),"o")=$D$4,IFERROR(VLOOKUP(VLOOKUP($B71, Dependencies!$B$2:$G$230, 4,FALSE),$B$14:U$73, U$74,FALSE),"o")=$D$4,IFERROR(VLOOKUP(VLOOKUP($B71, Dependencies!$B$2:$G$230, 5,FALSE),$B$14:U$73, U$74,FALSE),"o")=$D$4,IFERROR(VLOOKUP(VLOOKUP($B71, Dependencies!$B$2:$G$230, 6,FALSE),$B$14:U$73, U$74,FALSE),"o")=$D$4),$D$4,IF(OR(IFERROR(VLOOKUP(VLOOKUP($B71, Dependencies!$B$2:$G$230, 2,FALSE), $B$14:U$73, U$74,FALSE),"o")=$D$5,IFERROR(VLOOKUP(VLOOKUP($B71, Dependencies!$B$2:$G$230, 3,FALSE), $B$14:U$73, U$74,FALSE),"o")=$D$5,IFERROR(VLOOKUP(VLOOKUP($B71, Dependencies!$B$2:$G$230, 4,FALSE), $B$14:U$73, U$74,FALSE),"o")=$D$5,IFERROR(VLOOKUP(VLOOKUP($B71, Dependencies!$B$2:$G$230, 5,FALSE), $B$14:U$73, U$74,FALSE),"o")=$D$5,IFERROR(VLOOKUP(VLOOKUP($B71, Dependencies!$B$2:$G$230, 6,FALSE), $B$14:U$73, U$74,FALSE),"o")=$D$5),$D$5,T71)))</f>
        <v>o</v>
      </c>
      <c r="V71" s="94" t="s">
        <v>323</v>
      </c>
      <c r="W71" s="72" t="str">
        <f>IF(V71=$D$4,V71,IF(OR(IFERROR(VLOOKUP(VLOOKUP($B71, Dependencies!$B$2:$G$230, 2,FALSE),$B$14:W$73, W$74,FALSE),"o")=$D$4,IFERROR(VLOOKUP(VLOOKUP($B71, Dependencies!$B$2:$G$230, 3,FALSE),$B$14:W$73, W$74,FALSE),"o")=$D$4,IFERROR(VLOOKUP(VLOOKUP($B71, Dependencies!$B$2:$G$230, 4,FALSE),$B$14:W$73, W$74,FALSE),"o")=$D$4,IFERROR(VLOOKUP(VLOOKUP($B71, Dependencies!$B$2:$G$230, 5,FALSE),$B$14:W$73, W$74,FALSE),"o")=$D$4,IFERROR(VLOOKUP(VLOOKUP($B71, Dependencies!$B$2:$G$230, 6,FALSE),$B$14:W$73, W$74,FALSE),"o")=$D$4),$D$4,IF(OR(IFERROR(VLOOKUP(VLOOKUP($B71, Dependencies!$B$2:$G$230, 2,FALSE), $B$14:W$73, W$74,FALSE),"o")=$D$5,IFERROR(VLOOKUP(VLOOKUP($B71, Dependencies!$B$2:$G$230, 3,FALSE), $B$14:W$73, W$74,FALSE),"o")=$D$5,IFERROR(VLOOKUP(VLOOKUP($B71, Dependencies!$B$2:$G$230, 4,FALSE), $B$14:W$73, W$74,FALSE),"o")=$D$5,IFERROR(VLOOKUP(VLOOKUP($B71, Dependencies!$B$2:$G$230, 5,FALSE), $B$14:W$73, W$74,FALSE),"o")=$D$5,IFERROR(VLOOKUP(VLOOKUP($B71, Dependencies!$B$2:$G$230, 6,FALSE), $B$14:W$73, W$74,FALSE),"o")=$D$5),$D$5,V71)))</f>
        <v>o</v>
      </c>
      <c r="X71" s="94" t="s">
        <v>323</v>
      </c>
      <c r="Y71" s="72" t="str">
        <f>IF(X71=$D$4,X71,IF(OR(IFERROR(VLOOKUP(VLOOKUP($B71, Dependencies!$B$2:$G$230, 2,FALSE),$B$14:Y$73, Y$74,FALSE),"o")=$D$4,IFERROR(VLOOKUP(VLOOKUP($B71, Dependencies!$B$2:$G$230, 3,FALSE),$B$14:Y$73, Y$74,FALSE),"o")=$D$4,IFERROR(VLOOKUP(VLOOKUP($B71, Dependencies!$B$2:$G$230, 4,FALSE),$B$14:Y$73, Y$74,FALSE),"o")=$D$4,IFERROR(VLOOKUP(VLOOKUP($B71, Dependencies!$B$2:$G$230, 5,FALSE),$B$14:Y$73, Y$74,FALSE),"o")=$D$4,IFERROR(VLOOKUP(VLOOKUP($B71, Dependencies!$B$2:$G$230, 6,FALSE),$B$14:Y$73, Y$74,FALSE),"o")=$D$4),$D$4,IF(OR(IFERROR(VLOOKUP(VLOOKUP($B71, Dependencies!$B$2:$G$230, 2,FALSE), $B$14:Y$73, Y$74,FALSE),"o")=$D$5,IFERROR(VLOOKUP(VLOOKUP($B71, Dependencies!$B$2:$G$230, 3,FALSE), $B$14:Y$73, Y$74,FALSE),"o")=$D$5,IFERROR(VLOOKUP(VLOOKUP($B71, Dependencies!$B$2:$G$230, 4,FALSE), $B$14:Y$73, Y$74,FALSE),"o")=$D$5,IFERROR(VLOOKUP(VLOOKUP($B71, Dependencies!$B$2:$G$230, 5,FALSE), $B$14:Y$73, Y$74,FALSE),"o")=$D$5,IFERROR(VLOOKUP(VLOOKUP($B71, Dependencies!$B$2:$G$230, 6,FALSE), $B$14:Y$73, Y$74,FALSE),"o")=$D$5),$D$5,X71)))</f>
        <v>o</v>
      </c>
      <c r="Z71" s="94" t="s">
        <v>323</v>
      </c>
      <c r="AA71" s="72" t="str">
        <f>IF(Z71=$D$4,Z71,IF(OR(IFERROR(VLOOKUP(VLOOKUP($B71, Dependencies!$B$2:$G$230, 2,FALSE),$B$14:AA$73, AA$74,FALSE),"o")=$D$4,IFERROR(VLOOKUP(VLOOKUP($B71, Dependencies!$B$2:$G$230, 3,FALSE),$B$14:AA$73, AA$74,FALSE),"o")=$D$4,IFERROR(VLOOKUP(VLOOKUP($B71, Dependencies!$B$2:$G$230, 4,FALSE),$B$14:AA$73, AA$74,FALSE),"o")=$D$4,IFERROR(VLOOKUP(VLOOKUP($B71, Dependencies!$B$2:$G$230, 5,FALSE),$B$14:AA$73, AA$74,FALSE),"o")=$D$4,IFERROR(VLOOKUP(VLOOKUP($B71, Dependencies!$B$2:$G$230, 6,FALSE),$B$14:AA$73, AA$74,FALSE),"o")=$D$4),$D$4,IF(OR(IFERROR(VLOOKUP(VLOOKUP($B71, Dependencies!$B$2:$G$230, 2,FALSE), $B$14:AA$73, AA$74,FALSE),"o")=$D$5,IFERROR(VLOOKUP(VLOOKUP($B71, Dependencies!$B$2:$G$230, 3,FALSE), $B$14:AA$73, AA$74,FALSE),"o")=$D$5,IFERROR(VLOOKUP(VLOOKUP($B71, Dependencies!$B$2:$G$230, 4,FALSE), $B$14:AA$73, AA$74,FALSE),"o")=$D$5,IFERROR(VLOOKUP(VLOOKUP($B71, Dependencies!$B$2:$G$230, 5,FALSE), $B$14:AA$73, AA$74,FALSE),"o")=$D$5,IFERROR(VLOOKUP(VLOOKUP($B71, Dependencies!$B$2:$G$230, 6,FALSE), $B$14:AA$73, AA$74,FALSE),"o")=$D$5),$D$5,Z71)))</f>
        <v>o</v>
      </c>
      <c r="AB71" s="94" t="s">
        <v>323</v>
      </c>
      <c r="AC71" s="72" t="str">
        <f>IF(AB71=$D$4,AB71,IF(OR(IFERROR(VLOOKUP(VLOOKUP($B71, Dependencies!$B$2:$G$230, 2,FALSE),$B$14:AC$73, AC$74,FALSE),"o")=$D$4,IFERROR(VLOOKUP(VLOOKUP($B71, Dependencies!$B$2:$G$230, 3,FALSE),$B$14:AC$73, AC$74,FALSE),"o")=$D$4,IFERROR(VLOOKUP(VLOOKUP($B71, Dependencies!$B$2:$G$230, 4,FALSE),$B$14:AC$73, AC$74,FALSE),"o")=$D$4,IFERROR(VLOOKUP(VLOOKUP($B71, Dependencies!$B$2:$G$230, 5,FALSE),$B$14:AC$73, AC$74,FALSE),"o")=$D$4,IFERROR(VLOOKUP(VLOOKUP($B71, Dependencies!$B$2:$G$230, 6,FALSE),$B$14:AC$73, AC$74,FALSE),"o")=$D$4),$D$4,IF(OR(IFERROR(VLOOKUP(VLOOKUP($B71, Dependencies!$B$2:$G$230, 2,FALSE), $B$14:AC$73, AC$74,FALSE),"o")=$D$5,IFERROR(VLOOKUP(VLOOKUP($B71, Dependencies!$B$2:$G$230, 3,FALSE), $B$14:AC$73, AC$74,FALSE),"o")=$D$5,IFERROR(VLOOKUP(VLOOKUP($B71, Dependencies!$B$2:$G$230, 4,FALSE), $B$14:AC$73, AC$74,FALSE),"o")=$D$5,IFERROR(VLOOKUP(VLOOKUP($B71, Dependencies!$B$2:$G$230, 5,FALSE), $B$14:AC$73, AC$74,FALSE),"o")=$D$5,IFERROR(VLOOKUP(VLOOKUP($B71, Dependencies!$B$2:$G$230, 6,FALSE), $B$14:AC$73, AC$74,FALSE),"o")=$D$5),$D$5,AB71)))</f>
        <v>o</v>
      </c>
      <c r="AD71" s="94" t="s">
        <v>323</v>
      </c>
      <c r="AE71" s="72" t="str">
        <f>IF(AD71=$D$4,AD71,IF(OR(IFERROR(VLOOKUP(VLOOKUP($B71, Dependencies!$B$2:$G$230, 2,FALSE),$B$14:AE$73, AE$74,FALSE),"o")=$D$4,IFERROR(VLOOKUP(VLOOKUP($B71, Dependencies!$B$2:$G$230, 3,FALSE),$B$14:AE$73, AE$74,FALSE),"o")=$D$4,IFERROR(VLOOKUP(VLOOKUP($B71, Dependencies!$B$2:$G$230, 4,FALSE),$B$14:AE$73, AE$74,FALSE),"o")=$D$4,IFERROR(VLOOKUP(VLOOKUP($B71, Dependencies!$B$2:$G$230, 5,FALSE),$B$14:AE$73, AE$74,FALSE),"o")=$D$4,IFERROR(VLOOKUP(VLOOKUP($B71, Dependencies!$B$2:$G$230, 6,FALSE),$B$14:AE$73, AE$74,FALSE),"o")=$D$4),$D$4,IF(OR(IFERROR(VLOOKUP(VLOOKUP($B71, Dependencies!$B$2:$G$230, 2,FALSE), $B$14:AE$73, AE$74,FALSE),"o")=$D$5,IFERROR(VLOOKUP(VLOOKUP($B71, Dependencies!$B$2:$G$230, 3,FALSE), $B$14:AE$73, AE$74,FALSE),"o")=$D$5,IFERROR(VLOOKUP(VLOOKUP($B71, Dependencies!$B$2:$G$230, 4,FALSE), $B$14:AE$73, AE$74,FALSE),"o")=$D$5,IFERROR(VLOOKUP(VLOOKUP($B71, Dependencies!$B$2:$G$230, 5,FALSE), $B$14:AE$73, AE$74,FALSE),"o")=$D$5,IFERROR(VLOOKUP(VLOOKUP($B71, Dependencies!$B$2:$G$230, 6,FALSE), $B$14:AE$73, AE$74,FALSE),"o")=$D$5),$D$5,AD71)))</f>
        <v>o</v>
      </c>
      <c r="AF71" s="94" t="s">
        <v>323</v>
      </c>
      <c r="AG71" s="72" t="str">
        <f>IF(AF71=$D$4,AF71,IF(OR(IFERROR(VLOOKUP(VLOOKUP($B71, Dependencies!$B$2:$G$230, 2,FALSE),$B$14:AG$73, AG$74,FALSE),"o")=$D$4,IFERROR(VLOOKUP(VLOOKUP($B71, Dependencies!$B$2:$G$230, 3,FALSE),$B$14:AG$73, AG$74,FALSE),"o")=$D$4,IFERROR(VLOOKUP(VLOOKUP($B71, Dependencies!$B$2:$G$230, 4,FALSE),$B$14:AG$73, AG$74,FALSE),"o")=$D$4,IFERROR(VLOOKUP(VLOOKUP($B71, Dependencies!$B$2:$G$230, 5,FALSE),$B$14:AG$73, AG$74,FALSE),"o")=$D$4,IFERROR(VLOOKUP(VLOOKUP($B71, Dependencies!$B$2:$G$230, 6,FALSE),$B$14:AG$73, AG$74,FALSE),"o")=$D$4),$D$4,IF(OR(IFERROR(VLOOKUP(VLOOKUP($B71, Dependencies!$B$2:$G$230, 2,FALSE), $B$14:AG$73, AG$74,FALSE),"o")=$D$5,IFERROR(VLOOKUP(VLOOKUP($B71, Dependencies!$B$2:$G$230, 3,FALSE), $B$14:AG$73, AG$74,FALSE),"o")=$D$5,IFERROR(VLOOKUP(VLOOKUP($B71, Dependencies!$B$2:$G$230, 4,FALSE), $B$14:AG$73, AG$74,FALSE),"o")=$D$5,IFERROR(VLOOKUP(VLOOKUP($B71, Dependencies!$B$2:$G$230, 5,FALSE), $B$14:AG$73, AG$74,FALSE),"o")=$D$5,IFERROR(VLOOKUP(VLOOKUP($B71, Dependencies!$B$2:$G$230, 6,FALSE), $B$14:AG$73, AG$74,FALSE),"o")=$D$5),$D$5,AF71)))</f>
        <v>o</v>
      </c>
      <c r="AH71" s="94" t="s">
        <v>323</v>
      </c>
      <c r="AI71" s="72" t="str">
        <f>IF(AH71=$D$4,AH71,IF(OR(IFERROR(VLOOKUP(VLOOKUP($B71, Dependencies!$B$2:$G$230, 2,FALSE),$B$14:AI$73, AI$74,FALSE),"o")=$D$4,IFERROR(VLOOKUP(VLOOKUP($B71, Dependencies!$B$2:$G$230, 3,FALSE),$B$14:AI$73, AI$74,FALSE),"o")=$D$4,IFERROR(VLOOKUP(VLOOKUP($B71, Dependencies!$B$2:$G$230, 4,FALSE),$B$14:AI$73, AI$74,FALSE),"o")=$D$4,IFERROR(VLOOKUP(VLOOKUP($B71, Dependencies!$B$2:$G$230, 5,FALSE),$B$14:AI$73, AI$74,FALSE),"o")=$D$4,IFERROR(VLOOKUP(VLOOKUP($B71, Dependencies!$B$2:$G$230, 6,FALSE),$B$14:AI$73, AI$74,FALSE),"o")=$D$4),$D$4,IF(OR(IFERROR(VLOOKUP(VLOOKUP($B71, Dependencies!$B$2:$G$230, 2,FALSE), $B$14:AI$73, AI$74,FALSE),"o")=$D$5,IFERROR(VLOOKUP(VLOOKUP($B71, Dependencies!$B$2:$G$230, 3,FALSE), $B$14:AI$73, AI$74,FALSE),"o")=$D$5,IFERROR(VLOOKUP(VLOOKUP($B71, Dependencies!$B$2:$G$230, 4,FALSE), $B$14:AI$73, AI$74,FALSE),"o")=$D$5,IFERROR(VLOOKUP(VLOOKUP($B71, Dependencies!$B$2:$G$230, 5,FALSE), $B$14:AI$73, AI$74,FALSE),"o")=$D$5,IFERROR(VLOOKUP(VLOOKUP($B71, Dependencies!$B$2:$G$230, 6,FALSE), $B$14:AI$73, AI$74,FALSE),"o")=$D$5),$D$5,AH71)))</f>
        <v>o</v>
      </c>
      <c r="AJ71" s="94" t="s">
        <v>323</v>
      </c>
      <c r="AK71" s="72" t="str">
        <f>IF(AJ71=$D$4,AJ71,IF(OR(IFERROR(VLOOKUP(VLOOKUP($B71, Dependencies!$B$2:$G$230, 2,FALSE),$B$14:AK$73, AK$74,FALSE),"o")=$D$4,IFERROR(VLOOKUP(VLOOKUP($B71, Dependencies!$B$2:$G$230, 3,FALSE),$B$14:AK$73, AK$74,FALSE),"o")=$D$4,IFERROR(VLOOKUP(VLOOKUP($B71, Dependencies!$B$2:$G$230, 4,FALSE),$B$14:AK$73, AK$74,FALSE),"o")=$D$4,IFERROR(VLOOKUP(VLOOKUP($B71, Dependencies!$B$2:$G$230, 5,FALSE),$B$14:AK$73, AK$74,FALSE),"o")=$D$4,IFERROR(VLOOKUP(VLOOKUP($B71, Dependencies!$B$2:$G$230, 6,FALSE),$B$14:AK$73, AK$74,FALSE),"o")=$D$4),$D$4,IF(OR(IFERROR(VLOOKUP(VLOOKUP($B71, Dependencies!$B$2:$G$230, 2,FALSE), $B$14:AK$73, AK$74,FALSE),"o")=$D$5,IFERROR(VLOOKUP(VLOOKUP($B71, Dependencies!$B$2:$G$230, 3,FALSE), $B$14:AK$73, AK$74,FALSE),"o")=$D$5,IFERROR(VLOOKUP(VLOOKUP($B71, Dependencies!$B$2:$G$230, 4,FALSE), $B$14:AK$73, AK$74,FALSE),"o")=$D$5,IFERROR(VLOOKUP(VLOOKUP($B71, Dependencies!$B$2:$G$230, 5,FALSE), $B$14:AK$73, AK$74,FALSE),"o")=$D$5,IFERROR(VLOOKUP(VLOOKUP($B71, Dependencies!$B$2:$G$230, 6,FALSE), $B$14:AK$73, AK$74,FALSE),"o")=$D$5),$D$5,AJ71)))</f>
        <v>o</v>
      </c>
      <c r="AL71" s="94" t="s">
        <v>323</v>
      </c>
      <c r="AM71" s="72" t="str">
        <f>IF(AL71=$D$4,AL71,IF(OR(IFERROR(VLOOKUP(VLOOKUP($B71, Dependencies!$B$2:$G$230, 2,FALSE),$B$14:AM$73, AM$74,FALSE),"o")=$D$4,IFERROR(VLOOKUP(VLOOKUP($B71, Dependencies!$B$2:$G$230, 3,FALSE),$B$14:AM$73, AM$74,FALSE),"o")=$D$4,IFERROR(VLOOKUP(VLOOKUP($B71, Dependencies!$B$2:$G$230, 4,FALSE),$B$14:AM$73, AM$74,FALSE),"o")=$D$4,IFERROR(VLOOKUP(VLOOKUP($B71, Dependencies!$B$2:$G$230, 5,FALSE),$B$14:AM$73, AM$74,FALSE),"o")=$D$4,IFERROR(VLOOKUP(VLOOKUP($B71, Dependencies!$B$2:$G$230, 6,FALSE),$B$14:AM$73, AM$74,FALSE),"o")=$D$4),$D$4,IF(OR(IFERROR(VLOOKUP(VLOOKUP($B71, Dependencies!$B$2:$G$230, 2,FALSE), $B$14:AM$73, AM$74,FALSE),"o")=$D$5,IFERROR(VLOOKUP(VLOOKUP($B71, Dependencies!$B$2:$G$230, 3,FALSE), $B$14:AM$73, AM$74,FALSE),"o")=$D$5,IFERROR(VLOOKUP(VLOOKUP($B71, Dependencies!$B$2:$G$230, 4,FALSE), $B$14:AM$73, AM$74,FALSE),"o")=$D$5,IFERROR(VLOOKUP(VLOOKUP($B71, Dependencies!$B$2:$G$230, 5,FALSE), $B$14:AM$73, AM$74,FALSE),"o")=$D$5,IFERROR(VLOOKUP(VLOOKUP($B71, Dependencies!$B$2:$G$230, 6,FALSE), $B$14:AM$73, AM$74,FALSE),"o")=$D$5),$D$5,AL71)))</f>
        <v>o</v>
      </c>
      <c r="AN71" s="94" t="s">
        <v>323</v>
      </c>
      <c r="AO71" s="72" t="str">
        <f>IF(AN71=$D$4,AN71,IF(OR(IFERROR(VLOOKUP(VLOOKUP($B71, Dependencies!$B$2:$G$230, 2,FALSE),$B$14:AO$73, AO$74,FALSE),"o")=$D$4,IFERROR(VLOOKUP(VLOOKUP($B71, Dependencies!$B$2:$G$230, 3,FALSE),$B$14:AO$73, AO$74,FALSE),"o")=$D$4,IFERROR(VLOOKUP(VLOOKUP($B71, Dependencies!$B$2:$G$230, 4,FALSE),$B$14:AO$73, AO$74,FALSE),"o")=$D$4,IFERROR(VLOOKUP(VLOOKUP($B71, Dependencies!$B$2:$G$230, 5,FALSE),$B$14:AO$73, AO$74,FALSE),"o")=$D$4,IFERROR(VLOOKUP(VLOOKUP($B71, Dependencies!$B$2:$G$230, 6,FALSE),$B$14:AO$73, AO$74,FALSE),"o")=$D$4),$D$4,IF(OR(IFERROR(VLOOKUP(VLOOKUP($B71, Dependencies!$B$2:$G$230, 2,FALSE), $B$14:AO$73, AO$74,FALSE),"o")=$D$5,IFERROR(VLOOKUP(VLOOKUP($B71, Dependencies!$B$2:$G$230, 3,FALSE), $B$14:AO$73, AO$74,FALSE),"o")=$D$5,IFERROR(VLOOKUP(VLOOKUP($B71, Dependencies!$B$2:$G$230, 4,FALSE), $B$14:AO$73, AO$74,FALSE),"o")=$D$5,IFERROR(VLOOKUP(VLOOKUP($B71, Dependencies!$B$2:$G$230, 5,FALSE), $B$14:AO$73, AO$74,FALSE),"o")=$D$5,IFERROR(VLOOKUP(VLOOKUP($B71, Dependencies!$B$2:$G$230, 6,FALSE), $B$14:AO$73, AO$74,FALSE),"o")=$D$5),$D$5,AN71)))</f>
        <v>o</v>
      </c>
      <c r="AP71" s="94" t="s">
        <v>323</v>
      </c>
      <c r="AQ71" s="72" t="str">
        <f>IF(AP71=$D$4,AP71,IF(OR(IFERROR(VLOOKUP(VLOOKUP($B71, Dependencies!$B$2:$G$230, 2,FALSE),$B$14:AQ$73, AQ$74,FALSE),"o")=$D$4,IFERROR(VLOOKUP(VLOOKUP($B71, Dependencies!$B$2:$G$230, 3,FALSE),$B$14:AQ$73, AQ$74,FALSE),"o")=$D$4,IFERROR(VLOOKUP(VLOOKUP($B71, Dependencies!$B$2:$G$230, 4,FALSE),$B$14:AQ$73, AQ$74,FALSE),"o")=$D$4,IFERROR(VLOOKUP(VLOOKUP($B71, Dependencies!$B$2:$G$230, 5,FALSE),$B$14:AQ$73, AQ$74,FALSE),"o")=$D$4,IFERROR(VLOOKUP(VLOOKUP($B71, Dependencies!$B$2:$G$230, 6,FALSE),$B$14:AQ$73, AQ$74,FALSE),"o")=$D$4),$D$4,IF(OR(IFERROR(VLOOKUP(VLOOKUP($B71, Dependencies!$B$2:$G$230, 2,FALSE), $B$14:AQ$73, AQ$74,FALSE),"o")=$D$5,IFERROR(VLOOKUP(VLOOKUP($B71, Dependencies!$B$2:$G$230, 3,FALSE), $B$14:AQ$73, AQ$74,FALSE),"o")=$D$5,IFERROR(VLOOKUP(VLOOKUP($B71, Dependencies!$B$2:$G$230, 4,FALSE), $B$14:AQ$73, AQ$74,FALSE),"o")=$D$5,IFERROR(VLOOKUP(VLOOKUP($B71, Dependencies!$B$2:$G$230, 5,FALSE), $B$14:AQ$73, AQ$74,FALSE),"o")=$D$5,IFERROR(VLOOKUP(VLOOKUP($B71, Dependencies!$B$2:$G$230, 6,FALSE), $B$14:AQ$73, AQ$74,FALSE),"o")=$D$5),$D$5,AP71)))</f>
        <v>o</v>
      </c>
      <c r="AR71" s="94" t="s">
        <v>323</v>
      </c>
      <c r="AS71" s="71" t="str">
        <f>IF(AR71=$D$4,AR71,IF(OR(IFERROR(VLOOKUP(VLOOKUP($B71, Dependencies!$B$2:$G$230, 2,FALSE),$B$14:AS$73, AS$74,FALSE),"o")=$D$4,IFERROR(VLOOKUP(VLOOKUP($B71, Dependencies!$B$2:$G$230, 3,FALSE),$B$14:AS$73, AS$74,FALSE),"o")=$D$4,IFERROR(VLOOKUP(VLOOKUP($B71, Dependencies!$B$2:$G$230, 4,FALSE),$B$14:AS$73, AS$74,FALSE),"o")=$D$4,IFERROR(VLOOKUP(VLOOKUP($B71, Dependencies!$B$2:$G$230, 5,FALSE),$B$14:AS$73, AS$74,FALSE),"o")=$D$4,IFERROR(VLOOKUP(VLOOKUP($B71, Dependencies!$B$2:$G$230, 6,FALSE),$B$14:AS$73, AS$74,FALSE),"o")=$D$4),$D$4,IF(OR(IFERROR(VLOOKUP(VLOOKUP($B71, Dependencies!$B$2:$G$230, 2,FALSE), $B$14:AS$73, AS$74,FALSE),"o")=$D$5,IFERROR(VLOOKUP(VLOOKUP($B71, Dependencies!$B$2:$G$230, 3,FALSE), $B$14:AS$73, AS$74,FALSE),"o")=$D$5,IFERROR(VLOOKUP(VLOOKUP($B71, Dependencies!$B$2:$G$230, 4,FALSE), $B$14:AS$73, AS$74,FALSE),"o")=$D$5,IFERROR(VLOOKUP(VLOOKUP($B71, Dependencies!$B$2:$G$230, 5,FALSE), $B$14:AS$73, AS$74,FALSE),"o")=$D$5,IFERROR(VLOOKUP(VLOOKUP($B71, Dependencies!$B$2:$G$230, 6,FALSE), $B$14:AS$73, AS$74,FALSE),"o")=$D$5),$D$5,AR71)))</f>
        <v>o</v>
      </c>
    </row>
    <row r="72" spans="1:45" x14ac:dyDescent="0.2">
      <c r="A72" s="40"/>
      <c r="B72" s="73" t="str">
        <f>MLEOsv2!A60</f>
        <v>MLEO_11_03</v>
      </c>
      <c r="C72" s="73">
        <f>MLEOsv2!C60</f>
        <v>11</v>
      </c>
      <c r="D72" s="42" t="str">
        <f>MLEOsv2!G60</f>
        <v>identify lifelines and activations.</v>
      </c>
      <c r="E72" s="51" t="b">
        <f>MLEOsv2!H60</f>
        <v>1</v>
      </c>
      <c r="F72" s="93" t="s">
        <v>323</v>
      </c>
      <c r="G72" s="70" t="str">
        <f>IF(F72=$D$4,F72,IF(OR(IFERROR(VLOOKUP(VLOOKUP($B72, Dependencies!$B$2:$G$230, 2,FALSE),$B$14:G$73, G$74,FALSE),"o")=$D$4,IFERROR(VLOOKUP(VLOOKUP($B72, Dependencies!$B$2:$G$230, 3,FALSE),$B$14:G$73, G$74,FALSE),"o")=$D$4,IFERROR(VLOOKUP(VLOOKUP($B72, Dependencies!$B$2:$G$230, 4,FALSE),$B$14:G$73, G$74,FALSE),"o")=$D$4,IFERROR(VLOOKUP(VLOOKUP($B72, Dependencies!$B$2:$G$230, 5,FALSE),$B$14:G$73, G$74,FALSE),"o")=$D$4,IFERROR(VLOOKUP(VLOOKUP($B72, Dependencies!$B$2:$G$230, 6,FALSE),$B$14:G$73, G$74,FALSE),"o")=$D$4),$D$4,IF(OR(IFERROR(VLOOKUP(VLOOKUP($B72, Dependencies!$B$2:$G$230, 2,FALSE), $B$14:G$73, G$74,FALSE),"o")=$D$5,IFERROR(VLOOKUP(VLOOKUP($B72, Dependencies!$B$2:$G$230, 3,FALSE), $B$14:G$73, G$74,FALSE),"o")=$D$5,IFERROR(VLOOKUP(VLOOKUP($B72, Dependencies!$B$2:$G$230, 4,FALSE), $B$14:G$73, G$74,FALSE),"o")=$D$5,IFERROR(VLOOKUP(VLOOKUP($B72, Dependencies!$B$2:$G$230, 5,FALSE), $B$14:G$73, G$74,FALSE),"o")=$D$5,IFERROR(VLOOKUP(VLOOKUP($B72, Dependencies!$B$2:$G$230, 6,FALSE), $B$14:G$73, G$74,FALSE),"o")=$D$5),$D$5,F72)))</f>
        <v>o</v>
      </c>
      <c r="H72" s="93" t="s">
        <v>321</v>
      </c>
      <c r="I72" s="70" t="str">
        <f>IF(H72=$D$4,H72,IF(OR(IFERROR(VLOOKUP(VLOOKUP($B72, Dependencies!$B$2:$G$230, 2,FALSE),$B$14:I$73, I$74,FALSE),"o")=$D$4,IFERROR(VLOOKUP(VLOOKUP($B72, Dependencies!$B$2:$G$230, 3,FALSE),$B$14:I$73, I$74,FALSE),"o")=$D$4,IFERROR(VLOOKUP(VLOOKUP($B72, Dependencies!$B$2:$G$230, 4,FALSE),$B$14:I$73, I$74,FALSE),"o")=$D$4,IFERROR(VLOOKUP(VLOOKUP($B72, Dependencies!$B$2:$G$230, 5,FALSE),$B$14:I$73, I$74,FALSE),"o")=$D$4,IFERROR(VLOOKUP(VLOOKUP($B72, Dependencies!$B$2:$G$230, 6,FALSE),$B$14:I$73, I$74,FALSE),"o")=$D$4),$D$4,IF(OR(IFERROR(VLOOKUP(VLOOKUP($B72, Dependencies!$B$2:$G$230, 2,FALSE), $B$14:I$73, I$74,FALSE),"o")=$D$5,IFERROR(VLOOKUP(VLOOKUP($B72, Dependencies!$B$2:$G$230, 3,FALSE), $B$14:I$73, I$74,FALSE),"o")=$D$5,IFERROR(VLOOKUP(VLOOKUP($B72, Dependencies!$B$2:$G$230, 4,FALSE), $B$14:I$73, I$74,FALSE),"o")=$D$5,IFERROR(VLOOKUP(VLOOKUP($B72, Dependencies!$B$2:$G$230, 5,FALSE), $B$14:I$73, I$74,FALSE),"o")=$D$5,IFERROR(VLOOKUP(VLOOKUP($B72, Dependencies!$B$2:$G$230, 6,FALSE), $B$14:I$73, I$74,FALSE),"o")=$D$5),$D$5,H72)))</f>
        <v>pr</v>
      </c>
      <c r="J72" s="93" t="s">
        <v>321</v>
      </c>
      <c r="K72" s="70" t="str">
        <f>IF(J72=$D$4,J72,IF(OR(IFERROR(VLOOKUP(VLOOKUP($B72, Dependencies!$B$2:$G$230, 2,FALSE),$B$14:K$73, K$74,FALSE),"o")=$D$4,IFERROR(VLOOKUP(VLOOKUP($B72, Dependencies!$B$2:$G$230, 3,FALSE),$B$14:K$73, K$74,FALSE),"o")=$D$4,IFERROR(VLOOKUP(VLOOKUP($B72, Dependencies!$B$2:$G$230, 4,FALSE),$B$14:K$73, K$74,FALSE),"o")=$D$4,IFERROR(VLOOKUP(VLOOKUP($B72, Dependencies!$B$2:$G$230, 5,FALSE),$B$14:K$73, K$74,FALSE),"o")=$D$4,IFERROR(VLOOKUP(VLOOKUP($B72, Dependencies!$B$2:$G$230, 6,FALSE),$B$14:K$73, K$74,FALSE),"o")=$D$4),$D$4,IF(OR(IFERROR(VLOOKUP(VLOOKUP($B72, Dependencies!$B$2:$G$230, 2,FALSE), $B$14:K$73, K$74,FALSE),"o")=$D$5,IFERROR(VLOOKUP(VLOOKUP($B72, Dependencies!$B$2:$G$230, 3,FALSE), $B$14:K$73, K$74,FALSE),"o")=$D$5,IFERROR(VLOOKUP(VLOOKUP($B72, Dependencies!$B$2:$G$230, 4,FALSE), $B$14:K$73, K$74,FALSE),"o")=$D$5,IFERROR(VLOOKUP(VLOOKUP($B72, Dependencies!$B$2:$G$230, 5,FALSE), $B$14:K$73, K$74,FALSE),"o")=$D$5,IFERROR(VLOOKUP(VLOOKUP($B72, Dependencies!$B$2:$G$230, 6,FALSE), $B$14:K$73, K$74,FALSE),"o")=$D$5),$D$5,J72)))</f>
        <v>pr</v>
      </c>
      <c r="L72" s="93" t="s">
        <v>323</v>
      </c>
      <c r="M72" s="70" t="str">
        <f>IF(L72=$D$4,L72,IF(OR(IFERROR(VLOOKUP(VLOOKUP($B72, Dependencies!$B$2:$G$230, 2,FALSE),$B$14:M$73, M$74,FALSE),"o")=$D$4,IFERROR(VLOOKUP(VLOOKUP($B72, Dependencies!$B$2:$G$230, 3,FALSE),$B$14:M$73, M$74,FALSE),"o")=$D$4,IFERROR(VLOOKUP(VLOOKUP($B72, Dependencies!$B$2:$G$230, 4,FALSE),$B$14:M$73, M$74,FALSE),"o")=$D$4,IFERROR(VLOOKUP(VLOOKUP($B72, Dependencies!$B$2:$G$230, 5,FALSE),$B$14:M$73, M$74,FALSE),"o")=$D$4,IFERROR(VLOOKUP(VLOOKUP($B72, Dependencies!$B$2:$G$230, 6,FALSE),$B$14:M$73, M$74,FALSE),"o")=$D$4),$D$4,IF(OR(IFERROR(VLOOKUP(VLOOKUP($B72, Dependencies!$B$2:$G$230, 2,FALSE), $B$14:M$73, M$74,FALSE),"o")=$D$5,IFERROR(VLOOKUP(VLOOKUP($B72, Dependencies!$B$2:$G$230, 3,FALSE), $B$14:M$73, M$74,FALSE),"o")=$D$5,IFERROR(VLOOKUP(VLOOKUP($B72, Dependencies!$B$2:$G$230, 4,FALSE), $B$14:M$73, M$74,FALSE),"o")=$D$5,IFERROR(VLOOKUP(VLOOKUP($B72, Dependencies!$B$2:$G$230, 5,FALSE), $B$14:M$73, M$74,FALSE),"o")=$D$5,IFERROR(VLOOKUP(VLOOKUP($B72, Dependencies!$B$2:$G$230, 6,FALSE), $B$14:M$73, M$74,FALSE),"o")=$D$5),$D$5,L72)))</f>
        <v>o</v>
      </c>
      <c r="N72" s="93" t="s">
        <v>323</v>
      </c>
      <c r="O72" s="70" t="str">
        <f>IF(N72=$D$4,N72,IF(OR(IFERROR(VLOOKUP(VLOOKUP($B72, Dependencies!$B$2:$G$230, 2,FALSE),$B$14:O$73, O$74,FALSE),"o")=$D$4,IFERROR(VLOOKUP(VLOOKUP($B72, Dependencies!$B$2:$G$230, 3,FALSE),$B$14:O$73, O$74,FALSE),"o")=$D$4,IFERROR(VLOOKUP(VLOOKUP($B72, Dependencies!$B$2:$G$230, 4,FALSE),$B$14:O$73, O$74,FALSE),"o")=$D$4,IFERROR(VLOOKUP(VLOOKUP($B72, Dependencies!$B$2:$G$230, 5,FALSE),$B$14:O$73, O$74,FALSE),"o")=$D$4,IFERROR(VLOOKUP(VLOOKUP($B72, Dependencies!$B$2:$G$230, 6,FALSE),$B$14:O$73, O$74,FALSE),"o")=$D$4),$D$4,IF(OR(IFERROR(VLOOKUP(VLOOKUP($B72, Dependencies!$B$2:$G$230, 2,FALSE), $B$14:O$73, O$74,FALSE),"o")=$D$5,IFERROR(VLOOKUP(VLOOKUP($B72, Dependencies!$B$2:$G$230, 3,FALSE), $B$14:O$73, O$74,FALSE),"o")=$D$5,IFERROR(VLOOKUP(VLOOKUP($B72, Dependencies!$B$2:$G$230, 4,FALSE), $B$14:O$73, O$74,FALSE),"o")=$D$5,IFERROR(VLOOKUP(VLOOKUP($B72, Dependencies!$B$2:$G$230, 5,FALSE), $B$14:O$73, O$74,FALSE),"o")=$D$5,IFERROR(VLOOKUP(VLOOKUP($B72, Dependencies!$B$2:$G$230, 6,FALSE), $B$14:O$73, O$74,FALSE),"o")=$D$5),$D$5,N72)))</f>
        <v>o</v>
      </c>
      <c r="P72" s="93" t="s">
        <v>323</v>
      </c>
      <c r="Q72" s="70" t="str">
        <f>IF(P72=$D$4,P72,IF(OR(IFERROR(VLOOKUP(VLOOKUP($B72, Dependencies!$B$2:$G$230, 2,FALSE),$B$14:Q$73, Q$74,FALSE),"o")=$D$4,IFERROR(VLOOKUP(VLOOKUP($B72, Dependencies!$B$2:$G$230, 3,FALSE),$B$14:Q$73, Q$74,FALSE),"o")=$D$4,IFERROR(VLOOKUP(VLOOKUP($B72, Dependencies!$B$2:$G$230, 4,FALSE),$B$14:Q$73, Q$74,FALSE),"o")=$D$4,IFERROR(VLOOKUP(VLOOKUP($B72, Dependencies!$B$2:$G$230, 5,FALSE),$B$14:Q$73, Q$74,FALSE),"o")=$D$4,IFERROR(VLOOKUP(VLOOKUP($B72, Dependencies!$B$2:$G$230, 6,FALSE),$B$14:Q$73, Q$74,FALSE),"o")=$D$4),$D$4,IF(OR(IFERROR(VLOOKUP(VLOOKUP($B72, Dependencies!$B$2:$G$230, 2,FALSE), $B$14:Q$73, Q$74,FALSE),"o")=$D$5,IFERROR(VLOOKUP(VLOOKUP($B72, Dependencies!$B$2:$G$230, 3,FALSE), $B$14:Q$73, Q$74,FALSE),"o")=$D$5,IFERROR(VLOOKUP(VLOOKUP($B72, Dependencies!$B$2:$G$230, 4,FALSE), $B$14:Q$73, Q$74,FALSE),"o")=$D$5,IFERROR(VLOOKUP(VLOOKUP($B72, Dependencies!$B$2:$G$230, 5,FALSE), $B$14:Q$73, Q$74,FALSE),"o")=$D$5,IFERROR(VLOOKUP(VLOOKUP($B72, Dependencies!$B$2:$G$230, 6,FALSE), $B$14:Q$73, Q$74,FALSE),"o")=$D$5),$D$5,P72)))</f>
        <v>o</v>
      </c>
      <c r="R72" s="93" t="s">
        <v>323</v>
      </c>
      <c r="S72" s="70" t="str">
        <f>IF(R72=$D$4,R72,IF(OR(IFERROR(VLOOKUP(VLOOKUP($B72, Dependencies!$B$2:$G$230, 2,FALSE),$B$14:S$73, S$74,FALSE),"o")=$D$4,IFERROR(VLOOKUP(VLOOKUP($B72, Dependencies!$B$2:$G$230, 3,FALSE),$B$14:S$73, S$74,FALSE),"o")=$D$4,IFERROR(VLOOKUP(VLOOKUP($B72, Dependencies!$B$2:$G$230, 4,FALSE),$B$14:S$73, S$74,FALSE),"o")=$D$4,IFERROR(VLOOKUP(VLOOKUP($B72, Dependencies!$B$2:$G$230, 5,FALSE),$B$14:S$73, S$74,FALSE),"o")=$D$4,IFERROR(VLOOKUP(VLOOKUP($B72, Dependencies!$B$2:$G$230, 6,FALSE),$B$14:S$73, S$74,FALSE),"o")=$D$4),$D$4,IF(OR(IFERROR(VLOOKUP(VLOOKUP($B72, Dependencies!$B$2:$G$230, 2,FALSE), $B$14:S$73, S$74,FALSE),"o")=$D$5,IFERROR(VLOOKUP(VLOOKUP($B72, Dependencies!$B$2:$G$230, 3,FALSE), $B$14:S$73, S$74,FALSE),"o")=$D$5,IFERROR(VLOOKUP(VLOOKUP($B72, Dependencies!$B$2:$G$230, 4,FALSE), $B$14:S$73, S$74,FALSE),"o")=$D$5,IFERROR(VLOOKUP(VLOOKUP($B72, Dependencies!$B$2:$G$230, 5,FALSE), $B$14:S$73, S$74,FALSE),"o")=$D$5,IFERROR(VLOOKUP(VLOOKUP($B72, Dependencies!$B$2:$G$230, 6,FALSE), $B$14:S$73, S$74,FALSE),"o")=$D$5),$D$5,R72)))</f>
        <v>o</v>
      </c>
      <c r="T72" s="93" t="s">
        <v>323</v>
      </c>
      <c r="U72" s="70" t="str">
        <f>IF(T72=$D$4,T72,IF(OR(IFERROR(VLOOKUP(VLOOKUP($B72, Dependencies!$B$2:$G$230, 2,FALSE),$B$14:U$73, U$74,FALSE),"o")=$D$4,IFERROR(VLOOKUP(VLOOKUP($B72, Dependencies!$B$2:$G$230, 3,FALSE),$B$14:U$73, U$74,FALSE),"o")=$D$4,IFERROR(VLOOKUP(VLOOKUP($B72, Dependencies!$B$2:$G$230, 4,FALSE),$B$14:U$73, U$74,FALSE),"o")=$D$4,IFERROR(VLOOKUP(VLOOKUP($B72, Dependencies!$B$2:$G$230, 5,FALSE),$B$14:U$73, U$74,FALSE),"o")=$D$4,IFERROR(VLOOKUP(VLOOKUP($B72, Dependencies!$B$2:$G$230, 6,FALSE),$B$14:U$73, U$74,FALSE),"o")=$D$4),$D$4,IF(OR(IFERROR(VLOOKUP(VLOOKUP($B72, Dependencies!$B$2:$G$230, 2,FALSE), $B$14:U$73, U$74,FALSE),"o")=$D$5,IFERROR(VLOOKUP(VLOOKUP($B72, Dependencies!$B$2:$G$230, 3,FALSE), $B$14:U$73, U$74,FALSE),"o")=$D$5,IFERROR(VLOOKUP(VLOOKUP($B72, Dependencies!$B$2:$G$230, 4,FALSE), $B$14:U$73, U$74,FALSE),"o")=$D$5,IFERROR(VLOOKUP(VLOOKUP($B72, Dependencies!$B$2:$G$230, 5,FALSE), $B$14:U$73, U$74,FALSE),"o")=$D$5,IFERROR(VLOOKUP(VLOOKUP($B72, Dependencies!$B$2:$G$230, 6,FALSE), $B$14:U$73, U$74,FALSE),"o")=$D$5),$D$5,T72)))</f>
        <v>o</v>
      </c>
      <c r="V72" s="93" t="s">
        <v>323</v>
      </c>
      <c r="W72" s="70" t="str">
        <f>IF(V72=$D$4,V72,IF(OR(IFERROR(VLOOKUP(VLOOKUP($B72, Dependencies!$B$2:$G$230, 2,FALSE),$B$14:W$73, W$74,FALSE),"o")=$D$4,IFERROR(VLOOKUP(VLOOKUP($B72, Dependencies!$B$2:$G$230, 3,FALSE),$B$14:W$73, W$74,FALSE),"o")=$D$4,IFERROR(VLOOKUP(VLOOKUP($B72, Dependencies!$B$2:$G$230, 4,FALSE),$B$14:W$73, W$74,FALSE),"o")=$D$4,IFERROR(VLOOKUP(VLOOKUP($B72, Dependencies!$B$2:$G$230, 5,FALSE),$B$14:W$73, W$74,FALSE),"o")=$D$4,IFERROR(VLOOKUP(VLOOKUP($B72, Dependencies!$B$2:$G$230, 6,FALSE),$B$14:W$73, W$74,FALSE),"o")=$D$4),$D$4,IF(OR(IFERROR(VLOOKUP(VLOOKUP($B72, Dependencies!$B$2:$G$230, 2,FALSE), $B$14:W$73, W$74,FALSE),"o")=$D$5,IFERROR(VLOOKUP(VLOOKUP($B72, Dependencies!$B$2:$G$230, 3,FALSE), $B$14:W$73, W$74,FALSE),"o")=$D$5,IFERROR(VLOOKUP(VLOOKUP($B72, Dependencies!$B$2:$G$230, 4,FALSE), $B$14:W$73, W$74,FALSE),"o")=$D$5,IFERROR(VLOOKUP(VLOOKUP($B72, Dependencies!$B$2:$G$230, 5,FALSE), $B$14:W$73, W$74,FALSE),"o")=$D$5,IFERROR(VLOOKUP(VLOOKUP($B72, Dependencies!$B$2:$G$230, 6,FALSE), $B$14:W$73, W$74,FALSE),"o")=$D$5),$D$5,V72)))</f>
        <v>o</v>
      </c>
      <c r="X72" s="93" t="s">
        <v>323</v>
      </c>
      <c r="Y72" s="70" t="str">
        <f>IF(X72=$D$4,X72,IF(OR(IFERROR(VLOOKUP(VLOOKUP($B72, Dependencies!$B$2:$G$230, 2,FALSE),$B$14:Y$73, Y$74,FALSE),"o")=$D$4,IFERROR(VLOOKUP(VLOOKUP($B72, Dependencies!$B$2:$G$230, 3,FALSE),$B$14:Y$73, Y$74,FALSE),"o")=$D$4,IFERROR(VLOOKUP(VLOOKUP($B72, Dependencies!$B$2:$G$230, 4,FALSE),$B$14:Y$73, Y$74,FALSE),"o")=$D$4,IFERROR(VLOOKUP(VLOOKUP($B72, Dependencies!$B$2:$G$230, 5,FALSE),$B$14:Y$73, Y$74,FALSE),"o")=$D$4,IFERROR(VLOOKUP(VLOOKUP($B72, Dependencies!$B$2:$G$230, 6,FALSE),$B$14:Y$73, Y$74,FALSE),"o")=$D$4),$D$4,IF(OR(IFERROR(VLOOKUP(VLOOKUP($B72, Dependencies!$B$2:$G$230, 2,FALSE), $B$14:Y$73, Y$74,FALSE),"o")=$D$5,IFERROR(VLOOKUP(VLOOKUP($B72, Dependencies!$B$2:$G$230, 3,FALSE), $B$14:Y$73, Y$74,FALSE),"o")=$D$5,IFERROR(VLOOKUP(VLOOKUP($B72, Dependencies!$B$2:$G$230, 4,FALSE), $B$14:Y$73, Y$74,FALSE),"o")=$D$5,IFERROR(VLOOKUP(VLOOKUP($B72, Dependencies!$B$2:$G$230, 5,FALSE), $B$14:Y$73, Y$74,FALSE),"o")=$D$5,IFERROR(VLOOKUP(VLOOKUP($B72, Dependencies!$B$2:$G$230, 6,FALSE), $B$14:Y$73, Y$74,FALSE),"o")=$D$5),$D$5,X72)))</f>
        <v>o</v>
      </c>
      <c r="Z72" s="93" t="s">
        <v>323</v>
      </c>
      <c r="AA72" s="70" t="str">
        <f>IF(Z72=$D$4,Z72,IF(OR(IFERROR(VLOOKUP(VLOOKUP($B72, Dependencies!$B$2:$G$230, 2,FALSE),$B$14:AA$73, AA$74,FALSE),"o")=$D$4,IFERROR(VLOOKUP(VLOOKUP($B72, Dependencies!$B$2:$G$230, 3,FALSE),$B$14:AA$73, AA$74,FALSE),"o")=$D$4,IFERROR(VLOOKUP(VLOOKUP($B72, Dependencies!$B$2:$G$230, 4,FALSE),$B$14:AA$73, AA$74,FALSE),"o")=$D$4,IFERROR(VLOOKUP(VLOOKUP($B72, Dependencies!$B$2:$G$230, 5,FALSE),$B$14:AA$73, AA$74,FALSE),"o")=$D$4,IFERROR(VLOOKUP(VLOOKUP($B72, Dependencies!$B$2:$G$230, 6,FALSE),$B$14:AA$73, AA$74,FALSE),"o")=$D$4),$D$4,IF(OR(IFERROR(VLOOKUP(VLOOKUP($B72, Dependencies!$B$2:$G$230, 2,FALSE), $B$14:AA$73, AA$74,FALSE),"o")=$D$5,IFERROR(VLOOKUP(VLOOKUP($B72, Dependencies!$B$2:$G$230, 3,FALSE), $B$14:AA$73, AA$74,FALSE),"o")=$D$5,IFERROR(VLOOKUP(VLOOKUP($B72, Dependencies!$B$2:$G$230, 4,FALSE), $B$14:AA$73, AA$74,FALSE),"o")=$D$5,IFERROR(VLOOKUP(VLOOKUP($B72, Dependencies!$B$2:$G$230, 5,FALSE), $B$14:AA$73, AA$74,FALSE),"o")=$D$5,IFERROR(VLOOKUP(VLOOKUP($B72, Dependencies!$B$2:$G$230, 6,FALSE), $B$14:AA$73, AA$74,FALSE),"o")=$D$5),$D$5,Z72)))</f>
        <v>o</v>
      </c>
      <c r="AB72" s="93" t="s">
        <v>323</v>
      </c>
      <c r="AC72" s="70" t="str">
        <f>IF(AB72=$D$4,AB72,IF(OR(IFERROR(VLOOKUP(VLOOKUP($B72, Dependencies!$B$2:$G$230, 2,FALSE),$B$14:AC$73, AC$74,FALSE),"o")=$D$4,IFERROR(VLOOKUP(VLOOKUP($B72, Dependencies!$B$2:$G$230, 3,FALSE),$B$14:AC$73, AC$74,FALSE),"o")=$D$4,IFERROR(VLOOKUP(VLOOKUP($B72, Dependencies!$B$2:$G$230, 4,FALSE),$B$14:AC$73, AC$74,FALSE),"o")=$D$4,IFERROR(VLOOKUP(VLOOKUP($B72, Dependencies!$B$2:$G$230, 5,FALSE),$B$14:AC$73, AC$74,FALSE),"o")=$D$4,IFERROR(VLOOKUP(VLOOKUP($B72, Dependencies!$B$2:$G$230, 6,FALSE),$B$14:AC$73, AC$74,FALSE),"o")=$D$4),$D$4,IF(OR(IFERROR(VLOOKUP(VLOOKUP($B72, Dependencies!$B$2:$G$230, 2,FALSE), $B$14:AC$73, AC$74,FALSE),"o")=$D$5,IFERROR(VLOOKUP(VLOOKUP($B72, Dependencies!$B$2:$G$230, 3,FALSE), $B$14:AC$73, AC$74,FALSE),"o")=$D$5,IFERROR(VLOOKUP(VLOOKUP($B72, Dependencies!$B$2:$G$230, 4,FALSE), $B$14:AC$73, AC$74,FALSE),"o")=$D$5,IFERROR(VLOOKUP(VLOOKUP($B72, Dependencies!$B$2:$G$230, 5,FALSE), $B$14:AC$73, AC$74,FALSE),"o")=$D$5,IFERROR(VLOOKUP(VLOOKUP($B72, Dependencies!$B$2:$G$230, 6,FALSE), $B$14:AC$73, AC$74,FALSE),"o")=$D$5),$D$5,AB72)))</f>
        <v>o</v>
      </c>
      <c r="AD72" s="93" t="s">
        <v>323</v>
      </c>
      <c r="AE72" s="70" t="str">
        <f>IF(AD72=$D$4,AD72,IF(OR(IFERROR(VLOOKUP(VLOOKUP($B72, Dependencies!$B$2:$G$230, 2,FALSE),$B$14:AE$73, AE$74,FALSE),"o")=$D$4,IFERROR(VLOOKUP(VLOOKUP($B72, Dependencies!$B$2:$G$230, 3,FALSE),$B$14:AE$73, AE$74,FALSE),"o")=$D$4,IFERROR(VLOOKUP(VLOOKUP($B72, Dependencies!$B$2:$G$230, 4,FALSE),$B$14:AE$73, AE$74,FALSE),"o")=$D$4,IFERROR(VLOOKUP(VLOOKUP($B72, Dependencies!$B$2:$G$230, 5,FALSE),$B$14:AE$73, AE$74,FALSE),"o")=$D$4,IFERROR(VLOOKUP(VLOOKUP($B72, Dependencies!$B$2:$G$230, 6,FALSE),$B$14:AE$73, AE$74,FALSE),"o")=$D$4),$D$4,IF(OR(IFERROR(VLOOKUP(VLOOKUP($B72, Dependencies!$B$2:$G$230, 2,FALSE), $B$14:AE$73, AE$74,FALSE),"o")=$D$5,IFERROR(VLOOKUP(VLOOKUP($B72, Dependencies!$B$2:$G$230, 3,FALSE), $B$14:AE$73, AE$74,FALSE),"o")=$D$5,IFERROR(VLOOKUP(VLOOKUP($B72, Dependencies!$B$2:$G$230, 4,FALSE), $B$14:AE$73, AE$74,FALSE),"o")=$D$5,IFERROR(VLOOKUP(VLOOKUP($B72, Dependencies!$B$2:$G$230, 5,FALSE), $B$14:AE$73, AE$74,FALSE),"o")=$D$5,IFERROR(VLOOKUP(VLOOKUP($B72, Dependencies!$B$2:$G$230, 6,FALSE), $B$14:AE$73, AE$74,FALSE),"o")=$D$5),$D$5,AD72)))</f>
        <v>o</v>
      </c>
      <c r="AF72" s="93" t="s">
        <v>323</v>
      </c>
      <c r="AG72" s="70" t="str">
        <f>IF(AF72=$D$4,AF72,IF(OR(IFERROR(VLOOKUP(VLOOKUP($B72, Dependencies!$B$2:$G$230, 2,FALSE),$B$14:AG$73, AG$74,FALSE),"o")=$D$4,IFERROR(VLOOKUP(VLOOKUP($B72, Dependencies!$B$2:$G$230, 3,FALSE),$B$14:AG$73, AG$74,FALSE),"o")=$D$4,IFERROR(VLOOKUP(VLOOKUP($B72, Dependencies!$B$2:$G$230, 4,FALSE),$B$14:AG$73, AG$74,FALSE),"o")=$D$4,IFERROR(VLOOKUP(VLOOKUP($B72, Dependencies!$B$2:$G$230, 5,FALSE),$B$14:AG$73, AG$74,FALSE),"o")=$D$4,IFERROR(VLOOKUP(VLOOKUP($B72, Dependencies!$B$2:$G$230, 6,FALSE),$B$14:AG$73, AG$74,FALSE),"o")=$D$4),$D$4,IF(OR(IFERROR(VLOOKUP(VLOOKUP($B72, Dependencies!$B$2:$G$230, 2,FALSE), $B$14:AG$73, AG$74,FALSE),"o")=$D$5,IFERROR(VLOOKUP(VLOOKUP($B72, Dependencies!$B$2:$G$230, 3,FALSE), $B$14:AG$73, AG$74,FALSE),"o")=$D$5,IFERROR(VLOOKUP(VLOOKUP($B72, Dependencies!$B$2:$G$230, 4,FALSE), $B$14:AG$73, AG$74,FALSE),"o")=$D$5,IFERROR(VLOOKUP(VLOOKUP($B72, Dependencies!$B$2:$G$230, 5,FALSE), $B$14:AG$73, AG$74,FALSE),"o")=$D$5,IFERROR(VLOOKUP(VLOOKUP($B72, Dependencies!$B$2:$G$230, 6,FALSE), $B$14:AG$73, AG$74,FALSE),"o")=$D$5),$D$5,AF72)))</f>
        <v>o</v>
      </c>
      <c r="AH72" s="93" t="s">
        <v>323</v>
      </c>
      <c r="AI72" s="70" t="str">
        <f>IF(AH72=$D$4,AH72,IF(OR(IFERROR(VLOOKUP(VLOOKUP($B72, Dependencies!$B$2:$G$230, 2,FALSE),$B$14:AI$73, AI$74,FALSE),"o")=$D$4,IFERROR(VLOOKUP(VLOOKUP($B72, Dependencies!$B$2:$G$230, 3,FALSE),$B$14:AI$73, AI$74,FALSE),"o")=$D$4,IFERROR(VLOOKUP(VLOOKUP($B72, Dependencies!$B$2:$G$230, 4,FALSE),$B$14:AI$73, AI$74,FALSE),"o")=$D$4,IFERROR(VLOOKUP(VLOOKUP($B72, Dependencies!$B$2:$G$230, 5,FALSE),$B$14:AI$73, AI$74,FALSE),"o")=$D$4,IFERROR(VLOOKUP(VLOOKUP($B72, Dependencies!$B$2:$G$230, 6,FALSE),$B$14:AI$73, AI$74,FALSE),"o")=$D$4),$D$4,IF(OR(IFERROR(VLOOKUP(VLOOKUP($B72, Dependencies!$B$2:$G$230, 2,FALSE), $B$14:AI$73, AI$74,FALSE),"o")=$D$5,IFERROR(VLOOKUP(VLOOKUP($B72, Dependencies!$B$2:$G$230, 3,FALSE), $B$14:AI$73, AI$74,FALSE),"o")=$D$5,IFERROR(VLOOKUP(VLOOKUP($B72, Dependencies!$B$2:$G$230, 4,FALSE), $B$14:AI$73, AI$74,FALSE),"o")=$D$5,IFERROR(VLOOKUP(VLOOKUP($B72, Dependencies!$B$2:$G$230, 5,FALSE), $B$14:AI$73, AI$74,FALSE),"o")=$D$5,IFERROR(VLOOKUP(VLOOKUP($B72, Dependencies!$B$2:$G$230, 6,FALSE), $B$14:AI$73, AI$74,FALSE),"o")=$D$5),$D$5,AH72)))</f>
        <v>o</v>
      </c>
      <c r="AJ72" s="93" t="s">
        <v>323</v>
      </c>
      <c r="AK72" s="70" t="str">
        <f>IF(AJ72=$D$4,AJ72,IF(OR(IFERROR(VLOOKUP(VLOOKUP($B72, Dependencies!$B$2:$G$230, 2,FALSE),$B$14:AK$73, AK$74,FALSE),"o")=$D$4,IFERROR(VLOOKUP(VLOOKUP($B72, Dependencies!$B$2:$G$230, 3,FALSE),$B$14:AK$73, AK$74,FALSE),"o")=$D$4,IFERROR(VLOOKUP(VLOOKUP($B72, Dependencies!$B$2:$G$230, 4,FALSE),$B$14:AK$73, AK$74,FALSE),"o")=$D$4,IFERROR(VLOOKUP(VLOOKUP($B72, Dependencies!$B$2:$G$230, 5,FALSE),$B$14:AK$73, AK$74,FALSE),"o")=$D$4,IFERROR(VLOOKUP(VLOOKUP($B72, Dependencies!$B$2:$G$230, 6,FALSE),$B$14:AK$73, AK$74,FALSE),"o")=$D$4),$D$4,IF(OR(IFERROR(VLOOKUP(VLOOKUP($B72, Dependencies!$B$2:$G$230, 2,FALSE), $B$14:AK$73, AK$74,FALSE),"o")=$D$5,IFERROR(VLOOKUP(VLOOKUP($B72, Dependencies!$B$2:$G$230, 3,FALSE), $B$14:AK$73, AK$74,FALSE),"o")=$D$5,IFERROR(VLOOKUP(VLOOKUP($B72, Dependencies!$B$2:$G$230, 4,FALSE), $B$14:AK$73, AK$74,FALSE),"o")=$D$5,IFERROR(VLOOKUP(VLOOKUP($B72, Dependencies!$B$2:$G$230, 5,FALSE), $B$14:AK$73, AK$74,FALSE),"o")=$D$5,IFERROR(VLOOKUP(VLOOKUP($B72, Dependencies!$B$2:$G$230, 6,FALSE), $B$14:AK$73, AK$74,FALSE),"o")=$D$5),$D$5,AJ72)))</f>
        <v>o</v>
      </c>
      <c r="AL72" s="93" t="s">
        <v>323</v>
      </c>
      <c r="AM72" s="70" t="str">
        <f>IF(AL72=$D$4,AL72,IF(OR(IFERROR(VLOOKUP(VLOOKUP($B72, Dependencies!$B$2:$G$230, 2,FALSE),$B$14:AM$73, AM$74,FALSE),"o")=$D$4,IFERROR(VLOOKUP(VLOOKUP($B72, Dependencies!$B$2:$G$230, 3,FALSE),$B$14:AM$73, AM$74,FALSE),"o")=$D$4,IFERROR(VLOOKUP(VLOOKUP($B72, Dependencies!$B$2:$G$230, 4,FALSE),$B$14:AM$73, AM$74,FALSE),"o")=$D$4,IFERROR(VLOOKUP(VLOOKUP($B72, Dependencies!$B$2:$G$230, 5,FALSE),$B$14:AM$73, AM$74,FALSE),"o")=$D$4,IFERROR(VLOOKUP(VLOOKUP($B72, Dependencies!$B$2:$G$230, 6,FALSE),$B$14:AM$73, AM$74,FALSE),"o")=$D$4),$D$4,IF(OR(IFERROR(VLOOKUP(VLOOKUP($B72, Dependencies!$B$2:$G$230, 2,FALSE), $B$14:AM$73, AM$74,FALSE),"o")=$D$5,IFERROR(VLOOKUP(VLOOKUP($B72, Dependencies!$B$2:$G$230, 3,FALSE), $B$14:AM$73, AM$74,FALSE),"o")=$D$5,IFERROR(VLOOKUP(VLOOKUP($B72, Dependencies!$B$2:$G$230, 4,FALSE), $B$14:AM$73, AM$74,FALSE),"o")=$D$5,IFERROR(VLOOKUP(VLOOKUP($B72, Dependencies!$B$2:$G$230, 5,FALSE), $B$14:AM$73, AM$74,FALSE),"o")=$D$5,IFERROR(VLOOKUP(VLOOKUP($B72, Dependencies!$B$2:$G$230, 6,FALSE), $B$14:AM$73, AM$74,FALSE),"o")=$D$5),$D$5,AL72)))</f>
        <v>o</v>
      </c>
      <c r="AN72" s="93" t="s">
        <v>323</v>
      </c>
      <c r="AO72" s="70" t="str">
        <f>IF(AN72=$D$4,AN72,IF(OR(IFERROR(VLOOKUP(VLOOKUP($B72, Dependencies!$B$2:$G$230, 2,FALSE),$B$14:AO$73, AO$74,FALSE),"o")=$D$4,IFERROR(VLOOKUP(VLOOKUP($B72, Dependencies!$B$2:$G$230, 3,FALSE),$B$14:AO$73, AO$74,FALSE),"o")=$D$4,IFERROR(VLOOKUP(VLOOKUP($B72, Dependencies!$B$2:$G$230, 4,FALSE),$B$14:AO$73, AO$74,FALSE),"o")=$D$4,IFERROR(VLOOKUP(VLOOKUP($B72, Dependencies!$B$2:$G$230, 5,FALSE),$B$14:AO$73, AO$74,FALSE),"o")=$D$4,IFERROR(VLOOKUP(VLOOKUP($B72, Dependencies!$B$2:$G$230, 6,FALSE),$B$14:AO$73, AO$74,FALSE),"o")=$D$4),$D$4,IF(OR(IFERROR(VLOOKUP(VLOOKUP($B72, Dependencies!$B$2:$G$230, 2,FALSE), $B$14:AO$73, AO$74,FALSE),"o")=$D$5,IFERROR(VLOOKUP(VLOOKUP($B72, Dependencies!$B$2:$G$230, 3,FALSE), $B$14:AO$73, AO$74,FALSE),"o")=$D$5,IFERROR(VLOOKUP(VLOOKUP($B72, Dependencies!$B$2:$G$230, 4,FALSE), $B$14:AO$73, AO$74,FALSE),"o")=$D$5,IFERROR(VLOOKUP(VLOOKUP($B72, Dependencies!$B$2:$G$230, 5,FALSE), $B$14:AO$73, AO$74,FALSE),"o")=$D$5,IFERROR(VLOOKUP(VLOOKUP($B72, Dependencies!$B$2:$G$230, 6,FALSE), $B$14:AO$73, AO$74,FALSE),"o")=$D$5),$D$5,AN72)))</f>
        <v>o</v>
      </c>
      <c r="AP72" s="93" t="s">
        <v>323</v>
      </c>
      <c r="AQ72" s="70" t="str">
        <f>IF(AP72=$D$4,AP72,IF(OR(IFERROR(VLOOKUP(VLOOKUP($B72, Dependencies!$B$2:$G$230, 2,FALSE),$B$14:AQ$73, AQ$74,FALSE),"o")=$D$4,IFERROR(VLOOKUP(VLOOKUP($B72, Dependencies!$B$2:$G$230, 3,FALSE),$B$14:AQ$73, AQ$74,FALSE),"o")=$D$4,IFERROR(VLOOKUP(VLOOKUP($B72, Dependencies!$B$2:$G$230, 4,FALSE),$B$14:AQ$73, AQ$74,FALSE),"o")=$D$4,IFERROR(VLOOKUP(VLOOKUP($B72, Dependencies!$B$2:$G$230, 5,FALSE),$B$14:AQ$73, AQ$74,FALSE),"o")=$D$4,IFERROR(VLOOKUP(VLOOKUP($B72, Dependencies!$B$2:$G$230, 6,FALSE),$B$14:AQ$73, AQ$74,FALSE),"o")=$D$4),$D$4,IF(OR(IFERROR(VLOOKUP(VLOOKUP($B72, Dependencies!$B$2:$G$230, 2,FALSE), $B$14:AQ$73, AQ$74,FALSE),"o")=$D$5,IFERROR(VLOOKUP(VLOOKUP($B72, Dependencies!$B$2:$G$230, 3,FALSE), $B$14:AQ$73, AQ$74,FALSE),"o")=$D$5,IFERROR(VLOOKUP(VLOOKUP($B72, Dependencies!$B$2:$G$230, 4,FALSE), $B$14:AQ$73, AQ$74,FALSE),"o")=$D$5,IFERROR(VLOOKUP(VLOOKUP($B72, Dependencies!$B$2:$G$230, 5,FALSE), $B$14:AQ$73, AQ$74,FALSE),"o")=$D$5,IFERROR(VLOOKUP(VLOOKUP($B72, Dependencies!$B$2:$G$230, 6,FALSE), $B$14:AQ$73, AQ$74,FALSE),"o")=$D$5),$D$5,AP72)))</f>
        <v>o</v>
      </c>
      <c r="AR72" s="93" t="s">
        <v>323</v>
      </c>
      <c r="AS72" s="69" t="str">
        <f>IF(AR72=$D$4,AR72,IF(OR(IFERROR(VLOOKUP(VLOOKUP($B72, Dependencies!$B$2:$G$230, 2,FALSE),$B$14:AS$73, AS$74,FALSE),"o")=$D$4,IFERROR(VLOOKUP(VLOOKUP($B72, Dependencies!$B$2:$G$230, 3,FALSE),$B$14:AS$73, AS$74,FALSE),"o")=$D$4,IFERROR(VLOOKUP(VLOOKUP($B72, Dependencies!$B$2:$G$230, 4,FALSE),$B$14:AS$73, AS$74,FALSE),"o")=$D$4,IFERROR(VLOOKUP(VLOOKUP($B72, Dependencies!$B$2:$G$230, 5,FALSE),$B$14:AS$73, AS$74,FALSE),"o")=$D$4,IFERROR(VLOOKUP(VLOOKUP($B72, Dependencies!$B$2:$G$230, 6,FALSE),$B$14:AS$73, AS$74,FALSE),"o")=$D$4),$D$4,IF(OR(IFERROR(VLOOKUP(VLOOKUP($B72, Dependencies!$B$2:$G$230, 2,FALSE), $B$14:AS$73, AS$74,FALSE),"o")=$D$5,IFERROR(VLOOKUP(VLOOKUP($B72, Dependencies!$B$2:$G$230, 3,FALSE), $B$14:AS$73, AS$74,FALSE),"o")=$D$5,IFERROR(VLOOKUP(VLOOKUP($B72, Dependencies!$B$2:$G$230, 4,FALSE), $B$14:AS$73, AS$74,FALSE),"o")=$D$5,IFERROR(VLOOKUP(VLOOKUP($B72, Dependencies!$B$2:$G$230, 5,FALSE), $B$14:AS$73, AS$74,FALSE),"o")=$D$5,IFERROR(VLOOKUP(VLOOKUP($B72, Dependencies!$B$2:$G$230, 6,FALSE), $B$14:AS$73, AS$74,FALSE),"o")=$D$5),$D$5,AR72)))</f>
        <v>o</v>
      </c>
    </row>
    <row r="73" spans="1:45" x14ac:dyDescent="0.2">
      <c r="A73" s="40"/>
      <c r="B73" s="74" t="str">
        <f>MLEOsv2!A61</f>
        <v>MLEO_11_04</v>
      </c>
      <c r="C73" s="74">
        <f>MLEOsv2!C61</f>
        <v>11</v>
      </c>
      <c r="D73" s="44" t="str">
        <f>MLEOsv2!G61</f>
        <v>identify fragments and fragment types.</v>
      </c>
      <c r="E73" s="68" t="b">
        <f>MLEOsv2!H61</f>
        <v>0</v>
      </c>
      <c r="F73" s="94" t="s">
        <v>323</v>
      </c>
      <c r="G73" s="72" t="str">
        <f>IF(F73=$D$4,F73,IF(OR(IFERROR(VLOOKUP(VLOOKUP($B73, Dependencies!$B$2:$G$230, 2,FALSE),$B$14:G$73, G$74,FALSE),"o")=$D$4,IFERROR(VLOOKUP(VLOOKUP($B73, Dependencies!$B$2:$G$230, 3,FALSE),$B$14:G$73, G$74,FALSE),"o")=$D$4,IFERROR(VLOOKUP(VLOOKUP($B73, Dependencies!$B$2:$G$230, 4,FALSE),$B$14:G$73, G$74,FALSE),"o")=$D$4,IFERROR(VLOOKUP(VLOOKUP($B73, Dependencies!$B$2:$G$230, 5,FALSE),$B$14:G$73, G$74,FALSE),"o")=$D$4,IFERROR(VLOOKUP(VLOOKUP($B73, Dependencies!$B$2:$G$230, 6,FALSE),$B$14:G$73, G$74,FALSE),"o")=$D$4),$D$4,IF(OR(IFERROR(VLOOKUP(VLOOKUP($B73, Dependencies!$B$2:$G$230, 2,FALSE), $B$14:G$73, G$74,FALSE),"o")=$D$5,IFERROR(VLOOKUP(VLOOKUP($B73, Dependencies!$B$2:$G$230, 3,FALSE), $B$14:G$73, G$74,FALSE),"o")=$D$5,IFERROR(VLOOKUP(VLOOKUP($B73, Dependencies!$B$2:$G$230, 4,FALSE), $B$14:G$73, G$74,FALSE),"o")=$D$5,IFERROR(VLOOKUP(VLOOKUP($B73, Dependencies!$B$2:$G$230, 5,FALSE), $B$14:G$73, G$74,FALSE),"o")=$D$5,IFERROR(VLOOKUP(VLOOKUP($B73, Dependencies!$B$2:$G$230, 6,FALSE), $B$14:G$73, G$74,FALSE),"o")=$D$5),$D$5,F73)))</f>
        <v>o</v>
      </c>
      <c r="H73" s="94" t="s">
        <v>321</v>
      </c>
      <c r="I73" s="72" t="str">
        <f>IF(H73=$D$4,H73,IF(OR(IFERROR(VLOOKUP(VLOOKUP($B73, Dependencies!$B$2:$G$230, 2,FALSE),$B$14:I$73, I$74,FALSE),"o")=$D$4,IFERROR(VLOOKUP(VLOOKUP($B73, Dependencies!$B$2:$G$230, 3,FALSE),$B$14:I$73, I$74,FALSE),"o")=$D$4,IFERROR(VLOOKUP(VLOOKUP($B73, Dependencies!$B$2:$G$230, 4,FALSE),$B$14:I$73, I$74,FALSE),"o")=$D$4,IFERROR(VLOOKUP(VLOOKUP($B73, Dependencies!$B$2:$G$230, 5,FALSE),$B$14:I$73, I$74,FALSE),"o")=$D$4,IFERROR(VLOOKUP(VLOOKUP($B73, Dependencies!$B$2:$G$230, 6,FALSE),$B$14:I$73, I$74,FALSE),"o")=$D$4),$D$4,IF(OR(IFERROR(VLOOKUP(VLOOKUP($B73, Dependencies!$B$2:$G$230, 2,FALSE), $B$14:I$73, I$74,FALSE),"o")=$D$5,IFERROR(VLOOKUP(VLOOKUP($B73, Dependencies!$B$2:$G$230, 3,FALSE), $B$14:I$73, I$74,FALSE),"o")=$D$5,IFERROR(VLOOKUP(VLOOKUP($B73, Dependencies!$B$2:$G$230, 4,FALSE), $B$14:I$73, I$74,FALSE),"o")=$D$5,IFERROR(VLOOKUP(VLOOKUP($B73, Dependencies!$B$2:$G$230, 5,FALSE), $B$14:I$73, I$74,FALSE),"o")=$D$5,IFERROR(VLOOKUP(VLOOKUP($B73, Dependencies!$B$2:$G$230, 6,FALSE), $B$14:I$73, I$74,FALSE),"o")=$D$5),$D$5,H73)))</f>
        <v>pr</v>
      </c>
      <c r="J73" s="94" t="s">
        <v>323</v>
      </c>
      <c r="K73" s="72" t="str">
        <f>IF(J73=$D$4,J73,IF(OR(IFERROR(VLOOKUP(VLOOKUP($B73, Dependencies!$B$2:$G$230, 2,FALSE),$B$14:K$73, K$74,FALSE),"o")=$D$4,IFERROR(VLOOKUP(VLOOKUP($B73, Dependencies!$B$2:$G$230, 3,FALSE),$B$14:K$73, K$74,FALSE),"o")=$D$4,IFERROR(VLOOKUP(VLOOKUP($B73, Dependencies!$B$2:$G$230, 4,FALSE),$B$14:K$73, K$74,FALSE),"o")=$D$4,IFERROR(VLOOKUP(VLOOKUP($B73, Dependencies!$B$2:$G$230, 5,FALSE),$B$14:K$73, K$74,FALSE),"o")=$D$4,IFERROR(VLOOKUP(VLOOKUP($B73, Dependencies!$B$2:$G$230, 6,FALSE),$B$14:K$73, K$74,FALSE),"o")=$D$4),$D$4,IF(OR(IFERROR(VLOOKUP(VLOOKUP($B73, Dependencies!$B$2:$G$230, 2,FALSE), $B$14:K$73, K$74,FALSE),"o")=$D$5,IFERROR(VLOOKUP(VLOOKUP($B73, Dependencies!$B$2:$G$230, 3,FALSE), $B$14:K$73, K$74,FALSE),"o")=$D$5,IFERROR(VLOOKUP(VLOOKUP($B73, Dependencies!$B$2:$G$230, 4,FALSE), $B$14:K$73, K$74,FALSE),"o")=$D$5,IFERROR(VLOOKUP(VLOOKUP($B73, Dependencies!$B$2:$G$230, 5,FALSE), $B$14:K$73, K$74,FALSE),"o")=$D$5,IFERROR(VLOOKUP(VLOOKUP($B73, Dependencies!$B$2:$G$230, 6,FALSE), $B$14:K$73, K$74,FALSE),"o")=$D$5),$D$5,J73)))</f>
        <v>o</v>
      </c>
      <c r="L73" s="94" t="s">
        <v>323</v>
      </c>
      <c r="M73" s="72" t="str">
        <f>IF(L73=$D$4,L73,IF(OR(IFERROR(VLOOKUP(VLOOKUP($B73, Dependencies!$B$2:$G$230, 2,FALSE),$B$14:M$73, M$74,FALSE),"o")=$D$4,IFERROR(VLOOKUP(VLOOKUP($B73, Dependencies!$B$2:$G$230, 3,FALSE),$B$14:M$73, M$74,FALSE),"o")=$D$4,IFERROR(VLOOKUP(VLOOKUP($B73, Dependencies!$B$2:$G$230, 4,FALSE),$B$14:M$73, M$74,FALSE),"o")=$D$4,IFERROR(VLOOKUP(VLOOKUP($B73, Dependencies!$B$2:$G$230, 5,FALSE),$B$14:M$73, M$74,FALSE),"o")=$D$4,IFERROR(VLOOKUP(VLOOKUP($B73, Dependencies!$B$2:$G$230, 6,FALSE),$B$14:M$73, M$74,FALSE),"o")=$D$4),$D$4,IF(OR(IFERROR(VLOOKUP(VLOOKUP($B73, Dependencies!$B$2:$G$230, 2,FALSE), $B$14:M$73, M$74,FALSE),"o")=$D$5,IFERROR(VLOOKUP(VLOOKUP($B73, Dependencies!$B$2:$G$230, 3,FALSE), $B$14:M$73, M$74,FALSE),"o")=$D$5,IFERROR(VLOOKUP(VLOOKUP($B73, Dependencies!$B$2:$G$230, 4,FALSE), $B$14:M$73, M$74,FALSE),"o")=$D$5,IFERROR(VLOOKUP(VLOOKUP($B73, Dependencies!$B$2:$G$230, 5,FALSE), $B$14:M$73, M$74,FALSE),"o")=$D$5,IFERROR(VLOOKUP(VLOOKUP($B73, Dependencies!$B$2:$G$230, 6,FALSE), $B$14:M$73, M$74,FALSE),"o")=$D$5),$D$5,L73)))</f>
        <v>o</v>
      </c>
      <c r="N73" s="94" t="s">
        <v>323</v>
      </c>
      <c r="O73" s="72" t="str">
        <f>IF(N73=$D$4,N73,IF(OR(IFERROR(VLOOKUP(VLOOKUP($B73, Dependencies!$B$2:$G$230, 2,FALSE),$B$14:O$73, O$74,FALSE),"o")=$D$4,IFERROR(VLOOKUP(VLOOKUP($B73, Dependencies!$B$2:$G$230, 3,FALSE),$B$14:O$73, O$74,FALSE),"o")=$D$4,IFERROR(VLOOKUP(VLOOKUP($B73, Dependencies!$B$2:$G$230, 4,FALSE),$B$14:O$73, O$74,FALSE),"o")=$D$4,IFERROR(VLOOKUP(VLOOKUP($B73, Dependencies!$B$2:$G$230, 5,FALSE),$B$14:O$73, O$74,FALSE),"o")=$D$4,IFERROR(VLOOKUP(VLOOKUP($B73, Dependencies!$B$2:$G$230, 6,FALSE),$B$14:O$73, O$74,FALSE),"o")=$D$4),$D$4,IF(OR(IFERROR(VLOOKUP(VLOOKUP($B73, Dependencies!$B$2:$G$230, 2,FALSE), $B$14:O$73, O$74,FALSE),"o")=$D$5,IFERROR(VLOOKUP(VLOOKUP($B73, Dependencies!$B$2:$G$230, 3,FALSE), $B$14:O$73, O$74,FALSE),"o")=$D$5,IFERROR(VLOOKUP(VLOOKUP($B73, Dependencies!$B$2:$G$230, 4,FALSE), $B$14:O$73, O$74,FALSE),"o")=$D$5,IFERROR(VLOOKUP(VLOOKUP($B73, Dependencies!$B$2:$G$230, 5,FALSE), $B$14:O$73, O$74,FALSE),"o")=$D$5,IFERROR(VLOOKUP(VLOOKUP($B73, Dependencies!$B$2:$G$230, 6,FALSE), $B$14:O$73, O$74,FALSE),"o")=$D$5),$D$5,N73)))</f>
        <v>o</v>
      </c>
      <c r="P73" s="94" t="s">
        <v>323</v>
      </c>
      <c r="Q73" s="72" t="str">
        <f>IF(P73=$D$4,P73,IF(OR(IFERROR(VLOOKUP(VLOOKUP($B73, Dependencies!$B$2:$G$230, 2,FALSE),$B$14:Q$73, Q$74,FALSE),"o")=$D$4,IFERROR(VLOOKUP(VLOOKUP($B73, Dependencies!$B$2:$G$230, 3,FALSE),$B$14:Q$73, Q$74,FALSE),"o")=$D$4,IFERROR(VLOOKUP(VLOOKUP($B73, Dependencies!$B$2:$G$230, 4,FALSE),$B$14:Q$73, Q$74,FALSE),"o")=$D$4,IFERROR(VLOOKUP(VLOOKUP($B73, Dependencies!$B$2:$G$230, 5,FALSE),$B$14:Q$73, Q$74,FALSE),"o")=$D$4,IFERROR(VLOOKUP(VLOOKUP($B73, Dependencies!$B$2:$G$230, 6,FALSE),$B$14:Q$73, Q$74,FALSE),"o")=$D$4),$D$4,IF(OR(IFERROR(VLOOKUP(VLOOKUP($B73, Dependencies!$B$2:$G$230, 2,FALSE), $B$14:Q$73, Q$74,FALSE),"o")=$D$5,IFERROR(VLOOKUP(VLOOKUP($B73, Dependencies!$B$2:$G$230, 3,FALSE), $B$14:Q$73, Q$74,FALSE),"o")=$D$5,IFERROR(VLOOKUP(VLOOKUP($B73, Dependencies!$B$2:$G$230, 4,FALSE), $B$14:Q$73, Q$74,FALSE),"o")=$D$5,IFERROR(VLOOKUP(VLOOKUP($B73, Dependencies!$B$2:$G$230, 5,FALSE), $B$14:Q$73, Q$74,FALSE),"o")=$D$5,IFERROR(VLOOKUP(VLOOKUP($B73, Dependencies!$B$2:$G$230, 6,FALSE), $B$14:Q$73, Q$74,FALSE),"o")=$D$5),$D$5,P73)))</f>
        <v>o</v>
      </c>
      <c r="R73" s="94" t="s">
        <v>323</v>
      </c>
      <c r="S73" s="72" t="str">
        <f>IF(R73=$D$4,R73,IF(OR(IFERROR(VLOOKUP(VLOOKUP($B73, Dependencies!$B$2:$G$230, 2,FALSE),$B$14:S$73, S$74,FALSE),"o")=$D$4,IFERROR(VLOOKUP(VLOOKUP($B73, Dependencies!$B$2:$G$230, 3,FALSE),$B$14:S$73, S$74,FALSE),"o")=$D$4,IFERROR(VLOOKUP(VLOOKUP($B73, Dependencies!$B$2:$G$230, 4,FALSE),$B$14:S$73, S$74,FALSE),"o")=$D$4,IFERROR(VLOOKUP(VLOOKUP($B73, Dependencies!$B$2:$G$230, 5,FALSE),$B$14:S$73, S$74,FALSE),"o")=$D$4,IFERROR(VLOOKUP(VLOOKUP($B73, Dependencies!$B$2:$G$230, 6,FALSE),$B$14:S$73, S$74,FALSE),"o")=$D$4),$D$4,IF(OR(IFERROR(VLOOKUP(VLOOKUP($B73, Dependencies!$B$2:$G$230, 2,FALSE), $B$14:S$73, S$74,FALSE),"o")=$D$5,IFERROR(VLOOKUP(VLOOKUP($B73, Dependencies!$B$2:$G$230, 3,FALSE), $B$14:S$73, S$74,FALSE),"o")=$D$5,IFERROR(VLOOKUP(VLOOKUP($B73, Dependencies!$B$2:$G$230, 4,FALSE), $B$14:S$73, S$74,FALSE),"o")=$D$5,IFERROR(VLOOKUP(VLOOKUP($B73, Dependencies!$B$2:$G$230, 5,FALSE), $B$14:S$73, S$74,FALSE),"o")=$D$5,IFERROR(VLOOKUP(VLOOKUP($B73, Dependencies!$B$2:$G$230, 6,FALSE), $B$14:S$73, S$74,FALSE),"o")=$D$5),$D$5,R73)))</f>
        <v>o</v>
      </c>
      <c r="T73" s="94" t="s">
        <v>323</v>
      </c>
      <c r="U73" s="72" t="str">
        <f>IF(T73=$D$4,T73,IF(OR(IFERROR(VLOOKUP(VLOOKUP($B73, Dependencies!$B$2:$G$230, 2,FALSE),$B$14:U$73, U$74,FALSE),"o")=$D$4,IFERROR(VLOOKUP(VLOOKUP($B73, Dependencies!$B$2:$G$230, 3,FALSE),$B$14:U$73, U$74,FALSE),"o")=$D$4,IFERROR(VLOOKUP(VLOOKUP($B73, Dependencies!$B$2:$G$230, 4,FALSE),$B$14:U$73, U$74,FALSE),"o")=$D$4,IFERROR(VLOOKUP(VLOOKUP($B73, Dependencies!$B$2:$G$230, 5,FALSE),$B$14:U$73, U$74,FALSE),"o")=$D$4,IFERROR(VLOOKUP(VLOOKUP($B73, Dependencies!$B$2:$G$230, 6,FALSE),$B$14:U$73, U$74,FALSE),"o")=$D$4),$D$4,IF(OR(IFERROR(VLOOKUP(VLOOKUP($B73, Dependencies!$B$2:$G$230, 2,FALSE), $B$14:U$73, U$74,FALSE),"o")=$D$5,IFERROR(VLOOKUP(VLOOKUP($B73, Dependencies!$B$2:$G$230, 3,FALSE), $B$14:U$73, U$74,FALSE),"o")=$D$5,IFERROR(VLOOKUP(VLOOKUP($B73, Dependencies!$B$2:$G$230, 4,FALSE), $B$14:U$73, U$74,FALSE),"o")=$D$5,IFERROR(VLOOKUP(VLOOKUP($B73, Dependencies!$B$2:$G$230, 5,FALSE), $B$14:U$73, U$74,FALSE),"o")=$D$5,IFERROR(VLOOKUP(VLOOKUP($B73, Dependencies!$B$2:$G$230, 6,FALSE), $B$14:U$73, U$74,FALSE),"o")=$D$5),$D$5,T73)))</f>
        <v>o</v>
      </c>
      <c r="V73" s="94" t="s">
        <v>323</v>
      </c>
      <c r="W73" s="72" t="str">
        <f>IF(V73=$D$4,V73,IF(OR(IFERROR(VLOOKUP(VLOOKUP($B73, Dependencies!$B$2:$G$230, 2,FALSE),$B$14:W$73, W$74,FALSE),"o")=$D$4,IFERROR(VLOOKUP(VLOOKUP($B73, Dependencies!$B$2:$G$230, 3,FALSE),$B$14:W$73, W$74,FALSE),"o")=$D$4,IFERROR(VLOOKUP(VLOOKUP($B73, Dependencies!$B$2:$G$230, 4,FALSE),$B$14:W$73, W$74,FALSE),"o")=$D$4,IFERROR(VLOOKUP(VLOOKUP($B73, Dependencies!$B$2:$G$230, 5,FALSE),$B$14:W$73, W$74,FALSE),"o")=$D$4,IFERROR(VLOOKUP(VLOOKUP($B73, Dependencies!$B$2:$G$230, 6,FALSE),$B$14:W$73, W$74,FALSE),"o")=$D$4),$D$4,IF(OR(IFERROR(VLOOKUP(VLOOKUP($B73, Dependencies!$B$2:$G$230, 2,FALSE), $B$14:W$73, W$74,FALSE),"o")=$D$5,IFERROR(VLOOKUP(VLOOKUP($B73, Dependencies!$B$2:$G$230, 3,FALSE), $B$14:W$73, W$74,FALSE),"o")=$D$5,IFERROR(VLOOKUP(VLOOKUP($B73, Dependencies!$B$2:$G$230, 4,FALSE), $B$14:W$73, W$74,FALSE),"o")=$D$5,IFERROR(VLOOKUP(VLOOKUP($B73, Dependencies!$B$2:$G$230, 5,FALSE), $B$14:W$73, W$74,FALSE),"o")=$D$5,IFERROR(VLOOKUP(VLOOKUP($B73, Dependencies!$B$2:$G$230, 6,FALSE), $B$14:W$73, W$74,FALSE),"o")=$D$5),$D$5,V73)))</f>
        <v>o</v>
      </c>
      <c r="X73" s="94" t="s">
        <v>323</v>
      </c>
      <c r="Y73" s="72" t="str">
        <f>IF(X73=$D$4,X73,IF(OR(IFERROR(VLOOKUP(VLOOKUP($B73, Dependencies!$B$2:$G$230, 2,FALSE),$B$14:Y$73, Y$74,FALSE),"o")=$D$4,IFERROR(VLOOKUP(VLOOKUP($B73, Dependencies!$B$2:$G$230, 3,FALSE),$B$14:Y$73, Y$74,FALSE),"o")=$D$4,IFERROR(VLOOKUP(VLOOKUP($B73, Dependencies!$B$2:$G$230, 4,FALSE),$B$14:Y$73, Y$74,FALSE),"o")=$D$4,IFERROR(VLOOKUP(VLOOKUP($B73, Dependencies!$B$2:$G$230, 5,FALSE),$B$14:Y$73, Y$74,FALSE),"o")=$D$4,IFERROR(VLOOKUP(VLOOKUP($B73, Dependencies!$B$2:$G$230, 6,FALSE),$B$14:Y$73, Y$74,FALSE),"o")=$D$4),$D$4,IF(OR(IFERROR(VLOOKUP(VLOOKUP($B73, Dependencies!$B$2:$G$230, 2,FALSE), $B$14:Y$73, Y$74,FALSE),"o")=$D$5,IFERROR(VLOOKUP(VLOOKUP($B73, Dependencies!$B$2:$G$230, 3,FALSE), $B$14:Y$73, Y$74,FALSE),"o")=$D$5,IFERROR(VLOOKUP(VLOOKUP($B73, Dependencies!$B$2:$G$230, 4,FALSE), $B$14:Y$73, Y$74,FALSE),"o")=$D$5,IFERROR(VLOOKUP(VLOOKUP($B73, Dependencies!$B$2:$G$230, 5,FALSE), $B$14:Y$73, Y$74,FALSE),"o")=$D$5,IFERROR(VLOOKUP(VLOOKUP($B73, Dependencies!$B$2:$G$230, 6,FALSE), $B$14:Y$73, Y$74,FALSE),"o")=$D$5),$D$5,X73)))</f>
        <v>o</v>
      </c>
      <c r="Z73" s="94" t="s">
        <v>323</v>
      </c>
      <c r="AA73" s="72" t="str">
        <f>IF(Z73=$D$4,Z73,IF(OR(IFERROR(VLOOKUP(VLOOKUP($B73, Dependencies!$B$2:$G$230, 2,FALSE),$B$14:AA$73, AA$74,FALSE),"o")=$D$4,IFERROR(VLOOKUP(VLOOKUP($B73, Dependencies!$B$2:$G$230, 3,FALSE),$B$14:AA$73, AA$74,FALSE),"o")=$D$4,IFERROR(VLOOKUP(VLOOKUP($B73, Dependencies!$B$2:$G$230, 4,FALSE),$B$14:AA$73, AA$74,FALSE),"o")=$D$4,IFERROR(VLOOKUP(VLOOKUP($B73, Dependencies!$B$2:$G$230, 5,FALSE),$B$14:AA$73, AA$74,FALSE),"o")=$D$4,IFERROR(VLOOKUP(VLOOKUP($B73, Dependencies!$B$2:$G$230, 6,FALSE),$B$14:AA$73, AA$74,FALSE),"o")=$D$4),$D$4,IF(OR(IFERROR(VLOOKUP(VLOOKUP($B73, Dependencies!$B$2:$G$230, 2,FALSE), $B$14:AA$73, AA$74,FALSE),"o")=$D$5,IFERROR(VLOOKUP(VLOOKUP($B73, Dependencies!$B$2:$G$230, 3,FALSE), $B$14:AA$73, AA$74,FALSE),"o")=$D$5,IFERROR(VLOOKUP(VLOOKUP($B73, Dependencies!$B$2:$G$230, 4,FALSE), $B$14:AA$73, AA$74,FALSE),"o")=$D$5,IFERROR(VLOOKUP(VLOOKUP($B73, Dependencies!$B$2:$G$230, 5,FALSE), $B$14:AA$73, AA$74,FALSE),"o")=$D$5,IFERROR(VLOOKUP(VLOOKUP($B73, Dependencies!$B$2:$G$230, 6,FALSE), $B$14:AA$73, AA$74,FALSE),"o")=$D$5),$D$5,Z73)))</f>
        <v>o</v>
      </c>
      <c r="AB73" s="94" t="s">
        <v>323</v>
      </c>
      <c r="AC73" s="72" t="str">
        <f>IF(AB73=$D$4,AB73,IF(OR(IFERROR(VLOOKUP(VLOOKUP($B73, Dependencies!$B$2:$G$230, 2,FALSE),$B$14:AC$73, AC$74,FALSE),"o")=$D$4,IFERROR(VLOOKUP(VLOOKUP($B73, Dependencies!$B$2:$G$230, 3,FALSE),$B$14:AC$73, AC$74,FALSE),"o")=$D$4,IFERROR(VLOOKUP(VLOOKUP($B73, Dependencies!$B$2:$G$230, 4,FALSE),$B$14:AC$73, AC$74,FALSE),"o")=$D$4,IFERROR(VLOOKUP(VLOOKUP($B73, Dependencies!$B$2:$G$230, 5,FALSE),$B$14:AC$73, AC$74,FALSE),"o")=$D$4,IFERROR(VLOOKUP(VLOOKUP($B73, Dependencies!$B$2:$G$230, 6,FALSE),$B$14:AC$73, AC$74,FALSE),"o")=$D$4),$D$4,IF(OR(IFERROR(VLOOKUP(VLOOKUP($B73, Dependencies!$B$2:$G$230, 2,FALSE), $B$14:AC$73, AC$74,FALSE),"o")=$D$5,IFERROR(VLOOKUP(VLOOKUP($B73, Dependencies!$B$2:$G$230, 3,FALSE), $B$14:AC$73, AC$74,FALSE),"o")=$D$5,IFERROR(VLOOKUP(VLOOKUP($B73, Dependencies!$B$2:$G$230, 4,FALSE), $B$14:AC$73, AC$74,FALSE),"o")=$D$5,IFERROR(VLOOKUP(VLOOKUP($B73, Dependencies!$B$2:$G$230, 5,FALSE), $B$14:AC$73, AC$74,FALSE),"o")=$D$5,IFERROR(VLOOKUP(VLOOKUP($B73, Dependencies!$B$2:$G$230, 6,FALSE), $B$14:AC$73, AC$74,FALSE),"o")=$D$5),$D$5,AB73)))</f>
        <v>o</v>
      </c>
      <c r="AD73" s="94" t="s">
        <v>323</v>
      </c>
      <c r="AE73" s="72" t="str">
        <f>IF(AD73=$D$4,AD73,IF(OR(IFERROR(VLOOKUP(VLOOKUP($B73, Dependencies!$B$2:$G$230, 2,FALSE),$B$14:AE$73, AE$74,FALSE),"o")=$D$4,IFERROR(VLOOKUP(VLOOKUP($B73, Dependencies!$B$2:$G$230, 3,FALSE),$B$14:AE$73, AE$74,FALSE),"o")=$D$4,IFERROR(VLOOKUP(VLOOKUP($B73, Dependencies!$B$2:$G$230, 4,FALSE),$B$14:AE$73, AE$74,FALSE),"o")=$D$4,IFERROR(VLOOKUP(VLOOKUP($B73, Dependencies!$B$2:$G$230, 5,FALSE),$B$14:AE$73, AE$74,FALSE),"o")=$D$4,IFERROR(VLOOKUP(VLOOKUP($B73, Dependencies!$B$2:$G$230, 6,FALSE),$B$14:AE$73, AE$74,FALSE),"o")=$D$4),$D$4,IF(OR(IFERROR(VLOOKUP(VLOOKUP($B73, Dependencies!$B$2:$G$230, 2,FALSE), $B$14:AE$73, AE$74,FALSE),"o")=$D$5,IFERROR(VLOOKUP(VLOOKUP($B73, Dependencies!$B$2:$G$230, 3,FALSE), $B$14:AE$73, AE$74,FALSE),"o")=$D$5,IFERROR(VLOOKUP(VLOOKUP($B73, Dependencies!$B$2:$G$230, 4,FALSE), $B$14:AE$73, AE$74,FALSE),"o")=$D$5,IFERROR(VLOOKUP(VLOOKUP($B73, Dependencies!$B$2:$G$230, 5,FALSE), $B$14:AE$73, AE$74,FALSE),"o")=$D$5,IFERROR(VLOOKUP(VLOOKUP($B73, Dependencies!$B$2:$G$230, 6,FALSE), $B$14:AE$73, AE$74,FALSE),"o")=$D$5),$D$5,AD73)))</f>
        <v>o</v>
      </c>
      <c r="AF73" s="94" t="s">
        <v>323</v>
      </c>
      <c r="AG73" s="72" t="str">
        <f>IF(AF73=$D$4,AF73,IF(OR(IFERROR(VLOOKUP(VLOOKUP($B73, Dependencies!$B$2:$G$230, 2,FALSE),$B$14:AG$73, AG$74,FALSE),"o")=$D$4,IFERROR(VLOOKUP(VLOOKUP($B73, Dependencies!$B$2:$G$230, 3,FALSE),$B$14:AG$73, AG$74,FALSE),"o")=$D$4,IFERROR(VLOOKUP(VLOOKUP($B73, Dependencies!$B$2:$G$230, 4,FALSE),$B$14:AG$73, AG$74,FALSE),"o")=$D$4,IFERROR(VLOOKUP(VLOOKUP($B73, Dependencies!$B$2:$G$230, 5,FALSE),$B$14:AG$73, AG$74,FALSE),"o")=$D$4,IFERROR(VLOOKUP(VLOOKUP($B73, Dependencies!$B$2:$G$230, 6,FALSE),$B$14:AG$73, AG$74,FALSE),"o")=$D$4),$D$4,IF(OR(IFERROR(VLOOKUP(VLOOKUP($B73, Dependencies!$B$2:$G$230, 2,FALSE), $B$14:AG$73, AG$74,FALSE),"o")=$D$5,IFERROR(VLOOKUP(VLOOKUP($B73, Dependencies!$B$2:$G$230, 3,FALSE), $B$14:AG$73, AG$74,FALSE),"o")=$D$5,IFERROR(VLOOKUP(VLOOKUP($B73, Dependencies!$B$2:$G$230, 4,FALSE), $B$14:AG$73, AG$74,FALSE),"o")=$D$5,IFERROR(VLOOKUP(VLOOKUP($B73, Dependencies!$B$2:$G$230, 5,FALSE), $B$14:AG$73, AG$74,FALSE),"o")=$D$5,IFERROR(VLOOKUP(VLOOKUP($B73, Dependencies!$B$2:$G$230, 6,FALSE), $B$14:AG$73, AG$74,FALSE),"o")=$D$5),$D$5,AF73)))</f>
        <v>o</v>
      </c>
      <c r="AH73" s="94" t="s">
        <v>323</v>
      </c>
      <c r="AI73" s="72" t="str">
        <f>IF(AH73=$D$4,AH73,IF(OR(IFERROR(VLOOKUP(VLOOKUP($B73, Dependencies!$B$2:$G$230, 2,FALSE),$B$14:AI$73, AI$74,FALSE),"o")=$D$4,IFERROR(VLOOKUP(VLOOKUP($B73, Dependencies!$B$2:$G$230, 3,FALSE),$B$14:AI$73, AI$74,FALSE),"o")=$D$4,IFERROR(VLOOKUP(VLOOKUP($B73, Dependencies!$B$2:$G$230, 4,FALSE),$B$14:AI$73, AI$74,FALSE),"o")=$D$4,IFERROR(VLOOKUP(VLOOKUP($B73, Dependencies!$B$2:$G$230, 5,FALSE),$B$14:AI$73, AI$74,FALSE),"o")=$D$4,IFERROR(VLOOKUP(VLOOKUP($B73, Dependencies!$B$2:$G$230, 6,FALSE),$B$14:AI$73, AI$74,FALSE),"o")=$D$4),$D$4,IF(OR(IFERROR(VLOOKUP(VLOOKUP($B73, Dependencies!$B$2:$G$230, 2,FALSE), $B$14:AI$73, AI$74,FALSE),"o")=$D$5,IFERROR(VLOOKUP(VLOOKUP($B73, Dependencies!$B$2:$G$230, 3,FALSE), $B$14:AI$73, AI$74,FALSE),"o")=$D$5,IFERROR(VLOOKUP(VLOOKUP($B73, Dependencies!$B$2:$G$230, 4,FALSE), $B$14:AI$73, AI$74,FALSE),"o")=$D$5,IFERROR(VLOOKUP(VLOOKUP($B73, Dependencies!$B$2:$G$230, 5,FALSE), $B$14:AI$73, AI$74,FALSE),"o")=$D$5,IFERROR(VLOOKUP(VLOOKUP($B73, Dependencies!$B$2:$G$230, 6,FALSE), $B$14:AI$73, AI$74,FALSE),"o")=$D$5),$D$5,AH73)))</f>
        <v>o</v>
      </c>
      <c r="AJ73" s="94" t="s">
        <v>323</v>
      </c>
      <c r="AK73" s="72" t="str">
        <f>IF(AJ73=$D$4,AJ73,IF(OR(IFERROR(VLOOKUP(VLOOKUP($B73, Dependencies!$B$2:$G$230, 2,FALSE),$B$14:AK$73, AK$74,FALSE),"o")=$D$4,IFERROR(VLOOKUP(VLOOKUP($B73, Dependencies!$B$2:$G$230, 3,FALSE),$B$14:AK$73, AK$74,FALSE),"o")=$D$4,IFERROR(VLOOKUP(VLOOKUP($B73, Dependencies!$B$2:$G$230, 4,FALSE),$B$14:AK$73, AK$74,FALSE),"o")=$D$4,IFERROR(VLOOKUP(VLOOKUP($B73, Dependencies!$B$2:$G$230, 5,FALSE),$B$14:AK$73, AK$74,FALSE),"o")=$D$4,IFERROR(VLOOKUP(VLOOKUP($B73, Dependencies!$B$2:$G$230, 6,FALSE),$B$14:AK$73, AK$74,FALSE),"o")=$D$4),$D$4,IF(OR(IFERROR(VLOOKUP(VLOOKUP($B73, Dependencies!$B$2:$G$230, 2,FALSE), $B$14:AK$73, AK$74,FALSE),"o")=$D$5,IFERROR(VLOOKUP(VLOOKUP($B73, Dependencies!$B$2:$G$230, 3,FALSE), $B$14:AK$73, AK$74,FALSE),"o")=$D$5,IFERROR(VLOOKUP(VLOOKUP($B73, Dependencies!$B$2:$G$230, 4,FALSE), $B$14:AK$73, AK$74,FALSE),"o")=$D$5,IFERROR(VLOOKUP(VLOOKUP($B73, Dependencies!$B$2:$G$230, 5,FALSE), $B$14:AK$73, AK$74,FALSE),"o")=$D$5,IFERROR(VLOOKUP(VLOOKUP($B73, Dependencies!$B$2:$G$230, 6,FALSE), $B$14:AK$73, AK$74,FALSE),"o")=$D$5),$D$5,AJ73)))</f>
        <v>o</v>
      </c>
      <c r="AL73" s="94" t="s">
        <v>323</v>
      </c>
      <c r="AM73" s="72" t="str">
        <f>IF(AL73=$D$4,AL73,IF(OR(IFERROR(VLOOKUP(VLOOKUP($B73, Dependencies!$B$2:$G$230, 2,FALSE),$B$14:AM$73, AM$74,FALSE),"o")=$D$4,IFERROR(VLOOKUP(VLOOKUP($B73, Dependencies!$B$2:$G$230, 3,FALSE),$B$14:AM$73, AM$74,FALSE),"o")=$D$4,IFERROR(VLOOKUP(VLOOKUP($B73, Dependencies!$B$2:$G$230, 4,FALSE),$B$14:AM$73, AM$74,FALSE),"o")=$D$4,IFERROR(VLOOKUP(VLOOKUP($B73, Dependencies!$B$2:$G$230, 5,FALSE),$B$14:AM$73, AM$74,FALSE),"o")=$D$4,IFERROR(VLOOKUP(VLOOKUP($B73, Dependencies!$B$2:$G$230, 6,FALSE),$B$14:AM$73, AM$74,FALSE),"o")=$D$4),$D$4,IF(OR(IFERROR(VLOOKUP(VLOOKUP($B73, Dependencies!$B$2:$G$230, 2,FALSE), $B$14:AM$73, AM$74,FALSE),"o")=$D$5,IFERROR(VLOOKUP(VLOOKUP($B73, Dependencies!$B$2:$G$230, 3,FALSE), $B$14:AM$73, AM$74,FALSE),"o")=$D$5,IFERROR(VLOOKUP(VLOOKUP($B73, Dependencies!$B$2:$G$230, 4,FALSE), $B$14:AM$73, AM$74,FALSE),"o")=$D$5,IFERROR(VLOOKUP(VLOOKUP($B73, Dependencies!$B$2:$G$230, 5,FALSE), $B$14:AM$73, AM$74,FALSE),"o")=$D$5,IFERROR(VLOOKUP(VLOOKUP($B73, Dependencies!$B$2:$G$230, 6,FALSE), $B$14:AM$73, AM$74,FALSE),"o")=$D$5),$D$5,AL73)))</f>
        <v>o</v>
      </c>
      <c r="AN73" s="94" t="s">
        <v>323</v>
      </c>
      <c r="AO73" s="72" t="str">
        <f>IF(AN73=$D$4,AN73,IF(OR(IFERROR(VLOOKUP(VLOOKUP($B73, Dependencies!$B$2:$G$230, 2,FALSE),$B$14:AO$73, AO$74,FALSE),"o")=$D$4,IFERROR(VLOOKUP(VLOOKUP($B73, Dependencies!$B$2:$G$230, 3,FALSE),$B$14:AO$73, AO$74,FALSE),"o")=$D$4,IFERROR(VLOOKUP(VLOOKUP($B73, Dependencies!$B$2:$G$230, 4,FALSE),$B$14:AO$73, AO$74,FALSE),"o")=$D$4,IFERROR(VLOOKUP(VLOOKUP($B73, Dependencies!$B$2:$G$230, 5,FALSE),$B$14:AO$73, AO$74,FALSE),"o")=$D$4,IFERROR(VLOOKUP(VLOOKUP($B73, Dependencies!$B$2:$G$230, 6,FALSE),$B$14:AO$73, AO$74,FALSE),"o")=$D$4),$D$4,IF(OR(IFERROR(VLOOKUP(VLOOKUP($B73, Dependencies!$B$2:$G$230, 2,FALSE), $B$14:AO$73, AO$74,FALSE),"o")=$D$5,IFERROR(VLOOKUP(VLOOKUP($B73, Dependencies!$B$2:$G$230, 3,FALSE), $B$14:AO$73, AO$74,FALSE),"o")=$D$5,IFERROR(VLOOKUP(VLOOKUP($B73, Dependencies!$B$2:$G$230, 4,FALSE), $B$14:AO$73, AO$74,FALSE),"o")=$D$5,IFERROR(VLOOKUP(VLOOKUP($B73, Dependencies!$B$2:$G$230, 5,FALSE), $B$14:AO$73, AO$74,FALSE),"o")=$D$5,IFERROR(VLOOKUP(VLOOKUP($B73, Dependencies!$B$2:$G$230, 6,FALSE), $B$14:AO$73, AO$74,FALSE),"o")=$D$5),$D$5,AN73)))</f>
        <v>o</v>
      </c>
      <c r="AP73" s="94" t="s">
        <v>323</v>
      </c>
      <c r="AQ73" s="72" t="str">
        <f>IF(AP73=$D$4,AP73,IF(OR(IFERROR(VLOOKUP(VLOOKUP($B73, Dependencies!$B$2:$G$230, 2,FALSE),$B$14:AQ$73, AQ$74,FALSE),"o")=$D$4,IFERROR(VLOOKUP(VLOOKUP($B73, Dependencies!$B$2:$G$230, 3,FALSE),$B$14:AQ$73, AQ$74,FALSE),"o")=$D$4,IFERROR(VLOOKUP(VLOOKUP($B73, Dependencies!$B$2:$G$230, 4,FALSE),$B$14:AQ$73, AQ$74,FALSE),"o")=$D$4,IFERROR(VLOOKUP(VLOOKUP($B73, Dependencies!$B$2:$G$230, 5,FALSE),$B$14:AQ$73, AQ$74,FALSE),"o")=$D$4,IFERROR(VLOOKUP(VLOOKUP($B73, Dependencies!$B$2:$G$230, 6,FALSE),$B$14:AQ$73, AQ$74,FALSE),"o")=$D$4),$D$4,IF(OR(IFERROR(VLOOKUP(VLOOKUP($B73, Dependencies!$B$2:$G$230, 2,FALSE), $B$14:AQ$73, AQ$74,FALSE),"o")=$D$5,IFERROR(VLOOKUP(VLOOKUP($B73, Dependencies!$B$2:$G$230, 3,FALSE), $B$14:AQ$73, AQ$74,FALSE),"o")=$D$5,IFERROR(VLOOKUP(VLOOKUP($B73, Dependencies!$B$2:$G$230, 4,FALSE), $B$14:AQ$73, AQ$74,FALSE),"o")=$D$5,IFERROR(VLOOKUP(VLOOKUP($B73, Dependencies!$B$2:$G$230, 5,FALSE), $B$14:AQ$73, AQ$74,FALSE),"o")=$D$5,IFERROR(VLOOKUP(VLOOKUP($B73, Dependencies!$B$2:$G$230, 6,FALSE), $B$14:AQ$73, AQ$74,FALSE),"o")=$D$5),$D$5,AP73)))</f>
        <v>o</v>
      </c>
      <c r="AR73" s="94" t="s">
        <v>323</v>
      </c>
      <c r="AS73" s="71" t="str">
        <f>IF(AR73=$D$4,AR73,IF(OR(IFERROR(VLOOKUP(VLOOKUP($B73, Dependencies!$B$2:$G$230, 2,FALSE),$B$14:AS$73, AS$74,FALSE),"o")=$D$4,IFERROR(VLOOKUP(VLOOKUP($B73, Dependencies!$B$2:$G$230, 3,FALSE),$B$14:AS$73, AS$74,FALSE),"o")=$D$4,IFERROR(VLOOKUP(VLOOKUP($B73, Dependencies!$B$2:$G$230, 4,FALSE),$B$14:AS$73, AS$74,FALSE),"o")=$D$4,IFERROR(VLOOKUP(VLOOKUP($B73, Dependencies!$B$2:$G$230, 5,FALSE),$B$14:AS$73, AS$74,FALSE),"o")=$D$4,IFERROR(VLOOKUP(VLOOKUP($B73, Dependencies!$B$2:$G$230, 6,FALSE),$B$14:AS$73, AS$74,FALSE),"o")=$D$4),$D$4,IF(OR(IFERROR(VLOOKUP(VLOOKUP($B73, Dependencies!$B$2:$G$230, 2,FALSE), $B$14:AS$73, AS$74,FALSE),"o")=$D$5,IFERROR(VLOOKUP(VLOOKUP($B73, Dependencies!$B$2:$G$230, 3,FALSE), $B$14:AS$73, AS$74,FALSE),"o")=$D$5,IFERROR(VLOOKUP(VLOOKUP($B73, Dependencies!$B$2:$G$230, 4,FALSE), $B$14:AS$73, AS$74,FALSE),"o")=$D$5,IFERROR(VLOOKUP(VLOOKUP($B73, Dependencies!$B$2:$G$230, 5,FALSE), $B$14:AS$73, AS$74,FALSE),"o")=$D$5,IFERROR(VLOOKUP(VLOOKUP($B73, Dependencies!$B$2:$G$230, 6,FALSE), $B$14:AS$73, AS$74,FALSE),"o")=$D$5),$D$5,AR73)))</f>
        <v>o</v>
      </c>
    </row>
    <row r="74" spans="1:45" x14ac:dyDescent="0.2">
      <c r="A74" s="29"/>
      <c r="B74" s="45"/>
      <c r="C74" s="45"/>
      <c r="D74" s="41"/>
      <c r="E74" s="45"/>
      <c r="F74" s="45"/>
      <c r="G74" s="45">
        <v>6</v>
      </c>
      <c r="H74" s="45"/>
      <c r="I74" s="45">
        <v>8</v>
      </c>
      <c r="J74" s="45"/>
      <c r="K74" s="45">
        <v>10</v>
      </c>
      <c r="L74" s="45"/>
      <c r="M74" s="45">
        <v>12</v>
      </c>
      <c r="N74" s="45"/>
      <c r="O74" s="45">
        <v>14</v>
      </c>
      <c r="P74" s="45"/>
      <c r="Q74" s="45">
        <v>16</v>
      </c>
      <c r="R74" s="45"/>
      <c r="S74" s="45">
        <v>18</v>
      </c>
      <c r="T74" s="45"/>
      <c r="U74" s="45">
        <v>20</v>
      </c>
      <c r="V74" s="45"/>
      <c r="W74" s="45">
        <v>22</v>
      </c>
      <c r="X74" s="45"/>
      <c r="Y74" s="45">
        <v>24</v>
      </c>
      <c r="Z74" s="45"/>
      <c r="AA74" s="45">
        <v>26</v>
      </c>
      <c r="AB74" s="45"/>
      <c r="AC74" s="45">
        <v>28</v>
      </c>
      <c r="AD74" s="45"/>
      <c r="AE74" s="45">
        <v>30</v>
      </c>
      <c r="AF74" s="45"/>
      <c r="AG74" s="45">
        <v>32</v>
      </c>
      <c r="AH74" s="45"/>
      <c r="AI74" s="45">
        <v>34</v>
      </c>
      <c r="AJ74" s="45"/>
      <c r="AK74" s="45">
        <v>36</v>
      </c>
      <c r="AL74" s="45"/>
      <c r="AM74" s="45">
        <v>38</v>
      </c>
      <c r="AN74" s="45"/>
      <c r="AO74" s="45">
        <v>40</v>
      </c>
      <c r="AP74" s="95"/>
      <c r="AQ74" s="95">
        <v>42</v>
      </c>
      <c r="AR74" s="95"/>
      <c r="AS74" s="45">
        <v>44</v>
      </c>
    </row>
    <row r="75" spans="1:45" x14ac:dyDescent="0.2">
      <c r="A75" s="29"/>
      <c r="B75" s="45"/>
      <c r="C75" s="45"/>
      <c r="D75" s="113" t="s">
        <v>333</v>
      </c>
      <c r="E75" s="43" t="s">
        <v>334</v>
      </c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90"/>
      <c r="AP75" s="52"/>
      <c r="AQ75" s="52"/>
      <c r="AR75" s="52"/>
      <c r="AS75" s="52"/>
    </row>
    <row r="76" spans="1:45" x14ac:dyDescent="0.2">
      <c r="A76" s="29"/>
      <c r="B76" s="45"/>
      <c r="C76" s="45"/>
      <c r="D76" s="114"/>
      <c r="E76" s="41" t="s">
        <v>335</v>
      </c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90"/>
      <c r="AP76" s="52"/>
      <c r="AQ76" s="52"/>
      <c r="AR76" s="52"/>
      <c r="AS76" s="52"/>
    </row>
    <row r="77" spans="1:45" x14ac:dyDescent="0.2">
      <c r="A77" s="29"/>
      <c r="B77" s="45"/>
      <c r="C77" s="45"/>
      <c r="D77" s="115"/>
      <c r="E77" s="43" t="s">
        <v>336</v>
      </c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90"/>
      <c r="AP77" s="52"/>
      <c r="AQ77" s="52"/>
      <c r="AR77" s="52"/>
      <c r="AS77" s="52"/>
    </row>
    <row r="78" spans="1:45" x14ac:dyDescent="0.2">
      <c r="A78" s="29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90"/>
      <c r="AP78" s="52"/>
      <c r="AQ78" s="52"/>
      <c r="AR78" s="52"/>
      <c r="AS78" s="52"/>
    </row>
    <row r="79" spans="1:45" x14ac:dyDescent="0.2">
      <c r="A79" s="29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90"/>
      <c r="AP79" s="52"/>
      <c r="AQ79" s="52"/>
      <c r="AR79" s="52"/>
      <c r="AS79" s="52"/>
    </row>
    <row r="80" spans="1:45" x14ac:dyDescent="0.2">
      <c r="A80" s="29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90"/>
      <c r="AP80" s="52"/>
      <c r="AQ80" s="52"/>
      <c r="AR80" s="52"/>
      <c r="AS80" s="52"/>
    </row>
    <row r="81" spans="1:45" x14ac:dyDescent="0.2">
      <c r="A81" s="29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90"/>
      <c r="AP81" s="52"/>
      <c r="AQ81" s="52"/>
      <c r="AR81" s="52"/>
      <c r="AS81" s="52"/>
    </row>
    <row r="82" spans="1:45" x14ac:dyDescent="0.2">
      <c r="A82" s="29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90"/>
      <c r="AP82" s="52"/>
      <c r="AQ82" s="52"/>
      <c r="AR82" s="52"/>
      <c r="AS82" s="52"/>
    </row>
    <row r="83" spans="1:45" x14ac:dyDescent="0.2">
      <c r="A83" s="29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90"/>
      <c r="AP83" s="52"/>
      <c r="AQ83" s="52"/>
      <c r="AR83" s="52"/>
      <c r="AS83" s="52"/>
    </row>
    <row r="84" spans="1:45" x14ac:dyDescent="0.2">
      <c r="A84" s="29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90"/>
      <c r="AP84" s="52"/>
      <c r="AQ84" s="52"/>
      <c r="AR84" s="52"/>
      <c r="AS84" s="52"/>
    </row>
    <row r="85" spans="1:45" x14ac:dyDescent="0.2">
      <c r="A85" s="29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90"/>
      <c r="AP85" s="52"/>
      <c r="AQ85" s="52"/>
      <c r="AR85" s="52"/>
      <c r="AS85" s="52"/>
    </row>
    <row r="86" spans="1:45" x14ac:dyDescent="0.2">
      <c r="A86" s="29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90"/>
      <c r="AP86" s="52"/>
      <c r="AQ86" s="52"/>
      <c r="AR86" s="52"/>
      <c r="AS86" s="52"/>
    </row>
    <row r="87" spans="1:45" x14ac:dyDescent="0.2">
      <c r="A87" s="29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90"/>
      <c r="AP87" s="52"/>
      <c r="AQ87" s="52"/>
      <c r="AR87" s="52"/>
      <c r="AS87" s="52"/>
    </row>
    <row r="88" spans="1:45" x14ac:dyDescent="0.2">
      <c r="A88" s="29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90"/>
      <c r="AP88" s="52"/>
      <c r="AQ88" s="52"/>
      <c r="AR88" s="52"/>
      <c r="AS88" s="52"/>
    </row>
    <row r="89" spans="1:45" x14ac:dyDescent="0.2">
      <c r="A89" s="29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90"/>
      <c r="AP89" s="52"/>
      <c r="AQ89" s="52"/>
      <c r="AR89" s="52"/>
      <c r="AS89" s="52"/>
    </row>
    <row r="90" spans="1:45" x14ac:dyDescent="0.2">
      <c r="A90" s="29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90"/>
      <c r="AP90" s="52"/>
      <c r="AQ90" s="52"/>
      <c r="AR90" s="52"/>
      <c r="AS90" s="52"/>
    </row>
    <row r="91" spans="1:45" x14ac:dyDescent="0.2">
      <c r="A91" s="29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90"/>
      <c r="AP91" s="52"/>
      <c r="AQ91" s="52"/>
      <c r="AR91" s="52"/>
      <c r="AS91" s="52"/>
    </row>
    <row r="92" spans="1:45" x14ac:dyDescent="0.2">
      <c r="A92" s="29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90"/>
      <c r="AP92" s="52"/>
      <c r="AQ92" s="52"/>
      <c r="AR92" s="52"/>
      <c r="AS92" s="52"/>
    </row>
    <row r="93" spans="1:45" x14ac:dyDescent="0.2">
      <c r="A93" s="29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90"/>
      <c r="AP93" s="52"/>
      <c r="AQ93" s="52"/>
      <c r="AR93" s="52"/>
      <c r="AS93" s="52"/>
    </row>
    <row r="94" spans="1:45" x14ac:dyDescent="0.2">
      <c r="A94" s="29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90"/>
      <c r="AP94" s="52"/>
      <c r="AQ94" s="52"/>
      <c r="AR94" s="52"/>
      <c r="AS94" s="52"/>
    </row>
    <row r="95" spans="1:45" x14ac:dyDescent="0.2">
      <c r="A95" s="29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90"/>
      <c r="AP95" s="52"/>
      <c r="AQ95" s="52"/>
      <c r="AR95" s="52"/>
      <c r="AS95" s="52"/>
    </row>
    <row r="96" spans="1:45" x14ac:dyDescent="0.2">
      <c r="A96" s="29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90"/>
      <c r="AP96" s="52"/>
      <c r="AQ96" s="52"/>
      <c r="AR96" s="52"/>
      <c r="AS96" s="52"/>
    </row>
    <row r="97" spans="1:45" x14ac:dyDescent="0.2">
      <c r="A97" s="29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90"/>
      <c r="AP97" s="52"/>
      <c r="AQ97" s="52"/>
      <c r="AR97" s="52"/>
      <c r="AS97" s="52"/>
    </row>
    <row r="98" spans="1:45" x14ac:dyDescent="0.2">
      <c r="A98" s="29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90"/>
      <c r="AP98" s="52"/>
      <c r="AQ98" s="52"/>
      <c r="AR98" s="52"/>
      <c r="AS98" s="52"/>
    </row>
    <row r="99" spans="1:45" x14ac:dyDescent="0.2">
      <c r="A99" s="29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90"/>
      <c r="AP99" s="52"/>
      <c r="AQ99" s="52"/>
      <c r="AR99" s="52"/>
      <c r="AS99" s="52"/>
    </row>
    <row r="100" spans="1:45" x14ac:dyDescent="0.2">
      <c r="A100" s="29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90"/>
      <c r="AP100" s="52"/>
      <c r="AQ100" s="52"/>
      <c r="AR100" s="52"/>
      <c r="AS100" s="52"/>
    </row>
    <row r="101" spans="1:45" x14ac:dyDescent="0.2">
      <c r="A101" s="29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90"/>
      <c r="AP101" s="52"/>
      <c r="AQ101" s="52"/>
      <c r="AR101" s="52"/>
      <c r="AS101" s="52"/>
    </row>
    <row r="102" spans="1:45" x14ac:dyDescent="0.2">
      <c r="A102" s="29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  <c r="AL102" s="45"/>
      <c r="AM102" s="45"/>
      <c r="AN102" s="45"/>
      <c r="AO102" s="90"/>
      <c r="AP102" s="52"/>
      <c r="AQ102" s="52"/>
      <c r="AR102" s="52"/>
      <c r="AS102" s="52"/>
    </row>
    <row r="103" spans="1:45" x14ac:dyDescent="0.2">
      <c r="A103" s="29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  <c r="AL103" s="45"/>
      <c r="AM103" s="45"/>
      <c r="AN103" s="45"/>
      <c r="AO103" s="90"/>
      <c r="AP103" s="52"/>
      <c r="AQ103" s="52"/>
      <c r="AR103" s="52"/>
      <c r="AS103" s="52"/>
    </row>
    <row r="104" spans="1:45" x14ac:dyDescent="0.2">
      <c r="A104" s="29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  <c r="AL104" s="45"/>
      <c r="AM104" s="45"/>
      <c r="AN104" s="45"/>
      <c r="AO104" s="90"/>
      <c r="AP104" s="52"/>
      <c r="AQ104" s="52"/>
      <c r="AR104" s="52"/>
      <c r="AS104" s="52"/>
    </row>
    <row r="105" spans="1:45" x14ac:dyDescent="0.2">
      <c r="A105" s="29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  <c r="AL105" s="45"/>
      <c r="AM105" s="45"/>
      <c r="AN105" s="45"/>
      <c r="AO105" s="90"/>
      <c r="AP105" s="52"/>
      <c r="AQ105" s="52"/>
      <c r="AR105" s="52"/>
      <c r="AS105" s="52"/>
    </row>
    <row r="106" spans="1:45" x14ac:dyDescent="0.2">
      <c r="A106" s="29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5"/>
      <c r="AM106" s="45"/>
      <c r="AN106" s="45"/>
      <c r="AO106" s="90"/>
      <c r="AP106" s="52"/>
      <c r="AQ106" s="52"/>
      <c r="AR106" s="52"/>
      <c r="AS106" s="52"/>
    </row>
    <row r="107" spans="1:45" x14ac:dyDescent="0.2">
      <c r="A107" s="29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  <c r="AK107" s="45"/>
      <c r="AL107" s="45"/>
      <c r="AM107" s="45"/>
      <c r="AN107" s="45"/>
      <c r="AO107" s="90"/>
      <c r="AP107" s="52"/>
      <c r="AQ107" s="52"/>
      <c r="AR107" s="52"/>
      <c r="AS107" s="52"/>
    </row>
    <row r="108" spans="1:45" x14ac:dyDescent="0.2">
      <c r="A108" s="29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90"/>
      <c r="AP108" s="52"/>
      <c r="AQ108" s="52"/>
      <c r="AR108" s="52"/>
      <c r="AS108" s="52"/>
    </row>
    <row r="109" spans="1:45" x14ac:dyDescent="0.2">
      <c r="A109" s="29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90"/>
      <c r="AP109" s="52"/>
      <c r="AQ109" s="52"/>
      <c r="AR109" s="52"/>
      <c r="AS109" s="52"/>
    </row>
    <row r="110" spans="1:45" x14ac:dyDescent="0.2">
      <c r="A110" s="29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90"/>
      <c r="AP110" s="52"/>
      <c r="AQ110" s="52"/>
      <c r="AR110" s="52"/>
      <c r="AS110" s="52"/>
    </row>
    <row r="111" spans="1:45" x14ac:dyDescent="0.2">
      <c r="A111" s="29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90"/>
      <c r="AP111" s="52"/>
      <c r="AQ111" s="52"/>
      <c r="AR111" s="52"/>
      <c r="AS111" s="52"/>
    </row>
    <row r="112" spans="1:45" x14ac:dyDescent="0.2">
      <c r="A112" s="29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90"/>
      <c r="AP112" s="52"/>
      <c r="AQ112" s="52"/>
      <c r="AR112" s="52"/>
      <c r="AS112" s="52"/>
    </row>
    <row r="113" spans="1:45" x14ac:dyDescent="0.2">
      <c r="A113" s="29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90"/>
      <c r="AP113" s="52"/>
      <c r="AQ113" s="52"/>
      <c r="AR113" s="52"/>
      <c r="AS113" s="52"/>
    </row>
    <row r="114" spans="1:45" x14ac:dyDescent="0.2">
      <c r="A114" s="29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90"/>
      <c r="AP114" s="52"/>
      <c r="AQ114" s="52"/>
      <c r="AR114" s="52"/>
      <c r="AS114" s="52"/>
    </row>
    <row r="115" spans="1:45" x14ac:dyDescent="0.2">
      <c r="A115" s="29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90"/>
      <c r="AP115" s="52"/>
      <c r="AQ115" s="52"/>
      <c r="AR115" s="52"/>
      <c r="AS115" s="52"/>
    </row>
    <row r="116" spans="1:45" x14ac:dyDescent="0.2">
      <c r="A116" s="29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90"/>
      <c r="AP116" s="52"/>
      <c r="AQ116" s="52"/>
      <c r="AR116" s="52"/>
      <c r="AS116" s="52"/>
    </row>
    <row r="117" spans="1:45" x14ac:dyDescent="0.2">
      <c r="A117" s="29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90"/>
      <c r="AP117" s="52"/>
      <c r="AQ117" s="52"/>
      <c r="AR117" s="52"/>
      <c r="AS117" s="52"/>
    </row>
    <row r="118" spans="1:45" x14ac:dyDescent="0.2">
      <c r="A118" s="29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90"/>
      <c r="AP118" s="52"/>
      <c r="AQ118" s="52"/>
      <c r="AR118" s="52"/>
      <c r="AS118" s="52"/>
    </row>
    <row r="119" spans="1:45" x14ac:dyDescent="0.2">
      <c r="A119" s="29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90"/>
      <c r="AP119" s="52"/>
      <c r="AQ119" s="52"/>
      <c r="AR119" s="52"/>
      <c r="AS119" s="52"/>
    </row>
    <row r="120" spans="1:45" x14ac:dyDescent="0.2">
      <c r="A120" s="29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90"/>
      <c r="AP120" s="52"/>
      <c r="AQ120" s="52"/>
      <c r="AR120" s="52"/>
      <c r="AS120" s="52"/>
    </row>
    <row r="121" spans="1:45" x14ac:dyDescent="0.2">
      <c r="A121" s="29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90"/>
      <c r="AP121" s="52"/>
      <c r="AQ121" s="52"/>
      <c r="AR121" s="52"/>
      <c r="AS121" s="52"/>
    </row>
    <row r="122" spans="1:45" x14ac:dyDescent="0.2">
      <c r="A122" s="29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90"/>
      <c r="AP122" s="52"/>
      <c r="AQ122" s="52"/>
      <c r="AR122" s="52"/>
      <c r="AS122" s="52"/>
    </row>
    <row r="123" spans="1:45" x14ac:dyDescent="0.2">
      <c r="A123" s="29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90"/>
      <c r="AP123" s="52"/>
      <c r="AQ123" s="52"/>
      <c r="AR123" s="52"/>
      <c r="AS123" s="52"/>
    </row>
    <row r="124" spans="1:45" x14ac:dyDescent="0.2">
      <c r="A124" s="29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90"/>
      <c r="AP124" s="52"/>
      <c r="AQ124" s="52"/>
      <c r="AR124" s="52"/>
      <c r="AS124" s="52"/>
    </row>
    <row r="125" spans="1:45" x14ac:dyDescent="0.2">
      <c r="A125" s="29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90"/>
      <c r="AP125" s="52"/>
      <c r="AQ125" s="52"/>
      <c r="AR125" s="52"/>
      <c r="AS125" s="52"/>
    </row>
    <row r="126" spans="1:45" x14ac:dyDescent="0.2">
      <c r="A126" s="29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90"/>
      <c r="AP126" s="52"/>
      <c r="AQ126" s="52"/>
      <c r="AR126" s="52"/>
      <c r="AS126" s="52"/>
    </row>
    <row r="127" spans="1:45" x14ac:dyDescent="0.2">
      <c r="A127" s="29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90"/>
      <c r="AP127" s="52"/>
      <c r="AQ127" s="52"/>
      <c r="AR127" s="52"/>
      <c r="AS127" s="52"/>
    </row>
    <row r="128" spans="1:45" x14ac:dyDescent="0.2">
      <c r="A128" s="29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90"/>
      <c r="AP128" s="52"/>
      <c r="AQ128" s="52"/>
      <c r="AR128" s="52"/>
      <c r="AS128" s="52"/>
    </row>
    <row r="129" spans="1:45" x14ac:dyDescent="0.2">
      <c r="A129" s="29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90"/>
      <c r="AP129" s="52"/>
      <c r="AQ129" s="52"/>
      <c r="AR129" s="52"/>
      <c r="AS129" s="52"/>
    </row>
    <row r="130" spans="1:45" x14ac:dyDescent="0.2">
      <c r="A130" s="29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90"/>
      <c r="AP130" s="52"/>
      <c r="AQ130" s="52"/>
      <c r="AR130" s="52"/>
      <c r="AS130" s="52"/>
    </row>
    <row r="131" spans="1:45" x14ac:dyDescent="0.2">
      <c r="A131" s="29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90"/>
      <c r="AP131" s="52"/>
      <c r="AQ131" s="52"/>
      <c r="AR131" s="52"/>
      <c r="AS131" s="52"/>
    </row>
    <row r="132" spans="1:45" x14ac:dyDescent="0.2">
      <c r="A132" s="29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90"/>
      <c r="AP132" s="52"/>
      <c r="AQ132" s="52"/>
      <c r="AR132" s="52"/>
      <c r="AS132" s="52"/>
    </row>
    <row r="133" spans="1:45" x14ac:dyDescent="0.2">
      <c r="A133" s="29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90"/>
      <c r="AP133" s="52"/>
      <c r="AQ133" s="52"/>
      <c r="AR133" s="52"/>
      <c r="AS133" s="52"/>
    </row>
    <row r="134" spans="1:45" x14ac:dyDescent="0.2">
      <c r="A134" s="29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90"/>
      <c r="AP134" s="52"/>
      <c r="AQ134" s="52"/>
      <c r="AR134" s="52"/>
      <c r="AS134" s="52"/>
    </row>
    <row r="135" spans="1:45" x14ac:dyDescent="0.2">
      <c r="A135" s="29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90"/>
      <c r="AP135" s="52"/>
      <c r="AQ135" s="52"/>
      <c r="AR135" s="52"/>
      <c r="AS135" s="52"/>
    </row>
    <row r="136" spans="1:45" x14ac:dyDescent="0.2">
      <c r="A136" s="29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90"/>
      <c r="AP136" s="52"/>
      <c r="AQ136" s="52"/>
      <c r="AR136" s="52"/>
      <c r="AS136" s="52"/>
    </row>
    <row r="137" spans="1:45" x14ac:dyDescent="0.2">
      <c r="A137" s="29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90"/>
      <c r="AP137" s="52"/>
      <c r="AQ137" s="52"/>
      <c r="AR137" s="52"/>
      <c r="AS137" s="52"/>
    </row>
    <row r="138" spans="1:45" x14ac:dyDescent="0.2">
      <c r="A138" s="29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90"/>
      <c r="AP138" s="52"/>
      <c r="AQ138" s="52"/>
      <c r="AR138" s="52"/>
      <c r="AS138" s="52"/>
    </row>
    <row r="139" spans="1:45" x14ac:dyDescent="0.2">
      <c r="A139" s="29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90"/>
      <c r="AP139" s="52"/>
      <c r="AQ139" s="52"/>
      <c r="AR139" s="52"/>
      <c r="AS139" s="52"/>
    </row>
    <row r="140" spans="1:45" x14ac:dyDescent="0.2">
      <c r="A140" s="29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90"/>
      <c r="AP140" s="52"/>
      <c r="AQ140" s="52"/>
      <c r="AR140" s="52"/>
      <c r="AS140" s="52"/>
    </row>
    <row r="141" spans="1:45" x14ac:dyDescent="0.2">
      <c r="A141" s="29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90"/>
      <c r="AP141" s="52"/>
      <c r="AQ141" s="52"/>
      <c r="AR141" s="52"/>
      <c r="AS141" s="52"/>
    </row>
    <row r="142" spans="1:45" x14ac:dyDescent="0.2">
      <c r="A142" s="29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90"/>
      <c r="AP142" s="52"/>
      <c r="AQ142" s="52"/>
      <c r="AR142" s="52"/>
      <c r="AS142" s="52"/>
    </row>
    <row r="143" spans="1:45" x14ac:dyDescent="0.2">
      <c r="A143" s="29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90"/>
      <c r="AP143" s="52"/>
      <c r="AQ143" s="52"/>
      <c r="AR143" s="52"/>
      <c r="AS143" s="52"/>
    </row>
    <row r="144" spans="1:45" x14ac:dyDescent="0.2">
      <c r="A144" s="29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90"/>
      <c r="AP144" s="52"/>
      <c r="AQ144" s="52"/>
      <c r="AR144" s="52"/>
      <c r="AS144" s="52"/>
    </row>
    <row r="145" spans="1:45" x14ac:dyDescent="0.2">
      <c r="A145" s="29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90"/>
      <c r="AP145" s="52"/>
      <c r="AQ145" s="52"/>
      <c r="AR145" s="52"/>
      <c r="AS145" s="52"/>
    </row>
    <row r="146" spans="1:45" x14ac:dyDescent="0.2">
      <c r="A146" s="29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90"/>
      <c r="AP146" s="52"/>
      <c r="AQ146" s="52"/>
      <c r="AR146" s="52"/>
      <c r="AS146" s="52"/>
    </row>
    <row r="147" spans="1:45" x14ac:dyDescent="0.2">
      <c r="A147" s="29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90"/>
      <c r="AP147" s="52"/>
      <c r="AQ147" s="52"/>
      <c r="AR147" s="52"/>
      <c r="AS147" s="52"/>
    </row>
    <row r="148" spans="1:45" x14ac:dyDescent="0.2">
      <c r="A148" s="29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90"/>
      <c r="AP148" s="52"/>
      <c r="AQ148" s="52"/>
      <c r="AR148" s="52"/>
      <c r="AS148" s="52"/>
    </row>
    <row r="149" spans="1:45" x14ac:dyDescent="0.2">
      <c r="A149" s="29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  <c r="AJ149" s="45"/>
      <c r="AK149" s="45"/>
      <c r="AL149" s="45"/>
      <c r="AM149" s="45"/>
      <c r="AN149" s="45"/>
      <c r="AO149" s="90"/>
      <c r="AP149" s="52"/>
      <c r="AQ149" s="52"/>
      <c r="AR149" s="52"/>
      <c r="AS149" s="52"/>
    </row>
    <row r="150" spans="1:45" x14ac:dyDescent="0.2">
      <c r="A150" s="29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5"/>
      <c r="AM150" s="45"/>
      <c r="AN150" s="45"/>
      <c r="AO150" s="90"/>
      <c r="AP150" s="52"/>
      <c r="AQ150" s="52"/>
      <c r="AR150" s="52"/>
      <c r="AS150" s="52"/>
    </row>
    <row r="151" spans="1:45" x14ac:dyDescent="0.2">
      <c r="A151" s="29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  <c r="AJ151" s="45"/>
      <c r="AK151" s="45"/>
      <c r="AL151" s="45"/>
      <c r="AM151" s="45"/>
      <c r="AN151" s="45"/>
      <c r="AO151" s="90"/>
      <c r="AP151" s="52"/>
      <c r="AQ151" s="52"/>
      <c r="AR151" s="52"/>
      <c r="AS151" s="52"/>
    </row>
    <row r="152" spans="1:45" x14ac:dyDescent="0.2">
      <c r="A152" s="29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  <c r="AJ152" s="45"/>
      <c r="AK152" s="45"/>
      <c r="AL152" s="45"/>
      <c r="AM152" s="45"/>
      <c r="AN152" s="45"/>
      <c r="AO152" s="90"/>
      <c r="AP152" s="52"/>
      <c r="AQ152" s="52"/>
      <c r="AR152" s="52"/>
      <c r="AS152" s="52"/>
    </row>
    <row r="153" spans="1:45" x14ac:dyDescent="0.2">
      <c r="A153" s="29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  <c r="AJ153" s="45"/>
      <c r="AK153" s="45"/>
      <c r="AL153" s="45"/>
      <c r="AM153" s="45"/>
      <c r="AN153" s="45"/>
      <c r="AO153" s="90"/>
      <c r="AP153" s="52"/>
      <c r="AQ153" s="52"/>
      <c r="AR153" s="52"/>
      <c r="AS153" s="52"/>
    </row>
    <row r="154" spans="1:45" x14ac:dyDescent="0.2">
      <c r="A154" s="29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  <c r="AJ154" s="45"/>
      <c r="AK154" s="45"/>
      <c r="AL154" s="45"/>
      <c r="AM154" s="45"/>
      <c r="AN154" s="45"/>
      <c r="AO154" s="90"/>
      <c r="AP154" s="52"/>
      <c r="AQ154" s="52"/>
      <c r="AR154" s="52"/>
      <c r="AS154" s="52"/>
    </row>
    <row r="155" spans="1:45" x14ac:dyDescent="0.2">
      <c r="A155" s="29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  <c r="AJ155" s="45"/>
      <c r="AK155" s="45"/>
      <c r="AL155" s="45"/>
      <c r="AM155" s="45"/>
      <c r="AN155" s="45"/>
      <c r="AO155" s="90"/>
      <c r="AP155" s="52"/>
      <c r="AQ155" s="52"/>
      <c r="AR155" s="52"/>
      <c r="AS155" s="52"/>
    </row>
    <row r="156" spans="1:45" x14ac:dyDescent="0.2">
      <c r="A156" s="29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  <c r="AJ156" s="45"/>
      <c r="AK156" s="45"/>
      <c r="AL156" s="45"/>
      <c r="AM156" s="45"/>
      <c r="AN156" s="45"/>
      <c r="AO156" s="90"/>
      <c r="AP156" s="52"/>
      <c r="AQ156" s="52"/>
      <c r="AR156" s="52"/>
      <c r="AS156" s="52"/>
    </row>
    <row r="157" spans="1:45" x14ac:dyDescent="0.2">
      <c r="A157" s="29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90"/>
      <c r="AP157" s="52"/>
      <c r="AQ157" s="52"/>
      <c r="AR157" s="52"/>
      <c r="AS157" s="52"/>
    </row>
    <row r="158" spans="1:45" x14ac:dyDescent="0.2">
      <c r="A158" s="29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90"/>
      <c r="AP158" s="52"/>
      <c r="AQ158" s="52"/>
      <c r="AR158" s="52"/>
      <c r="AS158" s="52"/>
    </row>
    <row r="159" spans="1:45" x14ac:dyDescent="0.2">
      <c r="A159" s="29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  <c r="AJ159" s="45"/>
      <c r="AK159" s="45"/>
      <c r="AL159" s="45"/>
      <c r="AM159" s="45"/>
      <c r="AN159" s="45"/>
      <c r="AO159" s="90"/>
      <c r="AP159" s="52"/>
      <c r="AQ159" s="52"/>
      <c r="AR159" s="52"/>
      <c r="AS159" s="52"/>
    </row>
    <row r="160" spans="1:45" x14ac:dyDescent="0.2">
      <c r="A160" s="29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90"/>
      <c r="AP160" s="52"/>
      <c r="AQ160" s="52"/>
      <c r="AR160" s="52"/>
      <c r="AS160" s="52"/>
    </row>
    <row r="161" spans="1:45" x14ac:dyDescent="0.2">
      <c r="A161" s="29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90"/>
      <c r="AP161" s="52"/>
      <c r="AQ161" s="52"/>
      <c r="AR161" s="52"/>
      <c r="AS161" s="52"/>
    </row>
    <row r="162" spans="1:45" x14ac:dyDescent="0.2">
      <c r="A162" s="29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  <c r="AJ162" s="45"/>
      <c r="AK162" s="45"/>
      <c r="AL162" s="45"/>
      <c r="AM162" s="45"/>
      <c r="AN162" s="45"/>
      <c r="AO162" s="90"/>
      <c r="AP162" s="52"/>
      <c r="AQ162" s="52"/>
      <c r="AR162" s="52"/>
      <c r="AS162" s="52"/>
    </row>
    <row r="163" spans="1:45" x14ac:dyDescent="0.2">
      <c r="A163" s="29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45"/>
      <c r="AN163" s="45"/>
      <c r="AO163" s="90"/>
      <c r="AP163" s="52"/>
      <c r="AQ163" s="52"/>
      <c r="AR163" s="52"/>
      <c r="AS163" s="52"/>
    </row>
    <row r="164" spans="1:45" x14ac:dyDescent="0.2">
      <c r="A164" s="29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  <c r="AJ164" s="45"/>
      <c r="AK164" s="45"/>
      <c r="AL164" s="45"/>
      <c r="AM164" s="45"/>
      <c r="AN164" s="45"/>
      <c r="AO164" s="90"/>
      <c r="AP164" s="52"/>
      <c r="AQ164" s="52"/>
      <c r="AR164" s="52"/>
      <c r="AS164" s="52"/>
    </row>
    <row r="165" spans="1:45" x14ac:dyDescent="0.2">
      <c r="A165" s="29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90"/>
      <c r="AP165" s="52"/>
      <c r="AQ165" s="52"/>
      <c r="AR165" s="52"/>
      <c r="AS165" s="52"/>
    </row>
    <row r="166" spans="1:45" x14ac:dyDescent="0.2">
      <c r="A166" s="29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90"/>
      <c r="AP166" s="52"/>
      <c r="AQ166" s="52"/>
      <c r="AR166" s="52"/>
      <c r="AS166" s="52"/>
    </row>
    <row r="167" spans="1:45" x14ac:dyDescent="0.2">
      <c r="A167" s="29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45"/>
      <c r="AJ167" s="45"/>
      <c r="AK167" s="45"/>
      <c r="AL167" s="45"/>
      <c r="AM167" s="45"/>
      <c r="AN167" s="45"/>
      <c r="AO167" s="90"/>
      <c r="AP167" s="52"/>
      <c r="AQ167" s="52"/>
      <c r="AR167" s="52"/>
      <c r="AS167" s="52"/>
    </row>
    <row r="168" spans="1:45" x14ac:dyDescent="0.2">
      <c r="A168" s="29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45"/>
      <c r="AJ168" s="45"/>
      <c r="AK168" s="45"/>
      <c r="AL168" s="45"/>
      <c r="AM168" s="45"/>
      <c r="AN168" s="45"/>
      <c r="AO168" s="90"/>
      <c r="AP168" s="52"/>
      <c r="AQ168" s="52"/>
      <c r="AR168" s="52"/>
      <c r="AS168" s="52"/>
    </row>
    <row r="169" spans="1:45" x14ac:dyDescent="0.2">
      <c r="A169" s="29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  <c r="AJ169" s="45"/>
      <c r="AK169" s="45"/>
      <c r="AL169" s="45"/>
      <c r="AM169" s="45"/>
      <c r="AN169" s="45"/>
      <c r="AO169" s="90"/>
      <c r="AP169" s="52"/>
      <c r="AQ169" s="52"/>
      <c r="AR169" s="52"/>
      <c r="AS169" s="52"/>
    </row>
    <row r="170" spans="1:45" x14ac:dyDescent="0.2">
      <c r="A170" s="29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45"/>
      <c r="AJ170" s="45"/>
      <c r="AK170" s="45"/>
      <c r="AL170" s="45"/>
      <c r="AM170" s="45"/>
      <c r="AN170" s="45"/>
      <c r="AO170" s="90"/>
      <c r="AP170" s="52"/>
      <c r="AQ170" s="52"/>
      <c r="AR170" s="52"/>
      <c r="AS170" s="52"/>
    </row>
    <row r="171" spans="1:45" x14ac:dyDescent="0.2">
      <c r="A171" s="29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45"/>
      <c r="AJ171" s="45"/>
      <c r="AK171" s="45"/>
      <c r="AL171" s="45"/>
      <c r="AM171" s="45"/>
      <c r="AN171" s="45"/>
      <c r="AO171" s="90"/>
      <c r="AP171" s="52"/>
      <c r="AQ171" s="52"/>
      <c r="AR171" s="52"/>
      <c r="AS171" s="52"/>
    </row>
    <row r="172" spans="1:45" x14ac:dyDescent="0.2">
      <c r="A172" s="29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45"/>
      <c r="AJ172" s="45"/>
      <c r="AK172" s="45"/>
      <c r="AL172" s="45"/>
      <c r="AM172" s="45"/>
      <c r="AN172" s="45"/>
      <c r="AO172" s="90"/>
      <c r="AP172" s="52"/>
      <c r="AQ172" s="52"/>
      <c r="AR172" s="52"/>
      <c r="AS172" s="52"/>
    </row>
    <row r="173" spans="1:45" x14ac:dyDescent="0.2">
      <c r="A173" s="29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45"/>
      <c r="AJ173" s="45"/>
      <c r="AK173" s="45"/>
      <c r="AL173" s="45"/>
      <c r="AM173" s="45"/>
      <c r="AN173" s="45"/>
      <c r="AO173" s="90"/>
      <c r="AP173" s="52"/>
      <c r="AQ173" s="52"/>
      <c r="AR173" s="52"/>
      <c r="AS173" s="52"/>
    </row>
    <row r="174" spans="1:45" x14ac:dyDescent="0.2">
      <c r="A174" s="29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90"/>
      <c r="AP174" s="52"/>
      <c r="AQ174" s="52"/>
      <c r="AR174" s="52"/>
      <c r="AS174" s="52"/>
    </row>
    <row r="175" spans="1:45" x14ac:dyDescent="0.2">
      <c r="A175" s="29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45"/>
      <c r="AJ175" s="45"/>
      <c r="AK175" s="45"/>
      <c r="AL175" s="45"/>
      <c r="AM175" s="45"/>
      <c r="AN175" s="45"/>
      <c r="AO175" s="90"/>
      <c r="AP175" s="52"/>
      <c r="AQ175" s="52"/>
      <c r="AR175" s="52"/>
      <c r="AS175" s="52"/>
    </row>
    <row r="176" spans="1:45" x14ac:dyDescent="0.2">
      <c r="A176" s="29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5"/>
      <c r="AM176" s="45"/>
      <c r="AN176" s="45"/>
      <c r="AO176" s="90"/>
      <c r="AP176" s="52"/>
      <c r="AQ176" s="52"/>
      <c r="AR176" s="52"/>
      <c r="AS176" s="52"/>
    </row>
    <row r="177" spans="1:45" x14ac:dyDescent="0.2">
      <c r="A177" s="29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  <c r="AJ177" s="45"/>
      <c r="AK177" s="45"/>
      <c r="AL177" s="45"/>
      <c r="AM177" s="45"/>
      <c r="AN177" s="45"/>
      <c r="AO177" s="90"/>
      <c r="AP177" s="52"/>
      <c r="AQ177" s="52"/>
      <c r="AR177" s="52"/>
      <c r="AS177" s="52"/>
    </row>
    <row r="178" spans="1:45" x14ac:dyDescent="0.2">
      <c r="A178" s="29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90"/>
      <c r="AP178" s="52"/>
      <c r="AQ178" s="52"/>
      <c r="AR178" s="52"/>
      <c r="AS178" s="52"/>
    </row>
    <row r="179" spans="1:45" x14ac:dyDescent="0.2">
      <c r="A179" s="29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  <c r="AJ179" s="45"/>
      <c r="AK179" s="45"/>
      <c r="AL179" s="45"/>
      <c r="AM179" s="45"/>
      <c r="AN179" s="45"/>
      <c r="AO179" s="90"/>
      <c r="AP179" s="52"/>
      <c r="AQ179" s="52"/>
      <c r="AR179" s="52"/>
      <c r="AS179" s="52"/>
    </row>
    <row r="180" spans="1:45" x14ac:dyDescent="0.2">
      <c r="A180" s="29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90"/>
      <c r="AP180" s="52"/>
      <c r="AQ180" s="52"/>
      <c r="AR180" s="52"/>
      <c r="AS180" s="52"/>
    </row>
    <row r="181" spans="1:45" x14ac:dyDescent="0.2">
      <c r="A181" s="29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  <c r="AJ181" s="45"/>
      <c r="AK181" s="45"/>
      <c r="AL181" s="45"/>
      <c r="AM181" s="45"/>
      <c r="AN181" s="45"/>
      <c r="AO181" s="90"/>
      <c r="AP181" s="52"/>
      <c r="AQ181" s="52"/>
      <c r="AR181" s="52"/>
      <c r="AS181" s="52"/>
    </row>
    <row r="182" spans="1:45" x14ac:dyDescent="0.2">
      <c r="A182" s="29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90"/>
      <c r="AP182" s="52"/>
      <c r="AQ182" s="52"/>
      <c r="AR182" s="52"/>
      <c r="AS182" s="52"/>
    </row>
    <row r="183" spans="1:45" x14ac:dyDescent="0.2">
      <c r="A183" s="29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  <c r="AJ183" s="45"/>
      <c r="AK183" s="45"/>
      <c r="AL183" s="45"/>
      <c r="AM183" s="45"/>
      <c r="AN183" s="45"/>
      <c r="AO183" s="90"/>
      <c r="AP183" s="52"/>
      <c r="AQ183" s="52"/>
      <c r="AR183" s="52"/>
      <c r="AS183" s="52"/>
    </row>
    <row r="184" spans="1:45" x14ac:dyDescent="0.2">
      <c r="A184" s="29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90"/>
      <c r="AP184" s="52"/>
      <c r="AQ184" s="52"/>
      <c r="AR184" s="52"/>
      <c r="AS184" s="52"/>
    </row>
    <row r="185" spans="1:45" x14ac:dyDescent="0.2">
      <c r="A185" s="29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90"/>
      <c r="AP185" s="52"/>
      <c r="AQ185" s="52"/>
      <c r="AR185" s="52"/>
      <c r="AS185" s="52"/>
    </row>
    <row r="186" spans="1:45" x14ac:dyDescent="0.2">
      <c r="A186" s="29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90"/>
      <c r="AP186" s="52"/>
      <c r="AQ186" s="52"/>
      <c r="AR186" s="52"/>
      <c r="AS186" s="52"/>
    </row>
    <row r="187" spans="1:45" x14ac:dyDescent="0.2">
      <c r="A187" s="29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5"/>
      <c r="AI187" s="45"/>
      <c r="AJ187" s="45"/>
      <c r="AK187" s="45"/>
      <c r="AL187" s="45"/>
      <c r="AM187" s="45"/>
      <c r="AN187" s="45"/>
      <c r="AO187" s="90"/>
      <c r="AP187" s="52"/>
      <c r="AQ187" s="52"/>
      <c r="AR187" s="52"/>
      <c r="AS187" s="52"/>
    </row>
    <row r="188" spans="1:45" x14ac:dyDescent="0.2">
      <c r="A188" s="29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5"/>
      <c r="AI188" s="45"/>
      <c r="AJ188" s="45"/>
      <c r="AK188" s="45"/>
      <c r="AL188" s="45"/>
      <c r="AM188" s="45"/>
      <c r="AN188" s="45"/>
      <c r="AO188" s="90"/>
      <c r="AP188" s="52"/>
      <c r="AQ188" s="52"/>
      <c r="AR188" s="52"/>
      <c r="AS188" s="52"/>
    </row>
    <row r="189" spans="1:45" x14ac:dyDescent="0.2">
      <c r="A189" s="29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  <c r="AK189" s="45"/>
      <c r="AL189" s="45"/>
      <c r="AM189" s="45"/>
      <c r="AN189" s="45"/>
      <c r="AO189" s="90"/>
      <c r="AP189" s="52"/>
      <c r="AQ189" s="52"/>
      <c r="AR189" s="52"/>
      <c r="AS189" s="52"/>
    </row>
    <row r="190" spans="1:45" x14ac:dyDescent="0.2">
      <c r="A190" s="29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  <c r="AK190" s="45"/>
      <c r="AL190" s="45"/>
      <c r="AM190" s="45"/>
      <c r="AN190" s="45"/>
      <c r="AO190" s="90"/>
      <c r="AP190" s="52"/>
      <c r="AQ190" s="52"/>
      <c r="AR190" s="52"/>
      <c r="AS190" s="52"/>
    </row>
    <row r="191" spans="1:45" x14ac:dyDescent="0.2">
      <c r="A191" s="29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  <c r="AK191" s="45"/>
      <c r="AL191" s="45"/>
      <c r="AM191" s="45"/>
      <c r="AN191" s="45"/>
      <c r="AO191" s="90"/>
      <c r="AP191" s="52"/>
      <c r="AQ191" s="52"/>
      <c r="AR191" s="52"/>
      <c r="AS191" s="52"/>
    </row>
    <row r="192" spans="1:45" x14ac:dyDescent="0.2">
      <c r="A192" s="29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5"/>
      <c r="AI192" s="45"/>
      <c r="AJ192" s="45"/>
      <c r="AK192" s="45"/>
      <c r="AL192" s="45"/>
      <c r="AM192" s="45"/>
      <c r="AN192" s="45"/>
      <c r="AO192" s="90"/>
      <c r="AP192" s="52"/>
      <c r="AQ192" s="52"/>
      <c r="AR192" s="52"/>
      <c r="AS192" s="52"/>
    </row>
    <row r="193" spans="1:45" x14ac:dyDescent="0.2">
      <c r="A193" s="29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5"/>
      <c r="AI193" s="45"/>
      <c r="AJ193" s="45"/>
      <c r="AK193" s="45"/>
      <c r="AL193" s="45"/>
      <c r="AM193" s="45"/>
      <c r="AN193" s="45"/>
      <c r="AO193" s="90"/>
      <c r="AP193" s="52"/>
      <c r="AQ193" s="52"/>
      <c r="AR193" s="52"/>
      <c r="AS193" s="52"/>
    </row>
    <row r="194" spans="1:45" x14ac:dyDescent="0.2">
      <c r="A194" s="29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5"/>
      <c r="AI194" s="45"/>
      <c r="AJ194" s="45"/>
      <c r="AK194" s="45"/>
      <c r="AL194" s="45"/>
      <c r="AM194" s="45"/>
      <c r="AN194" s="45"/>
      <c r="AO194" s="90"/>
      <c r="AP194" s="52"/>
      <c r="AQ194" s="52"/>
      <c r="AR194" s="52"/>
      <c r="AS194" s="52"/>
    </row>
    <row r="195" spans="1:45" x14ac:dyDescent="0.2">
      <c r="A195" s="29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5"/>
      <c r="AI195" s="45"/>
      <c r="AJ195" s="45"/>
      <c r="AK195" s="45"/>
      <c r="AL195" s="45"/>
      <c r="AM195" s="45"/>
      <c r="AN195" s="45"/>
      <c r="AO195" s="90"/>
      <c r="AP195" s="52"/>
      <c r="AQ195" s="52"/>
      <c r="AR195" s="52"/>
      <c r="AS195" s="52"/>
    </row>
    <row r="196" spans="1:45" x14ac:dyDescent="0.2">
      <c r="A196" s="29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5"/>
      <c r="AI196" s="45"/>
      <c r="AJ196" s="45"/>
      <c r="AK196" s="45"/>
      <c r="AL196" s="45"/>
      <c r="AM196" s="45"/>
      <c r="AN196" s="45"/>
      <c r="AO196" s="90"/>
      <c r="AP196" s="52"/>
      <c r="AQ196" s="52"/>
      <c r="AR196" s="52"/>
      <c r="AS196" s="52"/>
    </row>
    <row r="197" spans="1:45" x14ac:dyDescent="0.2">
      <c r="A197" s="29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5"/>
      <c r="AI197" s="45"/>
      <c r="AJ197" s="45"/>
      <c r="AK197" s="45"/>
      <c r="AL197" s="45"/>
      <c r="AM197" s="45"/>
      <c r="AN197" s="45"/>
      <c r="AO197" s="90"/>
      <c r="AP197" s="52"/>
      <c r="AQ197" s="52"/>
      <c r="AR197" s="52"/>
      <c r="AS197" s="52"/>
    </row>
    <row r="198" spans="1:45" x14ac:dyDescent="0.2">
      <c r="A198" s="29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5"/>
      <c r="AI198" s="45"/>
      <c r="AJ198" s="45"/>
      <c r="AK198" s="45"/>
      <c r="AL198" s="45"/>
      <c r="AM198" s="45"/>
      <c r="AN198" s="45"/>
      <c r="AO198" s="90"/>
      <c r="AP198" s="52"/>
      <c r="AQ198" s="52"/>
      <c r="AR198" s="52"/>
      <c r="AS198" s="52"/>
    </row>
    <row r="199" spans="1:45" x14ac:dyDescent="0.2">
      <c r="A199" s="29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5"/>
      <c r="AI199" s="45"/>
      <c r="AJ199" s="45"/>
      <c r="AK199" s="45"/>
      <c r="AL199" s="45"/>
      <c r="AM199" s="45"/>
      <c r="AN199" s="45"/>
      <c r="AO199" s="90"/>
      <c r="AP199" s="52"/>
      <c r="AQ199" s="52"/>
      <c r="AR199" s="52"/>
      <c r="AS199" s="52"/>
    </row>
    <row r="200" spans="1:45" x14ac:dyDescent="0.2">
      <c r="A200" s="29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5"/>
      <c r="AI200" s="45"/>
      <c r="AJ200" s="45"/>
      <c r="AK200" s="45"/>
      <c r="AL200" s="45"/>
      <c r="AM200" s="45"/>
      <c r="AN200" s="45"/>
      <c r="AO200" s="90"/>
      <c r="AP200" s="52"/>
      <c r="AQ200" s="52"/>
      <c r="AR200" s="52"/>
      <c r="AS200" s="52"/>
    </row>
    <row r="201" spans="1:45" x14ac:dyDescent="0.2">
      <c r="A201" s="29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5"/>
      <c r="AI201" s="45"/>
      <c r="AJ201" s="45"/>
      <c r="AK201" s="45"/>
      <c r="AL201" s="45"/>
      <c r="AM201" s="45"/>
      <c r="AN201" s="45"/>
      <c r="AO201" s="90"/>
      <c r="AP201" s="52"/>
      <c r="AQ201" s="52"/>
      <c r="AR201" s="52"/>
      <c r="AS201" s="52"/>
    </row>
    <row r="202" spans="1:45" x14ac:dyDescent="0.2">
      <c r="A202" s="29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5"/>
      <c r="AI202" s="45"/>
      <c r="AJ202" s="45"/>
      <c r="AK202" s="45"/>
      <c r="AL202" s="45"/>
      <c r="AM202" s="45"/>
      <c r="AN202" s="45"/>
      <c r="AO202" s="90"/>
      <c r="AP202" s="52"/>
      <c r="AQ202" s="52"/>
      <c r="AR202" s="52"/>
      <c r="AS202" s="52"/>
    </row>
    <row r="203" spans="1:45" x14ac:dyDescent="0.2">
      <c r="A203" s="29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5"/>
      <c r="AI203" s="45"/>
      <c r="AJ203" s="45"/>
      <c r="AK203" s="45"/>
      <c r="AL203" s="45"/>
      <c r="AM203" s="45"/>
      <c r="AN203" s="45"/>
      <c r="AO203" s="90"/>
      <c r="AP203" s="52"/>
      <c r="AQ203" s="52"/>
      <c r="AR203" s="52"/>
      <c r="AS203" s="52"/>
    </row>
    <row r="204" spans="1:45" x14ac:dyDescent="0.2">
      <c r="A204" s="29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5"/>
      <c r="AI204" s="45"/>
      <c r="AJ204" s="45"/>
      <c r="AK204" s="45"/>
      <c r="AL204" s="45"/>
      <c r="AM204" s="45"/>
      <c r="AN204" s="45"/>
      <c r="AO204" s="90"/>
      <c r="AP204" s="52"/>
      <c r="AQ204" s="52"/>
      <c r="AR204" s="52"/>
      <c r="AS204" s="52"/>
    </row>
    <row r="205" spans="1:45" x14ac:dyDescent="0.2">
      <c r="A205" s="29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5"/>
      <c r="AI205" s="45"/>
      <c r="AJ205" s="45"/>
      <c r="AK205" s="45"/>
      <c r="AL205" s="45"/>
      <c r="AM205" s="45"/>
      <c r="AN205" s="45"/>
      <c r="AO205" s="90"/>
      <c r="AP205" s="52"/>
      <c r="AQ205" s="52"/>
      <c r="AR205" s="52"/>
      <c r="AS205" s="52"/>
    </row>
    <row r="206" spans="1:45" x14ac:dyDescent="0.2">
      <c r="A206" s="29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5"/>
      <c r="AI206" s="45"/>
      <c r="AJ206" s="45"/>
      <c r="AK206" s="45"/>
      <c r="AL206" s="45"/>
      <c r="AM206" s="45"/>
      <c r="AN206" s="45"/>
      <c r="AO206" s="90"/>
      <c r="AP206" s="52"/>
      <c r="AQ206" s="52"/>
      <c r="AR206" s="52"/>
      <c r="AS206" s="52"/>
    </row>
    <row r="207" spans="1:45" x14ac:dyDescent="0.2">
      <c r="A207" s="29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5"/>
      <c r="AI207" s="45"/>
      <c r="AJ207" s="45"/>
      <c r="AK207" s="45"/>
      <c r="AL207" s="45"/>
      <c r="AM207" s="45"/>
      <c r="AN207" s="45"/>
      <c r="AO207" s="90"/>
      <c r="AP207" s="52"/>
      <c r="AQ207" s="52"/>
      <c r="AR207" s="52"/>
      <c r="AS207" s="52"/>
    </row>
    <row r="208" spans="1:45" x14ac:dyDescent="0.2">
      <c r="A208" s="29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5"/>
      <c r="AM208" s="45"/>
      <c r="AN208" s="45"/>
      <c r="AO208" s="90"/>
      <c r="AP208" s="52"/>
      <c r="AQ208" s="52"/>
      <c r="AR208" s="52"/>
      <c r="AS208" s="52"/>
    </row>
    <row r="209" spans="1:45" x14ac:dyDescent="0.2">
      <c r="A209" s="29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  <c r="AJ209" s="45"/>
      <c r="AK209" s="45"/>
      <c r="AL209" s="45"/>
      <c r="AM209" s="45"/>
      <c r="AN209" s="45"/>
      <c r="AO209" s="90"/>
      <c r="AP209" s="52"/>
      <c r="AQ209" s="52"/>
      <c r="AR209" s="52"/>
      <c r="AS209" s="52"/>
    </row>
    <row r="210" spans="1:45" x14ac:dyDescent="0.2">
      <c r="A210" s="29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5"/>
      <c r="AH210" s="45"/>
      <c r="AI210" s="45"/>
      <c r="AJ210" s="45"/>
      <c r="AK210" s="45"/>
      <c r="AL210" s="45"/>
      <c r="AM210" s="45"/>
      <c r="AN210" s="45"/>
      <c r="AO210" s="90"/>
      <c r="AP210" s="52"/>
      <c r="AQ210" s="52"/>
      <c r="AR210" s="52"/>
      <c r="AS210" s="52"/>
    </row>
    <row r="211" spans="1:45" x14ac:dyDescent="0.2">
      <c r="A211" s="29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5"/>
      <c r="AH211" s="45"/>
      <c r="AI211" s="45"/>
      <c r="AJ211" s="45"/>
      <c r="AK211" s="45"/>
      <c r="AL211" s="45"/>
      <c r="AM211" s="45"/>
      <c r="AN211" s="45"/>
      <c r="AO211" s="90"/>
      <c r="AP211" s="52"/>
      <c r="AQ211" s="52"/>
      <c r="AR211" s="52"/>
      <c r="AS211" s="52"/>
    </row>
    <row r="212" spans="1:45" x14ac:dyDescent="0.2">
      <c r="A212" s="29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5"/>
      <c r="AH212" s="45"/>
      <c r="AI212" s="45"/>
      <c r="AJ212" s="45"/>
      <c r="AK212" s="45"/>
      <c r="AL212" s="45"/>
      <c r="AM212" s="45"/>
      <c r="AN212" s="45"/>
      <c r="AO212" s="90"/>
      <c r="AP212" s="52"/>
      <c r="AQ212" s="52"/>
      <c r="AR212" s="52"/>
      <c r="AS212" s="52"/>
    </row>
    <row r="213" spans="1:45" x14ac:dyDescent="0.2">
      <c r="A213" s="29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5"/>
      <c r="AH213" s="45"/>
      <c r="AI213" s="45"/>
      <c r="AJ213" s="45"/>
      <c r="AK213" s="45"/>
      <c r="AL213" s="45"/>
      <c r="AM213" s="45"/>
      <c r="AN213" s="45"/>
      <c r="AO213" s="90"/>
      <c r="AP213" s="52"/>
      <c r="AQ213" s="52"/>
      <c r="AR213" s="52"/>
      <c r="AS213" s="52"/>
    </row>
    <row r="214" spans="1:45" x14ac:dyDescent="0.2">
      <c r="A214" s="29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5"/>
      <c r="AH214" s="45"/>
      <c r="AI214" s="45"/>
      <c r="AJ214" s="45"/>
      <c r="AK214" s="45"/>
      <c r="AL214" s="45"/>
      <c r="AM214" s="45"/>
      <c r="AN214" s="45"/>
      <c r="AO214" s="90"/>
      <c r="AP214" s="52"/>
      <c r="AQ214" s="52"/>
      <c r="AR214" s="52"/>
      <c r="AS214" s="52"/>
    </row>
    <row r="215" spans="1:45" x14ac:dyDescent="0.2">
      <c r="A215" s="29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  <c r="AJ215" s="45"/>
      <c r="AK215" s="45"/>
      <c r="AL215" s="45"/>
      <c r="AM215" s="45"/>
      <c r="AN215" s="45"/>
      <c r="AO215" s="90"/>
      <c r="AP215" s="52"/>
      <c r="AQ215" s="52"/>
      <c r="AR215" s="52"/>
      <c r="AS215" s="52"/>
    </row>
    <row r="216" spans="1:45" x14ac:dyDescent="0.2">
      <c r="A216" s="29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5"/>
      <c r="AN216" s="45"/>
      <c r="AO216" s="90"/>
      <c r="AP216" s="52"/>
      <c r="AQ216" s="52"/>
      <c r="AR216" s="52"/>
      <c r="AS216" s="52"/>
    </row>
    <row r="217" spans="1:45" x14ac:dyDescent="0.2">
      <c r="A217" s="29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  <c r="AJ217" s="45"/>
      <c r="AK217" s="45"/>
      <c r="AL217" s="45"/>
      <c r="AM217" s="45"/>
      <c r="AN217" s="45"/>
      <c r="AO217" s="90"/>
      <c r="AP217" s="52"/>
      <c r="AQ217" s="52"/>
      <c r="AR217" s="52"/>
      <c r="AS217" s="52"/>
    </row>
    <row r="218" spans="1:45" x14ac:dyDescent="0.2">
      <c r="A218" s="29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5"/>
      <c r="AN218" s="45"/>
      <c r="AO218" s="90"/>
      <c r="AP218" s="52"/>
      <c r="AQ218" s="52"/>
      <c r="AR218" s="52"/>
      <c r="AS218" s="52"/>
    </row>
    <row r="219" spans="1:45" x14ac:dyDescent="0.2">
      <c r="A219" s="29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  <c r="AJ219" s="45"/>
      <c r="AK219" s="45"/>
      <c r="AL219" s="45"/>
      <c r="AM219" s="45"/>
      <c r="AN219" s="45"/>
      <c r="AO219" s="90"/>
      <c r="AP219" s="52"/>
      <c r="AQ219" s="52"/>
      <c r="AR219" s="52"/>
      <c r="AS219" s="52"/>
    </row>
    <row r="220" spans="1:45" x14ac:dyDescent="0.2">
      <c r="A220" s="29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5"/>
      <c r="AN220" s="45"/>
      <c r="AO220" s="90"/>
      <c r="AP220" s="52"/>
      <c r="AQ220" s="52"/>
      <c r="AR220" s="52"/>
      <c r="AS220" s="52"/>
    </row>
    <row r="221" spans="1:45" x14ac:dyDescent="0.2">
      <c r="A221" s="29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  <c r="AJ221" s="45"/>
      <c r="AK221" s="45"/>
      <c r="AL221" s="45"/>
      <c r="AM221" s="45"/>
      <c r="AN221" s="45"/>
      <c r="AO221" s="90"/>
      <c r="AP221" s="52"/>
      <c r="AQ221" s="52"/>
      <c r="AR221" s="52"/>
      <c r="AS221" s="52"/>
    </row>
    <row r="222" spans="1:45" x14ac:dyDescent="0.2">
      <c r="A222" s="29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90"/>
      <c r="AP222" s="52"/>
      <c r="AQ222" s="52"/>
      <c r="AR222" s="52"/>
      <c r="AS222" s="52"/>
    </row>
    <row r="223" spans="1:45" x14ac:dyDescent="0.2">
      <c r="A223" s="29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  <c r="AJ223" s="45"/>
      <c r="AK223" s="45"/>
      <c r="AL223" s="45"/>
      <c r="AM223" s="45"/>
      <c r="AN223" s="45"/>
      <c r="AO223" s="90"/>
      <c r="AP223" s="52"/>
      <c r="AQ223" s="52"/>
      <c r="AR223" s="52"/>
      <c r="AS223" s="52"/>
    </row>
    <row r="224" spans="1:45" x14ac:dyDescent="0.2">
      <c r="A224" s="29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5"/>
      <c r="AN224" s="45"/>
      <c r="AO224" s="90"/>
      <c r="AP224" s="52"/>
      <c r="AQ224" s="52"/>
      <c r="AR224" s="52"/>
      <c r="AS224" s="52"/>
    </row>
    <row r="225" spans="1:45" x14ac:dyDescent="0.2">
      <c r="A225" s="29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  <c r="AJ225" s="45"/>
      <c r="AK225" s="45"/>
      <c r="AL225" s="45"/>
      <c r="AM225" s="45"/>
      <c r="AN225" s="45"/>
      <c r="AO225" s="90"/>
      <c r="AP225" s="52"/>
      <c r="AQ225" s="52"/>
      <c r="AR225" s="52"/>
      <c r="AS225" s="52"/>
    </row>
    <row r="226" spans="1:45" x14ac:dyDescent="0.2">
      <c r="A226" s="29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/>
      <c r="AM226" s="45"/>
      <c r="AN226" s="45"/>
      <c r="AO226" s="90"/>
      <c r="AP226" s="52"/>
      <c r="AQ226" s="52"/>
      <c r="AR226" s="52"/>
      <c r="AS226" s="52"/>
    </row>
    <row r="227" spans="1:45" x14ac:dyDescent="0.2">
      <c r="A227" s="29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  <c r="AJ227" s="45"/>
      <c r="AK227" s="45"/>
      <c r="AL227" s="45"/>
      <c r="AM227" s="45"/>
      <c r="AN227" s="45"/>
      <c r="AO227" s="90"/>
      <c r="AP227" s="52"/>
      <c r="AQ227" s="52"/>
      <c r="AR227" s="52"/>
      <c r="AS227" s="52"/>
    </row>
    <row r="228" spans="1:45" x14ac:dyDescent="0.2">
      <c r="A228" s="29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/>
      <c r="AM228" s="45"/>
      <c r="AN228" s="45"/>
      <c r="AO228" s="90"/>
      <c r="AP228" s="52"/>
      <c r="AQ228" s="52"/>
      <c r="AR228" s="52"/>
      <c r="AS228" s="52"/>
    </row>
    <row r="229" spans="1:45" x14ac:dyDescent="0.2">
      <c r="A229" s="29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  <c r="AJ229" s="45"/>
      <c r="AK229" s="45"/>
      <c r="AL229" s="45"/>
      <c r="AM229" s="45"/>
      <c r="AN229" s="45"/>
      <c r="AO229" s="90"/>
      <c r="AP229" s="52"/>
      <c r="AQ229" s="52"/>
      <c r="AR229" s="52"/>
      <c r="AS229" s="52"/>
    </row>
    <row r="230" spans="1:45" x14ac:dyDescent="0.2">
      <c r="A230" s="29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/>
      <c r="AM230" s="45"/>
      <c r="AN230" s="45"/>
      <c r="AO230" s="90"/>
      <c r="AP230" s="52"/>
      <c r="AQ230" s="52"/>
      <c r="AR230" s="52"/>
      <c r="AS230" s="52"/>
    </row>
    <row r="231" spans="1:45" x14ac:dyDescent="0.2">
      <c r="A231" s="29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  <c r="AJ231" s="45"/>
      <c r="AK231" s="45"/>
      <c r="AL231" s="45"/>
      <c r="AM231" s="45"/>
      <c r="AN231" s="45"/>
      <c r="AO231" s="90"/>
      <c r="AP231" s="52"/>
      <c r="AQ231" s="52"/>
      <c r="AR231" s="52"/>
      <c r="AS231" s="52"/>
    </row>
    <row r="232" spans="1:45" x14ac:dyDescent="0.2">
      <c r="A232" s="29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/>
      <c r="AM232" s="45"/>
      <c r="AN232" s="45"/>
      <c r="AO232" s="90"/>
      <c r="AP232" s="52"/>
      <c r="AQ232" s="52"/>
      <c r="AR232" s="52"/>
      <c r="AS232" s="52"/>
    </row>
    <row r="233" spans="1:45" x14ac:dyDescent="0.2">
      <c r="A233" s="29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  <c r="AJ233" s="45"/>
      <c r="AK233" s="45"/>
      <c r="AL233" s="45"/>
      <c r="AM233" s="45"/>
      <c r="AN233" s="45"/>
      <c r="AO233" s="90"/>
      <c r="AP233" s="52"/>
      <c r="AQ233" s="52"/>
      <c r="AR233" s="52"/>
      <c r="AS233" s="52"/>
    </row>
    <row r="234" spans="1:45" x14ac:dyDescent="0.2">
      <c r="A234" s="29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5"/>
      <c r="AM234" s="45"/>
      <c r="AN234" s="45"/>
      <c r="AO234" s="90"/>
      <c r="AP234" s="52"/>
      <c r="AQ234" s="52"/>
      <c r="AR234" s="52"/>
      <c r="AS234" s="52"/>
    </row>
    <row r="235" spans="1:45" x14ac:dyDescent="0.2">
      <c r="A235" s="29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  <c r="AJ235" s="45"/>
      <c r="AK235" s="45"/>
      <c r="AL235" s="45"/>
      <c r="AM235" s="45"/>
      <c r="AN235" s="45"/>
      <c r="AO235" s="90"/>
      <c r="AP235" s="52"/>
      <c r="AQ235" s="52"/>
      <c r="AR235" s="52"/>
      <c r="AS235" s="52"/>
    </row>
    <row r="236" spans="1:45" x14ac:dyDescent="0.2">
      <c r="A236" s="29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45"/>
      <c r="AJ236" s="45"/>
      <c r="AK236" s="45"/>
      <c r="AL236" s="45"/>
      <c r="AM236" s="45"/>
      <c r="AN236" s="45"/>
      <c r="AO236" s="90"/>
      <c r="AP236" s="52"/>
      <c r="AQ236" s="52"/>
      <c r="AR236" s="52"/>
      <c r="AS236" s="52"/>
    </row>
    <row r="237" spans="1:45" x14ac:dyDescent="0.2">
      <c r="A237" s="29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45"/>
      <c r="AJ237" s="45"/>
      <c r="AK237" s="45"/>
      <c r="AL237" s="45"/>
      <c r="AM237" s="45"/>
      <c r="AN237" s="45"/>
      <c r="AO237" s="90"/>
      <c r="AP237" s="52"/>
      <c r="AQ237" s="52"/>
      <c r="AR237" s="52"/>
      <c r="AS237" s="52"/>
    </row>
    <row r="238" spans="1:45" x14ac:dyDescent="0.2">
      <c r="A238" s="29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45"/>
      <c r="AJ238" s="45"/>
      <c r="AK238" s="45"/>
      <c r="AL238" s="45"/>
      <c r="AM238" s="45"/>
      <c r="AN238" s="45"/>
      <c r="AO238" s="90"/>
      <c r="AP238" s="52"/>
      <c r="AQ238" s="52"/>
      <c r="AR238" s="52"/>
      <c r="AS238" s="52"/>
    </row>
    <row r="239" spans="1:45" x14ac:dyDescent="0.2">
      <c r="A239" s="29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5"/>
      <c r="AM239" s="45"/>
      <c r="AN239" s="45"/>
      <c r="AO239" s="90"/>
      <c r="AP239" s="52"/>
      <c r="AQ239" s="52"/>
      <c r="AR239" s="52"/>
      <c r="AS239" s="52"/>
    </row>
    <row r="240" spans="1:45" x14ac:dyDescent="0.2">
      <c r="A240" s="29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  <c r="AG240" s="45"/>
      <c r="AH240" s="45"/>
      <c r="AI240" s="45"/>
      <c r="AJ240" s="45"/>
      <c r="AK240" s="45"/>
      <c r="AL240" s="45"/>
      <c r="AM240" s="45"/>
      <c r="AN240" s="45"/>
      <c r="AO240" s="90"/>
      <c r="AP240" s="52"/>
      <c r="AQ240" s="52"/>
      <c r="AR240" s="52"/>
      <c r="AS240" s="52"/>
    </row>
    <row r="241" spans="1:45" x14ac:dyDescent="0.2">
      <c r="A241" s="29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45"/>
      <c r="AH241" s="45"/>
      <c r="AI241" s="45"/>
      <c r="AJ241" s="45"/>
      <c r="AK241" s="45"/>
      <c r="AL241" s="45"/>
      <c r="AM241" s="45"/>
      <c r="AN241" s="45"/>
      <c r="AO241" s="90"/>
      <c r="AP241" s="52"/>
      <c r="AQ241" s="52"/>
      <c r="AR241" s="52"/>
      <c r="AS241" s="52"/>
    </row>
    <row r="242" spans="1:45" x14ac:dyDescent="0.2">
      <c r="A242" s="29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45"/>
      <c r="AH242" s="45"/>
      <c r="AI242" s="45"/>
      <c r="AJ242" s="45"/>
      <c r="AK242" s="45"/>
      <c r="AL242" s="45"/>
      <c r="AM242" s="45"/>
      <c r="AN242" s="45"/>
      <c r="AO242" s="90"/>
      <c r="AP242" s="52"/>
      <c r="AQ242" s="52"/>
      <c r="AR242" s="52"/>
      <c r="AS242" s="52"/>
    </row>
    <row r="243" spans="1:45" x14ac:dyDescent="0.2">
      <c r="A243" s="29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45"/>
      <c r="AH243" s="45"/>
      <c r="AI243" s="45"/>
      <c r="AJ243" s="45"/>
      <c r="AK243" s="45"/>
      <c r="AL243" s="45"/>
      <c r="AM243" s="45"/>
      <c r="AN243" s="45"/>
      <c r="AO243" s="90"/>
      <c r="AP243" s="52"/>
      <c r="AQ243" s="52"/>
      <c r="AR243" s="52"/>
      <c r="AS243" s="52"/>
    </row>
    <row r="244" spans="1:45" x14ac:dyDescent="0.2">
      <c r="A244" s="29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45"/>
      <c r="AH244" s="45"/>
      <c r="AI244" s="45"/>
      <c r="AJ244" s="45"/>
      <c r="AK244" s="45"/>
      <c r="AL244" s="45"/>
      <c r="AM244" s="45"/>
      <c r="AN244" s="45"/>
      <c r="AO244" s="90"/>
      <c r="AP244" s="52"/>
      <c r="AQ244" s="52"/>
      <c r="AR244" s="52"/>
      <c r="AS244" s="52"/>
    </row>
    <row r="245" spans="1:45" x14ac:dyDescent="0.2">
      <c r="A245" s="29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45"/>
      <c r="AH245" s="45"/>
      <c r="AI245" s="45"/>
      <c r="AJ245" s="45"/>
      <c r="AK245" s="45"/>
      <c r="AL245" s="45"/>
      <c r="AM245" s="45"/>
      <c r="AN245" s="45"/>
      <c r="AO245" s="90"/>
      <c r="AP245" s="52"/>
      <c r="AQ245" s="52"/>
      <c r="AR245" s="52"/>
      <c r="AS245" s="52"/>
    </row>
    <row r="246" spans="1:45" x14ac:dyDescent="0.2">
      <c r="A246" s="29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45"/>
      <c r="AH246" s="45"/>
      <c r="AI246" s="45"/>
      <c r="AJ246" s="45"/>
      <c r="AK246" s="45"/>
      <c r="AL246" s="45"/>
      <c r="AM246" s="45"/>
      <c r="AN246" s="45"/>
      <c r="AO246" s="90"/>
      <c r="AP246" s="52"/>
      <c r="AQ246" s="52"/>
      <c r="AR246" s="52"/>
      <c r="AS246" s="52"/>
    </row>
    <row r="247" spans="1:45" x14ac:dyDescent="0.2">
      <c r="A247" s="29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45"/>
      <c r="AH247" s="45"/>
      <c r="AI247" s="45"/>
      <c r="AJ247" s="45"/>
      <c r="AK247" s="45"/>
      <c r="AL247" s="45"/>
      <c r="AM247" s="45"/>
      <c r="AN247" s="45"/>
      <c r="AO247" s="90"/>
      <c r="AP247" s="52"/>
      <c r="AQ247" s="52"/>
      <c r="AR247" s="52"/>
      <c r="AS247" s="52"/>
    </row>
    <row r="248" spans="1:45" x14ac:dyDescent="0.2">
      <c r="A248" s="29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45"/>
      <c r="AH248" s="45"/>
      <c r="AI248" s="45"/>
      <c r="AJ248" s="45"/>
      <c r="AK248" s="45"/>
      <c r="AL248" s="45"/>
      <c r="AM248" s="45"/>
      <c r="AN248" s="45"/>
      <c r="AO248" s="90"/>
      <c r="AP248" s="52"/>
      <c r="AQ248" s="52"/>
      <c r="AR248" s="52"/>
      <c r="AS248" s="52"/>
    </row>
    <row r="249" spans="1:45" x14ac:dyDescent="0.2">
      <c r="A249" s="29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45"/>
      <c r="AH249" s="45"/>
      <c r="AI249" s="45"/>
      <c r="AJ249" s="45"/>
      <c r="AK249" s="45"/>
      <c r="AL249" s="45"/>
      <c r="AM249" s="45"/>
      <c r="AN249" s="45"/>
      <c r="AO249" s="90"/>
      <c r="AP249" s="52"/>
      <c r="AQ249" s="52"/>
      <c r="AR249" s="52"/>
      <c r="AS249" s="52"/>
    </row>
    <row r="250" spans="1:45" x14ac:dyDescent="0.2">
      <c r="A250" s="29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45"/>
      <c r="AH250" s="45"/>
      <c r="AI250" s="45"/>
      <c r="AJ250" s="45"/>
      <c r="AK250" s="45"/>
      <c r="AL250" s="45"/>
      <c r="AM250" s="45"/>
      <c r="AN250" s="45"/>
      <c r="AO250" s="90"/>
      <c r="AP250" s="52"/>
      <c r="AQ250" s="52"/>
      <c r="AR250" s="52"/>
      <c r="AS250" s="52"/>
    </row>
    <row r="251" spans="1:45" x14ac:dyDescent="0.2">
      <c r="A251" s="29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  <c r="AG251" s="45"/>
      <c r="AH251" s="45"/>
      <c r="AI251" s="45"/>
      <c r="AJ251" s="45"/>
      <c r="AK251" s="45"/>
      <c r="AL251" s="45"/>
      <c r="AM251" s="45"/>
      <c r="AN251" s="45"/>
      <c r="AO251" s="90"/>
      <c r="AP251" s="52"/>
      <c r="AQ251" s="52"/>
      <c r="AR251" s="52"/>
      <c r="AS251" s="52"/>
    </row>
    <row r="252" spans="1:45" x14ac:dyDescent="0.2">
      <c r="A252" s="29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  <c r="AG252" s="45"/>
      <c r="AH252" s="45"/>
      <c r="AI252" s="45"/>
      <c r="AJ252" s="45"/>
      <c r="AK252" s="45"/>
      <c r="AL252" s="45"/>
      <c r="AM252" s="45"/>
      <c r="AN252" s="45"/>
      <c r="AO252" s="90"/>
      <c r="AP252" s="52"/>
      <c r="AQ252" s="52"/>
      <c r="AR252" s="52"/>
      <c r="AS252" s="52"/>
    </row>
    <row r="253" spans="1:45" x14ac:dyDescent="0.2">
      <c r="A253" s="29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  <c r="AG253" s="45"/>
      <c r="AH253" s="45"/>
      <c r="AI253" s="45"/>
      <c r="AJ253" s="45"/>
      <c r="AK253" s="45"/>
      <c r="AL253" s="45"/>
      <c r="AM253" s="45"/>
      <c r="AN253" s="45"/>
      <c r="AO253" s="90"/>
      <c r="AP253" s="52"/>
      <c r="AQ253" s="52"/>
      <c r="AR253" s="52"/>
      <c r="AS253" s="52"/>
    </row>
    <row r="254" spans="1:45" x14ac:dyDescent="0.2">
      <c r="A254" s="29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  <c r="AG254" s="45"/>
      <c r="AH254" s="45"/>
      <c r="AI254" s="45"/>
      <c r="AJ254" s="45"/>
      <c r="AK254" s="45"/>
      <c r="AL254" s="45"/>
      <c r="AM254" s="45"/>
      <c r="AN254" s="45"/>
      <c r="AO254" s="90"/>
      <c r="AP254" s="52"/>
      <c r="AQ254" s="52"/>
      <c r="AR254" s="52"/>
      <c r="AS254" s="52"/>
    </row>
    <row r="255" spans="1:45" x14ac:dyDescent="0.2">
      <c r="A255" s="29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  <c r="AG255" s="45"/>
      <c r="AH255" s="45"/>
      <c r="AI255" s="45"/>
      <c r="AJ255" s="45"/>
      <c r="AK255" s="45"/>
      <c r="AL255" s="45"/>
      <c r="AM255" s="45"/>
      <c r="AN255" s="45"/>
      <c r="AO255" s="90"/>
      <c r="AP255" s="96"/>
      <c r="AQ255" s="52"/>
      <c r="AR255" s="52"/>
      <c r="AS255" s="52"/>
    </row>
    <row r="256" spans="1:45" x14ac:dyDescent="0.2">
      <c r="A256" s="29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  <c r="AG256" s="45"/>
      <c r="AH256" s="45"/>
      <c r="AI256" s="45"/>
      <c r="AJ256" s="45"/>
      <c r="AK256" s="45"/>
      <c r="AL256" s="45"/>
      <c r="AM256" s="45"/>
      <c r="AN256" s="45"/>
      <c r="AO256" s="90"/>
      <c r="AP256" s="46"/>
      <c r="AQ256" s="52"/>
      <c r="AR256" s="52"/>
      <c r="AS256" s="52"/>
    </row>
    <row r="257" spans="1:45" x14ac:dyDescent="0.2">
      <c r="A257" s="29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  <c r="AG257" s="45"/>
      <c r="AH257" s="45"/>
      <c r="AI257" s="45"/>
      <c r="AJ257" s="45"/>
      <c r="AK257" s="45"/>
      <c r="AL257" s="45"/>
      <c r="AM257" s="45"/>
      <c r="AN257" s="45"/>
      <c r="AO257" s="90"/>
      <c r="AP257" s="46"/>
      <c r="AQ257" s="52"/>
      <c r="AR257" s="52"/>
      <c r="AS257" s="52"/>
    </row>
    <row r="258" spans="1:45" x14ac:dyDescent="0.2">
      <c r="A258" s="29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  <c r="AG258" s="45"/>
      <c r="AH258" s="45"/>
      <c r="AI258" s="45"/>
      <c r="AJ258" s="45"/>
      <c r="AK258" s="45"/>
      <c r="AL258" s="45"/>
      <c r="AM258" s="45"/>
      <c r="AN258" s="45"/>
      <c r="AO258" s="90"/>
      <c r="AP258" s="46"/>
      <c r="AQ258" s="52"/>
      <c r="AR258" s="52"/>
      <c r="AS258" s="52"/>
    </row>
    <row r="259" spans="1:45" x14ac:dyDescent="0.2">
      <c r="A259" s="29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  <c r="AG259" s="45"/>
      <c r="AH259" s="45"/>
      <c r="AI259" s="45"/>
      <c r="AJ259" s="45"/>
      <c r="AK259" s="45"/>
      <c r="AL259" s="45"/>
      <c r="AM259" s="45"/>
      <c r="AN259" s="45"/>
      <c r="AO259" s="90"/>
      <c r="AP259" s="46"/>
      <c r="AQ259" s="52"/>
      <c r="AR259" s="52"/>
      <c r="AS259" s="52"/>
    </row>
    <row r="260" spans="1:45" x14ac:dyDescent="0.2">
      <c r="A260" s="29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  <c r="AG260" s="45"/>
      <c r="AH260" s="45"/>
      <c r="AI260" s="45"/>
      <c r="AJ260" s="45"/>
      <c r="AK260" s="45"/>
      <c r="AL260" s="45"/>
      <c r="AM260" s="45"/>
      <c r="AN260" s="45"/>
      <c r="AO260" s="90"/>
      <c r="AP260" s="46"/>
      <c r="AQ260" s="52"/>
      <c r="AR260" s="52"/>
      <c r="AS260" s="52"/>
    </row>
    <row r="261" spans="1:45" x14ac:dyDescent="0.2">
      <c r="A261" s="29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  <c r="AG261" s="45"/>
      <c r="AH261" s="45"/>
      <c r="AI261" s="45"/>
      <c r="AJ261" s="45"/>
      <c r="AK261" s="45"/>
      <c r="AL261" s="45"/>
      <c r="AM261" s="45"/>
      <c r="AN261" s="45"/>
      <c r="AO261" s="90"/>
      <c r="AP261" s="46"/>
      <c r="AQ261" s="52"/>
      <c r="AR261" s="52"/>
      <c r="AS261" s="52"/>
    </row>
    <row r="262" spans="1:45" x14ac:dyDescent="0.2">
      <c r="A262" s="29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  <c r="AG262" s="45"/>
      <c r="AH262" s="45"/>
      <c r="AI262" s="45"/>
      <c r="AJ262" s="45"/>
      <c r="AK262" s="45"/>
      <c r="AL262" s="45"/>
      <c r="AM262" s="45"/>
      <c r="AN262" s="45"/>
      <c r="AO262" s="90"/>
      <c r="AP262" s="46"/>
      <c r="AQ262" s="52"/>
      <c r="AR262" s="52"/>
      <c r="AS262" s="52"/>
    </row>
    <row r="263" spans="1:45" x14ac:dyDescent="0.2">
      <c r="A263" s="29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  <c r="AG263" s="45"/>
      <c r="AH263" s="45"/>
      <c r="AI263" s="45"/>
      <c r="AJ263" s="45"/>
      <c r="AK263" s="45"/>
      <c r="AL263" s="45"/>
      <c r="AM263" s="45"/>
      <c r="AN263" s="45"/>
      <c r="AO263" s="90"/>
      <c r="AP263" s="46"/>
      <c r="AQ263" s="52"/>
      <c r="AR263" s="52"/>
      <c r="AS263" s="52"/>
    </row>
    <row r="264" spans="1:45" x14ac:dyDescent="0.2">
      <c r="A264" s="29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5"/>
      <c r="AN264" s="45"/>
      <c r="AO264" s="90"/>
      <c r="AP264" s="46"/>
      <c r="AQ264" s="52"/>
      <c r="AR264" s="52"/>
      <c r="AS264" s="52"/>
    </row>
    <row r="265" spans="1:45" x14ac:dyDescent="0.2">
      <c r="A265" s="29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5"/>
      <c r="AM265" s="45"/>
      <c r="AN265" s="45"/>
      <c r="AO265" s="90"/>
      <c r="AP265" s="46"/>
      <c r="AQ265" s="52"/>
      <c r="AR265" s="52"/>
      <c r="AS265" s="52"/>
    </row>
    <row r="266" spans="1:45" x14ac:dyDescent="0.2">
      <c r="A266" s="29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  <c r="AG266" s="45"/>
      <c r="AH266" s="45"/>
      <c r="AI266" s="45"/>
      <c r="AJ266" s="45"/>
      <c r="AK266" s="45"/>
      <c r="AL266" s="45"/>
      <c r="AM266" s="45"/>
      <c r="AN266" s="45"/>
      <c r="AO266" s="90"/>
      <c r="AP266" s="46"/>
      <c r="AQ266" s="52"/>
      <c r="AR266" s="52"/>
      <c r="AS266" s="52"/>
    </row>
    <row r="267" spans="1:45" x14ac:dyDescent="0.2">
      <c r="A267" s="29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90"/>
      <c r="AP267" s="46"/>
      <c r="AQ267" s="52"/>
      <c r="AR267" s="52"/>
      <c r="AS267" s="52"/>
    </row>
    <row r="268" spans="1:45" x14ac:dyDescent="0.2">
      <c r="A268" s="29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  <c r="AG268" s="45"/>
      <c r="AH268" s="45"/>
      <c r="AI268" s="45"/>
      <c r="AJ268" s="45"/>
      <c r="AK268" s="45"/>
      <c r="AL268" s="45"/>
      <c r="AM268" s="45"/>
      <c r="AN268" s="45"/>
      <c r="AO268" s="90"/>
      <c r="AP268" s="46"/>
      <c r="AQ268" s="52"/>
      <c r="AR268" s="52"/>
      <c r="AS268" s="52"/>
    </row>
    <row r="269" spans="1:45" x14ac:dyDescent="0.2">
      <c r="A269" s="29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  <c r="AG269" s="45"/>
      <c r="AH269" s="45"/>
      <c r="AI269" s="45"/>
      <c r="AJ269" s="45"/>
      <c r="AK269" s="45"/>
      <c r="AL269" s="45"/>
      <c r="AM269" s="45"/>
      <c r="AN269" s="45"/>
      <c r="AO269" s="90"/>
      <c r="AP269" s="46"/>
      <c r="AQ269" s="52"/>
      <c r="AR269" s="52"/>
      <c r="AS269" s="52"/>
    </row>
    <row r="270" spans="1:45" x14ac:dyDescent="0.2">
      <c r="A270" s="29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90"/>
      <c r="AP270" s="46"/>
      <c r="AQ270" s="52"/>
      <c r="AR270" s="52"/>
      <c r="AS270" s="52"/>
    </row>
    <row r="271" spans="1:45" x14ac:dyDescent="0.2">
      <c r="A271" s="29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  <c r="AG271" s="45"/>
      <c r="AH271" s="45"/>
      <c r="AI271" s="45"/>
      <c r="AJ271" s="45"/>
      <c r="AK271" s="45"/>
      <c r="AL271" s="45"/>
      <c r="AM271" s="45"/>
      <c r="AN271" s="45"/>
      <c r="AO271" s="90"/>
      <c r="AP271" s="46"/>
      <c r="AQ271" s="52"/>
      <c r="AR271" s="52"/>
      <c r="AS271" s="52"/>
    </row>
    <row r="272" spans="1:45" x14ac:dyDescent="0.2">
      <c r="A272" s="29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90"/>
      <c r="AP272" s="46"/>
      <c r="AQ272" s="52"/>
      <c r="AR272" s="52"/>
      <c r="AS272" s="52"/>
    </row>
    <row r="273" spans="1:45" x14ac:dyDescent="0.2">
      <c r="A273" s="29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  <c r="AG273" s="45"/>
      <c r="AH273" s="45"/>
      <c r="AI273" s="45"/>
      <c r="AJ273" s="45"/>
      <c r="AK273" s="45"/>
      <c r="AL273" s="45"/>
      <c r="AM273" s="45"/>
      <c r="AN273" s="45"/>
      <c r="AO273" s="90"/>
      <c r="AP273" s="46"/>
      <c r="AQ273" s="52"/>
      <c r="AR273" s="52"/>
      <c r="AS273" s="52"/>
    </row>
    <row r="274" spans="1:45" x14ac:dyDescent="0.2">
      <c r="A274" s="29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  <c r="AG274" s="45"/>
      <c r="AH274" s="45"/>
      <c r="AI274" s="45"/>
      <c r="AJ274" s="45"/>
      <c r="AK274" s="45"/>
      <c r="AL274" s="45"/>
      <c r="AM274" s="45"/>
      <c r="AN274" s="45"/>
      <c r="AO274" s="90"/>
      <c r="AP274" s="46"/>
      <c r="AQ274" s="52"/>
      <c r="AR274" s="52"/>
      <c r="AS274" s="52"/>
    </row>
    <row r="275" spans="1:45" x14ac:dyDescent="0.2">
      <c r="A275" s="29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  <c r="AG275" s="45"/>
      <c r="AH275" s="45"/>
      <c r="AI275" s="45"/>
      <c r="AJ275" s="45"/>
      <c r="AK275" s="45"/>
      <c r="AL275" s="45"/>
      <c r="AM275" s="45"/>
      <c r="AN275" s="45"/>
      <c r="AO275" s="90"/>
      <c r="AP275" s="46"/>
      <c r="AQ275" s="52"/>
      <c r="AR275" s="52"/>
      <c r="AS275" s="52"/>
    </row>
    <row r="276" spans="1:45" x14ac:dyDescent="0.2">
      <c r="A276" s="29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  <c r="AG276" s="45"/>
      <c r="AH276" s="45"/>
      <c r="AI276" s="45"/>
      <c r="AJ276" s="45"/>
      <c r="AK276" s="45"/>
      <c r="AL276" s="45"/>
      <c r="AM276" s="45"/>
      <c r="AN276" s="45"/>
      <c r="AO276" s="90"/>
      <c r="AP276" s="46"/>
      <c r="AQ276" s="52"/>
      <c r="AR276" s="52"/>
      <c r="AS276" s="52"/>
    </row>
    <row r="277" spans="1:45" x14ac:dyDescent="0.2">
      <c r="A277" s="29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  <c r="AG277" s="45"/>
      <c r="AH277" s="45"/>
      <c r="AI277" s="45"/>
      <c r="AJ277" s="45"/>
      <c r="AK277" s="45"/>
      <c r="AL277" s="45"/>
      <c r="AM277" s="45"/>
      <c r="AN277" s="45"/>
      <c r="AO277" s="90"/>
      <c r="AP277" s="46"/>
      <c r="AQ277" s="52"/>
      <c r="AR277" s="52"/>
      <c r="AS277" s="52"/>
    </row>
    <row r="278" spans="1:45" x14ac:dyDescent="0.2">
      <c r="A278" s="29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90"/>
      <c r="AP278" s="46"/>
      <c r="AQ278" s="52"/>
      <c r="AR278" s="52"/>
      <c r="AS278" s="52"/>
    </row>
    <row r="279" spans="1:45" x14ac:dyDescent="0.2">
      <c r="A279" s="29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  <c r="AG279" s="45"/>
      <c r="AH279" s="45"/>
      <c r="AI279" s="45"/>
      <c r="AJ279" s="45"/>
      <c r="AK279" s="45"/>
      <c r="AL279" s="45"/>
      <c r="AM279" s="45"/>
      <c r="AN279" s="45"/>
      <c r="AO279" s="90"/>
      <c r="AP279" s="46"/>
      <c r="AQ279" s="52"/>
      <c r="AR279" s="52"/>
      <c r="AS279" s="52"/>
    </row>
    <row r="280" spans="1:45" x14ac:dyDescent="0.2">
      <c r="A280" s="29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  <c r="AG280" s="45"/>
      <c r="AH280" s="45"/>
      <c r="AI280" s="45"/>
      <c r="AJ280" s="45"/>
      <c r="AK280" s="45"/>
      <c r="AL280" s="45"/>
      <c r="AM280" s="45"/>
      <c r="AN280" s="45"/>
      <c r="AO280" s="90"/>
      <c r="AP280" s="46"/>
      <c r="AQ280" s="52"/>
      <c r="AR280" s="52"/>
      <c r="AS280" s="52"/>
    </row>
    <row r="281" spans="1:45" x14ac:dyDescent="0.2">
      <c r="A281" s="29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  <c r="AG281" s="45"/>
      <c r="AH281" s="45"/>
      <c r="AI281" s="45"/>
      <c r="AJ281" s="45"/>
      <c r="AK281" s="45"/>
      <c r="AL281" s="45"/>
      <c r="AM281" s="45"/>
      <c r="AN281" s="45"/>
      <c r="AO281" s="90"/>
      <c r="AP281" s="46"/>
      <c r="AQ281" s="52"/>
      <c r="AR281" s="52"/>
      <c r="AS281" s="52"/>
    </row>
    <row r="282" spans="1:45" x14ac:dyDescent="0.2">
      <c r="A282" s="29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90"/>
      <c r="AP282" s="46"/>
      <c r="AQ282" s="52"/>
      <c r="AR282" s="52"/>
      <c r="AS282" s="52"/>
    </row>
    <row r="283" spans="1:45" x14ac:dyDescent="0.2">
      <c r="A283" s="29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  <c r="AG283" s="45"/>
      <c r="AH283" s="45"/>
      <c r="AI283" s="45"/>
      <c r="AJ283" s="45"/>
      <c r="AK283" s="45"/>
      <c r="AL283" s="45"/>
      <c r="AM283" s="45"/>
      <c r="AN283" s="45"/>
      <c r="AO283" s="90"/>
      <c r="AP283" s="46"/>
      <c r="AQ283" s="52"/>
      <c r="AR283" s="52"/>
      <c r="AS283" s="52"/>
    </row>
    <row r="284" spans="1:45" x14ac:dyDescent="0.2">
      <c r="A284" s="29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  <c r="AG284" s="45"/>
      <c r="AH284" s="45"/>
      <c r="AI284" s="45"/>
      <c r="AJ284" s="45"/>
      <c r="AK284" s="45"/>
      <c r="AL284" s="45"/>
      <c r="AM284" s="45"/>
      <c r="AN284" s="45"/>
      <c r="AO284" s="90"/>
      <c r="AP284" s="46"/>
      <c r="AQ284" s="52"/>
      <c r="AR284" s="52"/>
      <c r="AS284" s="52"/>
    </row>
    <row r="285" spans="1:45" x14ac:dyDescent="0.2">
      <c r="A285" s="29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  <c r="AG285" s="45"/>
      <c r="AH285" s="45"/>
      <c r="AI285" s="45"/>
      <c r="AJ285" s="45"/>
      <c r="AK285" s="45"/>
      <c r="AL285" s="45"/>
      <c r="AM285" s="45"/>
      <c r="AN285" s="45"/>
      <c r="AO285" s="90"/>
      <c r="AP285" s="46"/>
      <c r="AQ285" s="52"/>
      <c r="AR285" s="52"/>
      <c r="AS285" s="52"/>
    </row>
    <row r="286" spans="1:45" x14ac:dyDescent="0.2">
      <c r="A286" s="29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90"/>
      <c r="AP286" s="46"/>
      <c r="AQ286" s="52"/>
      <c r="AR286" s="52"/>
      <c r="AS286" s="52"/>
    </row>
    <row r="287" spans="1:45" x14ac:dyDescent="0.2">
      <c r="A287" s="29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5"/>
      <c r="AM287" s="45"/>
      <c r="AN287" s="45"/>
      <c r="AO287" s="90"/>
      <c r="AP287" s="46"/>
      <c r="AQ287" s="52"/>
      <c r="AR287" s="52"/>
      <c r="AS287" s="52"/>
    </row>
    <row r="288" spans="1:45" x14ac:dyDescent="0.2">
      <c r="A288" s="29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  <c r="AG288" s="45"/>
      <c r="AH288" s="45"/>
      <c r="AI288" s="45"/>
      <c r="AJ288" s="45"/>
      <c r="AK288" s="45"/>
      <c r="AL288" s="45"/>
      <c r="AM288" s="45"/>
      <c r="AN288" s="45"/>
      <c r="AO288" s="90"/>
      <c r="AP288" s="46"/>
      <c r="AQ288" s="52"/>
      <c r="AR288" s="52"/>
      <c r="AS288" s="52"/>
    </row>
    <row r="289" spans="1:45" x14ac:dyDescent="0.2">
      <c r="A289" s="29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  <c r="AG289" s="45"/>
      <c r="AH289" s="45"/>
      <c r="AI289" s="45"/>
      <c r="AJ289" s="45"/>
      <c r="AK289" s="45"/>
      <c r="AL289" s="45"/>
      <c r="AM289" s="45"/>
      <c r="AN289" s="45"/>
      <c r="AO289" s="90"/>
      <c r="AP289" s="46"/>
      <c r="AQ289" s="52"/>
      <c r="AR289" s="52"/>
      <c r="AS289" s="52"/>
    </row>
    <row r="290" spans="1:45" x14ac:dyDescent="0.2">
      <c r="A290" s="29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  <c r="AG290" s="45"/>
      <c r="AH290" s="45"/>
      <c r="AI290" s="45"/>
      <c r="AJ290" s="45"/>
      <c r="AK290" s="45"/>
      <c r="AL290" s="45"/>
      <c r="AM290" s="45"/>
      <c r="AN290" s="45"/>
      <c r="AO290" s="90"/>
      <c r="AP290" s="46"/>
      <c r="AQ290" s="52"/>
      <c r="AR290" s="52"/>
      <c r="AS290" s="52"/>
    </row>
    <row r="291" spans="1:45" x14ac:dyDescent="0.2">
      <c r="A291" s="29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  <c r="AG291" s="45"/>
      <c r="AH291" s="45"/>
      <c r="AI291" s="45"/>
      <c r="AJ291" s="45"/>
      <c r="AK291" s="45"/>
      <c r="AL291" s="45"/>
      <c r="AM291" s="45"/>
      <c r="AN291" s="45"/>
      <c r="AO291" s="90"/>
      <c r="AP291" s="46"/>
      <c r="AQ291" s="52"/>
      <c r="AR291" s="52"/>
      <c r="AS291" s="52"/>
    </row>
    <row r="292" spans="1:45" x14ac:dyDescent="0.2">
      <c r="A292" s="29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5"/>
      <c r="AN292" s="45"/>
      <c r="AO292" s="90"/>
      <c r="AP292" s="46"/>
      <c r="AQ292" s="52"/>
      <c r="AR292" s="52"/>
      <c r="AS292" s="52"/>
    </row>
    <row r="293" spans="1:45" x14ac:dyDescent="0.2">
      <c r="A293" s="29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  <c r="AG293" s="45"/>
      <c r="AH293" s="45"/>
      <c r="AI293" s="45"/>
      <c r="AJ293" s="45"/>
      <c r="AK293" s="45"/>
      <c r="AL293" s="45"/>
      <c r="AM293" s="45"/>
      <c r="AN293" s="45"/>
      <c r="AO293" s="90"/>
      <c r="AP293" s="46"/>
      <c r="AQ293" s="52"/>
      <c r="AR293" s="52"/>
      <c r="AS293" s="52"/>
    </row>
    <row r="294" spans="1:45" x14ac:dyDescent="0.2">
      <c r="A294" s="29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  <c r="AG294" s="45"/>
      <c r="AH294" s="45"/>
      <c r="AI294" s="45"/>
      <c r="AJ294" s="45"/>
      <c r="AK294" s="45"/>
      <c r="AL294" s="45"/>
      <c r="AM294" s="45"/>
      <c r="AN294" s="45"/>
      <c r="AO294" s="90"/>
      <c r="AP294" s="46"/>
      <c r="AQ294" s="52"/>
      <c r="AR294" s="52"/>
      <c r="AS294" s="52"/>
    </row>
    <row r="295" spans="1:45" x14ac:dyDescent="0.2">
      <c r="A295" s="29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  <c r="AG295" s="45"/>
      <c r="AH295" s="45"/>
      <c r="AI295" s="45"/>
      <c r="AJ295" s="45"/>
      <c r="AK295" s="45"/>
      <c r="AL295" s="45"/>
      <c r="AM295" s="45"/>
      <c r="AN295" s="45"/>
      <c r="AO295" s="90"/>
      <c r="AP295" s="46"/>
      <c r="AQ295" s="52"/>
      <c r="AR295" s="52"/>
      <c r="AS295" s="52"/>
    </row>
    <row r="296" spans="1:45" x14ac:dyDescent="0.2">
      <c r="A296" s="29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  <c r="AG296" s="45"/>
      <c r="AH296" s="45"/>
      <c r="AI296" s="45"/>
      <c r="AJ296" s="45"/>
      <c r="AK296" s="45"/>
      <c r="AL296" s="45"/>
      <c r="AM296" s="45"/>
      <c r="AN296" s="45"/>
      <c r="AO296" s="90"/>
      <c r="AP296" s="46"/>
      <c r="AQ296" s="52"/>
      <c r="AR296" s="52"/>
      <c r="AS296" s="52"/>
    </row>
    <row r="297" spans="1:45" x14ac:dyDescent="0.2">
      <c r="A297" s="29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  <c r="AG297" s="45"/>
      <c r="AH297" s="45"/>
      <c r="AI297" s="45"/>
      <c r="AJ297" s="45"/>
      <c r="AK297" s="45"/>
      <c r="AL297" s="45"/>
      <c r="AM297" s="45"/>
      <c r="AN297" s="45"/>
      <c r="AO297" s="90"/>
      <c r="AP297" s="46"/>
      <c r="AQ297" s="52"/>
      <c r="AR297" s="52"/>
      <c r="AS297" s="52"/>
    </row>
    <row r="298" spans="1:45" x14ac:dyDescent="0.2">
      <c r="A298" s="29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  <c r="AG298" s="45"/>
      <c r="AH298" s="45"/>
      <c r="AI298" s="45"/>
      <c r="AJ298" s="45"/>
      <c r="AK298" s="45"/>
      <c r="AL298" s="45"/>
      <c r="AM298" s="45"/>
      <c r="AN298" s="45"/>
      <c r="AO298" s="90"/>
      <c r="AP298" s="46"/>
      <c r="AQ298" s="52"/>
      <c r="AR298" s="52"/>
      <c r="AS298" s="52"/>
    </row>
    <row r="299" spans="1:45" x14ac:dyDescent="0.2">
      <c r="A299" s="29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  <c r="AG299" s="45"/>
      <c r="AH299" s="45"/>
      <c r="AI299" s="45"/>
      <c r="AJ299" s="45"/>
      <c r="AK299" s="45"/>
      <c r="AL299" s="45"/>
      <c r="AM299" s="45"/>
      <c r="AN299" s="45"/>
      <c r="AO299" s="90"/>
      <c r="AP299" s="46"/>
      <c r="AQ299" s="52"/>
      <c r="AR299" s="52"/>
      <c r="AS299" s="52"/>
    </row>
    <row r="300" spans="1:45" x14ac:dyDescent="0.2">
      <c r="A300" s="29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  <c r="AG300" s="45"/>
      <c r="AH300" s="45"/>
      <c r="AI300" s="45"/>
      <c r="AJ300" s="45"/>
      <c r="AK300" s="45"/>
      <c r="AL300" s="45"/>
      <c r="AM300" s="45"/>
      <c r="AN300" s="45"/>
      <c r="AO300" s="90"/>
      <c r="AP300" s="46"/>
      <c r="AQ300" s="52"/>
      <c r="AR300" s="52"/>
      <c r="AS300" s="52"/>
    </row>
    <row r="301" spans="1:45" x14ac:dyDescent="0.2">
      <c r="A301" s="29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  <c r="AG301" s="45"/>
      <c r="AH301" s="45"/>
      <c r="AI301" s="45"/>
      <c r="AJ301" s="45"/>
      <c r="AK301" s="45"/>
      <c r="AL301" s="45"/>
      <c r="AM301" s="45"/>
      <c r="AN301" s="45"/>
      <c r="AO301" s="90"/>
      <c r="AP301" s="46"/>
      <c r="AQ301" s="52"/>
      <c r="AR301" s="52"/>
      <c r="AS301" s="52"/>
    </row>
    <row r="302" spans="1:45" x14ac:dyDescent="0.2">
      <c r="A302" s="29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  <c r="AG302" s="45"/>
      <c r="AH302" s="45"/>
      <c r="AI302" s="45"/>
      <c r="AJ302" s="45"/>
      <c r="AK302" s="45"/>
      <c r="AL302" s="45"/>
      <c r="AM302" s="45"/>
      <c r="AN302" s="45"/>
      <c r="AO302" s="90"/>
      <c r="AP302" s="46"/>
      <c r="AQ302" s="52"/>
      <c r="AR302" s="52"/>
      <c r="AS302" s="52"/>
    </row>
    <row r="303" spans="1:45" x14ac:dyDescent="0.2">
      <c r="A303" s="29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  <c r="AG303" s="45"/>
      <c r="AH303" s="45"/>
      <c r="AI303" s="45"/>
      <c r="AJ303" s="45"/>
      <c r="AK303" s="45"/>
      <c r="AL303" s="45"/>
      <c r="AM303" s="45"/>
      <c r="AN303" s="45"/>
      <c r="AO303" s="90"/>
      <c r="AP303" s="46"/>
      <c r="AQ303" s="52"/>
      <c r="AR303" s="52"/>
      <c r="AS303" s="52"/>
    </row>
    <row r="304" spans="1:45" x14ac:dyDescent="0.2">
      <c r="A304" s="29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  <c r="AG304" s="45"/>
      <c r="AH304" s="45"/>
      <c r="AI304" s="45"/>
      <c r="AJ304" s="45"/>
      <c r="AK304" s="45"/>
      <c r="AL304" s="45"/>
      <c r="AM304" s="45"/>
      <c r="AN304" s="45"/>
      <c r="AO304" s="90"/>
      <c r="AP304" s="46"/>
      <c r="AQ304" s="52"/>
      <c r="AR304" s="52"/>
      <c r="AS304" s="52"/>
    </row>
    <row r="305" spans="1:45" x14ac:dyDescent="0.2">
      <c r="A305" s="29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  <c r="AG305" s="45"/>
      <c r="AH305" s="45"/>
      <c r="AI305" s="45"/>
      <c r="AJ305" s="45"/>
      <c r="AK305" s="45"/>
      <c r="AL305" s="45"/>
      <c r="AM305" s="45"/>
      <c r="AN305" s="45"/>
      <c r="AO305" s="90"/>
      <c r="AP305" s="46"/>
      <c r="AQ305" s="52"/>
      <c r="AR305" s="52"/>
      <c r="AS305" s="52"/>
    </row>
    <row r="306" spans="1:45" x14ac:dyDescent="0.2">
      <c r="A306" s="29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  <c r="AG306" s="45"/>
      <c r="AH306" s="45"/>
      <c r="AI306" s="45"/>
      <c r="AJ306" s="45"/>
      <c r="AK306" s="45"/>
      <c r="AL306" s="45"/>
      <c r="AM306" s="45"/>
      <c r="AN306" s="45"/>
      <c r="AO306" s="90"/>
      <c r="AP306" s="46"/>
      <c r="AQ306" s="52"/>
      <c r="AR306" s="52"/>
      <c r="AS306" s="52"/>
    </row>
    <row r="307" spans="1:45" x14ac:dyDescent="0.2">
      <c r="A307" s="29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  <c r="AG307" s="45"/>
      <c r="AH307" s="45"/>
      <c r="AI307" s="45"/>
      <c r="AJ307" s="45"/>
      <c r="AK307" s="45"/>
      <c r="AL307" s="45"/>
      <c r="AM307" s="45"/>
      <c r="AN307" s="45"/>
      <c r="AO307" s="90"/>
      <c r="AP307" s="46"/>
      <c r="AQ307" s="52"/>
      <c r="AR307" s="52"/>
      <c r="AS307" s="52"/>
    </row>
    <row r="308" spans="1:45" x14ac:dyDescent="0.2">
      <c r="A308" s="29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  <c r="AG308" s="45"/>
      <c r="AH308" s="45"/>
      <c r="AI308" s="45"/>
      <c r="AJ308" s="45"/>
      <c r="AK308" s="45"/>
      <c r="AL308" s="45"/>
      <c r="AM308" s="45"/>
      <c r="AN308" s="45"/>
      <c r="AO308" s="90"/>
      <c r="AP308" s="46"/>
      <c r="AQ308" s="52"/>
      <c r="AR308" s="52"/>
      <c r="AS308" s="52"/>
    </row>
    <row r="309" spans="1:45" x14ac:dyDescent="0.2">
      <c r="A309" s="29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  <c r="AG309" s="45"/>
      <c r="AH309" s="45"/>
      <c r="AI309" s="45"/>
      <c r="AJ309" s="45"/>
      <c r="AK309" s="45"/>
      <c r="AL309" s="45"/>
      <c r="AM309" s="45"/>
      <c r="AN309" s="45"/>
      <c r="AO309" s="90"/>
      <c r="AP309" s="46"/>
      <c r="AQ309" s="52"/>
      <c r="AR309" s="52"/>
      <c r="AS309" s="52"/>
    </row>
    <row r="310" spans="1:45" x14ac:dyDescent="0.2">
      <c r="A310" s="29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  <c r="AG310" s="45"/>
      <c r="AH310" s="45"/>
      <c r="AI310" s="45"/>
      <c r="AJ310" s="45"/>
      <c r="AK310" s="45"/>
      <c r="AL310" s="45"/>
      <c r="AM310" s="45"/>
      <c r="AN310" s="45"/>
      <c r="AO310" s="90"/>
      <c r="AP310" s="46"/>
      <c r="AQ310" s="52"/>
      <c r="AR310" s="52"/>
      <c r="AS310" s="52"/>
    </row>
    <row r="311" spans="1:45" x14ac:dyDescent="0.2">
      <c r="A311" s="29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  <c r="AG311" s="45"/>
      <c r="AH311" s="45"/>
      <c r="AI311" s="45"/>
      <c r="AJ311" s="45"/>
      <c r="AK311" s="45"/>
      <c r="AL311" s="45"/>
      <c r="AM311" s="45"/>
      <c r="AN311" s="45"/>
      <c r="AO311" s="90"/>
      <c r="AP311" s="46"/>
      <c r="AQ311" s="52"/>
      <c r="AR311" s="52"/>
      <c r="AS311" s="52"/>
    </row>
    <row r="312" spans="1:45" x14ac:dyDescent="0.2">
      <c r="A312" s="29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  <c r="AG312" s="45"/>
      <c r="AH312" s="45"/>
      <c r="AI312" s="45"/>
      <c r="AJ312" s="45"/>
      <c r="AK312" s="45"/>
      <c r="AL312" s="45"/>
      <c r="AM312" s="45"/>
      <c r="AN312" s="45"/>
      <c r="AO312" s="90"/>
      <c r="AP312" s="46"/>
      <c r="AQ312" s="52"/>
      <c r="AR312" s="52"/>
      <c r="AS312" s="52"/>
    </row>
    <row r="313" spans="1:45" x14ac:dyDescent="0.2">
      <c r="A313" s="29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  <c r="AG313" s="45"/>
      <c r="AH313" s="45"/>
      <c r="AI313" s="45"/>
      <c r="AJ313" s="45"/>
      <c r="AK313" s="45"/>
      <c r="AL313" s="45"/>
      <c r="AM313" s="45"/>
      <c r="AN313" s="45"/>
      <c r="AO313" s="90"/>
      <c r="AP313" s="46"/>
      <c r="AQ313" s="52"/>
      <c r="AR313" s="52"/>
      <c r="AS313" s="52"/>
    </row>
    <row r="314" spans="1:45" x14ac:dyDescent="0.2">
      <c r="A314" s="29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  <c r="AG314" s="45"/>
      <c r="AH314" s="45"/>
      <c r="AI314" s="45"/>
      <c r="AJ314" s="45"/>
      <c r="AK314" s="45"/>
      <c r="AL314" s="45"/>
      <c r="AM314" s="45"/>
      <c r="AN314" s="45"/>
      <c r="AO314" s="90"/>
      <c r="AP314" s="46"/>
      <c r="AQ314" s="52"/>
      <c r="AR314" s="52"/>
      <c r="AS314" s="52"/>
    </row>
    <row r="315" spans="1:45" x14ac:dyDescent="0.2">
      <c r="A315" s="29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  <c r="AG315" s="45"/>
      <c r="AH315" s="45"/>
      <c r="AI315" s="45"/>
      <c r="AJ315" s="45"/>
      <c r="AK315" s="45"/>
      <c r="AL315" s="45"/>
      <c r="AM315" s="45"/>
      <c r="AN315" s="45"/>
      <c r="AO315" s="90"/>
      <c r="AP315" s="46"/>
      <c r="AQ315" s="52"/>
      <c r="AR315" s="52"/>
      <c r="AS315" s="52"/>
    </row>
    <row r="316" spans="1:45" x14ac:dyDescent="0.2">
      <c r="A316" s="29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  <c r="AG316" s="45"/>
      <c r="AH316" s="45"/>
      <c r="AI316" s="45"/>
      <c r="AJ316" s="45"/>
      <c r="AK316" s="45"/>
      <c r="AL316" s="45"/>
      <c r="AM316" s="45"/>
      <c r="AN316" s="45"/>
      <c r="AO316" s="90"/>
      <c r="AP316" s="46"/>
      <c r="AQ316" s="52"/>
      <c r="AR316" s="52"/>
      <c r="AS316" s="52"/>
    </row>
    <row r="317" spans="1:45" x14ac:dyDescent="0.2">
      <c r="A317" s="29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  <c r="AG317" s="45"/>
      <c r="AH317" s="45"/>
      <c r="AI317" s="45"/>
      <c r="AJ317" s="45"/>
      <c r="AK317" s="45"/>
      <c r="AL317" s="45"/>
      <c r="AM317" s="45"/>
      <c r="AN317" s="45"/>
      <c r="AO317" s="90"/>
      <c r="AP317" s="46"/>
      <c r="AQ317" s="52"/>
      <c r="AR317" s="52"/>
      <c r="AS317" s="52"/>
    </row>
    <row r="318" spans="1:45" x14ac:dyDescent="0.2">
      <c r="A318" s="29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  <c r="AG318" s="45"/>
      <c r="AH318" s="45"/>
      <c r="AI318" s="45"/>
      <c r="AJ318" s="45"/>
      <c r="AK318" s="45"/>
      <c r="AL318" s="45"/>
      <c r="AM318" s="45"/>
      <c r="AN318" s="45"/>
      <c r="AO318" s="90"/>
      <c r="AP318" s="46"/>
      <c r="AQ318" s="52"/>
      <c r="AR318" s="52"/>
      <c r="AS318" s="52"/>
    </row>
    <row r="319" spans="1:45" x14ac:dyDescent="0.2">
      <c r="A319" s="29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  <c r="AG319" s="45"/>
      <c r="AH319" s="45"/>
      <c r="AI319" s="45"/>
      <c r="AJ319" s="45"/>
      <c r="AK319" s="45"/>
      <c r="AL319" s="45"/>
      <c r="AM319" s="45"/>
      <c r="AN319" s="45"/>
      <c r="AO319" s="90"/>
      <c r="AP319" s="46"/>
      <c r="AQ319" s="52"/>
      <c r="AR319" s="52"/>
      <c r="AS319" s="52"/>
    </row>
    <row r="320" spans="1:45" x14ac:dyDescent="0.2">
      <c r="A320" s="29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  <c r="AG320" s="45"/>
      <c r="AH320" s="45"/>
      <c r="AI320" s="45"/>
      <c r="AJ320" s="45"/>
      <c r="AK320" s="45"/>
      <c r="AL320" s="45"/>
      <c r="AM320" s="45"/>
      <c r="AN320" s="45"/>
      <c r="AO320" s="90"/>
      <c r="AP320" s="46"/>
      <c r="AQ320" s="52"/>
      <c r="AR320" s="52"/>
      <c r="AS320" s="52"/>
    </row>
    <row r="321" spans="1:45" x14ac:dyDescent="0.2">
      <c r="A321" s="29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  <c r="AG321" s="45"/>
      <c r="AH321" s="45"/>
      <c r="AI321" s="45"/>
      <c r="AJ321" s="45"/>
      <c r="AK321" s="45"/>
      <c r="AL321" s="45"/>
      <c r="AM321" s="45"/>
      <c r="AN321" s="45"/>
      <c r="AO321" s="90"/>
      <c r="AP321" s="46"/>
      <c r="AQ321" s="52"/>
      <c r="AR321" s="52"/>
      <c r="AS321" s="52"/>
    </row>
    <row r="322" spans="1:45" x14ac:dyDescent="0.2">
      <c r="A322" s="29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  <c r="AG322" s="45"/>
      <c r="AH322" s="45"/>
      <c r="AI322" s="45"/>
      <c r="AJ322" s="45"/>
      <c r="AK322" s="45"/>
      <c r="AL322" s="45"/>
      <c r="AM322" s="45"/>
      <c r="AN322" s="45"/>
      <c r="AO322" s="90"/>
      <c r="AP322" s="46"/>
      <c r="AQ322" s="52"/>
      <c r="AR322" s="52"/>
      <c r="AS322" s="52"/>
    </row>
    <row r="323" spans="1:45" x14ac:dyDescent="0.2">
      <c r="A323" s="29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  <c r="AG323" s="45"/>
      <c r="AH323" s="45"/>
      <c r="AI323" s="45"/>
      <c r="AJ323" s="45"/>
      <c r="AK323" s="45"/>
      <c r="AL323" s="45"/>
      <c r="AM323" s="45"/>
      <c r="AN323" s="45"/>
      <c r="AO323" s="90"/>
      <c r="AP323" s="46"/>
      <c r="AQ323" s="52"/>
      <c r="AR323" s="52"/>
      <c r="AS323" s="52"/>
    </row>
    <row r="324" spans="1:45" x14ac:dyDescent="0.2">
      <c r="A324" s="29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  <c r="AG324" s="45"/>
      <c r="AH324" s="45"/>
      <c r="AI324" s="45"/>
      <c r="AJ324" s="45"/>
      <c r="AK324" s="45"/>
      <c r="AL324" s="45"/>
      <c r="AM324" s="45"/>
      <c r="AN324" s="45"/>
      <c r="AO324" s="90"/>
      <c r="AP324" s="46"/>
      <c r="AQ324" s="52"/>
      <c r="AR324" s="52"/>
      <c r="AS324" s="52"/>
    </row>
    <row r="325" spans="1:45" x14ac:dyDescent="0.2">
      <c r="A325" s="29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  <c r="AG325" s="45"/>
      <c r="AH325" s="45"/>
      <c r="AI325" s="45"/>
      <c r="AJ325" s="45"/>
      <c r="AK325" s="45"/>
      <c r="AL325" s="45"/>
      <c r="AM325" s="45"/>
      <c r="AN325" s="45"/>
      <c r="AO325" s="90"/>
      <c r="AP325" s="46"/>
      <c r="AQ325" s="52"/>
      <c r="AR325" s="52"/>
      <c r="AS325" s="52"/>
    </row>
    <row r="326" spans="1:45" x14ac:dyDescent="0.2">
      <c r="A326" s="29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  <c r="AG326" s="45"/>
      <c r="AH326" s="45"/>
      <c r="AI326" s="45"/>
      <c r="AJ326" s="45"/>
      <c r="AK326" s="45"/>
      <c r="AL326" s="45"/>
      <c r="AM326" s="45"/>
      <c r="AN326" s="45"/>
      <c r="AO326" s="90"/>
      <c r="AP326" s="46"/>
      <c r="AQ326" s="52"/>
      <c r="AR326" s="52"/>
      <c r="AS326" s="52"/>
    </row>
    <row r="327" spans="1:45" x14ac:dyDescent="0.2">
      <c r="A327" s="29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  <c r="AG327" s="45"/>
      <c r="AH327" s="45"/>
      <c r="AI327" s="45"/>
      <c r="AJ327" s="45"/>
      <c r="AK327" s="45"/>
      <c r="AL327" s="45"/>
      <c r="AM327" s="45"/>
      <c r="AN327" s="45"/>
      <c r="AO327" s="90"/>
      <c r="AP327" s="46"/>
      <c r="AQ327" s="52"/>
      <c r="AR327" s="52"/>
      <c r="AS327" s="52"/>
    </row>
    <row r="328" spans="1:45" x14ac:dyDescent="0.2">
      <c r="A328" s="29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  <c r="AG328" s="45"/>
      <c r="AH328" s="45"/>
      <c r="AI328" s="45"/>
      <c r="AJ328" s="45"/>
      <c r="AK328" s="45"/>
      <c r="AL328" s="45"/>
      <c r="AM328" s="45"/>
      <c r="AN328" s="45"/>
      <c r="AO328" s="90"/>
      <c r="AP328" s="46"/>
      <c r="AQ328" s="52"/>
      <c r="AR328" s="52"/>
      <c r="AS328" s="52"/>
    </row>
    <row r="329" spans="1:45" x14ac:dyDescent="0.2">
      <c r="A329" s="29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  <c r="AG329" s="45"/>
      <c r="AH329" s="45"/>
      <c r="AI329" s="45"/>
      <c r="AJ329" s="45"/>
      <c r="AK329" s="45"/>
      <c r="AL329" s="45"/>
      <c r="AM329" s="45"/>
      <c r="AN329" s="45"/>
      <c r="AO329" s="90"/>
      <c r="AP329" s="46"/>
      <c r="AQ329" s="52"/>
      <c r="AR329" s="52"/>
      <c r="AS329" s="52"/>
    </row>
    <row r="330" spans="1:45" x14ac:dyDescent="0.2">
      <c r="A330" s="29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  <c r="AG330" s="45"/>
      <c r="AH330" s="45"/>
      <c r="AI330" s="45"/>
      <c r="AJ330" s="45"/>
      <c r="AK330" s="45"/>
      <c r="AL330" s="45"/>
      <c r="AM330" s="45"/>
      <c r="AN330" s="45"/>
      <c r="AO330" s="90"/>
      <c r="AP330" s="46"/>
      <c r="AQ330" s="52"/>
      <c r="AR330" s="52"/>
      <c r="AS330" s="52"/>
    </row>
    <row r="331" spans="1:45" x14ac:dyDescent="0.2">
      <c r="A331" s="29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  <c r="AG331" s="45"/>
      <c r="AH331" s="45"/>
      <c r="AI331" s="45"/>
      <c r="AJ331" s="45"/>
      <c r="AK331" s="45"/>
      <c r="AL331" s="45"/>
      <c r="AM331" s="45"/>
      <c r="AN331" s="45"/>
      <c r="AO331" s="90"/>
      <c r="AP331" s="46"/>
      <c r="AQ331" s="52"/>
      <c r="AR331" s="52"/>
      <c r="AS331" s="52"/>
    </row>
    <row r="332" spans="1:45" x14ac:dyDescent="0.2">
      <c r="A332" s="29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  <c r="AG332" s="45"/>
      <c r="AH332" s="45"/>
      <c r="AI332" s="45"/>
      <c r="AJ332" s="45"/>
      <c r="AK332" s="45"/>
      <c r="AL332" s="45"/>
      <c r="AM332" s="45"/>
      <c r="AN332" s="45"/>
      <c r="AO332" s="90"/>
      <c r="AP332" s="46"/>
      <c r="AQ332" s="52"/>
      <c r="AR332" s="52"/>
      <c r="AS332" s="52"/>
    </row>
    <row r="333" spans="1:45" x14ac:dyDescent="0.2">
      <c r="A333" s="29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  <c r="AG333" s="45"/>
      <c r="AH333" s="45"/>
      <c r="AI333" s="45"/>
      <c r="AJ333" s="45"/>
      <c r="AK333" s="45"/>
      <c r="AL333" s="45"/>
      <c r="AM333" s="45"/>
      <c r="AN333" s="45"/>
      <c r="AO333" s="90"/>
      <c r="AP333" s="46"/>
      <c r="AQ333" s="52"/>
      <c r="AR333" s="52"/>
      <c r="AS333" s="52"/>
    </row>
    <row r="334" spans="1:45" x14ac:dyDescent="0.2">
      <c r="A334" s="29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  <c r="AG334" s="45"/>
      <c r="AH334" s="45"/>
      <c r="AI334" s="45"/>
      <c r="AJ334" s="45"/>
      <c r="AK334" s="45"/>
      <c r="AL334" s="45"/>
      <c r="AM334" s="45"/>
      <c r="AN334" s="45"/>
      <c r="AO334" s="90"/>
      <c r="AP334" s="46"/>
      <c r="AQ334" s="52"/>
      <c r="AR334" s="52"/>
      <c r="AS334" s="52"/>
    </row>
    <row r="335" spans="1:45" x14ac:dyDescent="0.2">
      <c r="A335" s="29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  <c r="AG335" s="45"/>
      <c r="AH335" s="45"/>
      <c r="AI335" s="45"/>
      <c r="AJ335" s="45"/>
      <c r="AK335" s="45"/>
      <c r="AL335" s="45"/>
      <c r="AM335" s="45"/>
      <c r="AN335" s="45"/>
      <c r="AO335" s="90"/>
      <c r="AP335" s="46"/>
      <c r="AQ335" s="52"/>
      <c r="AR335" s="52"/>
      <c r="AS335" s="52"/>
    </row>
    <row r="336" spans="1:45" x14ac:dyDescent="0.2">
      <c r="A336" s="29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  <c r="AG336" s="45"/>
      <c r="AH336" s="45"/>
      <c r="AI336" s="45"/>
      <c r="AJ336" s="45"/>
      <c r="AK336" s="45"/>
      <c r="AL336" s="45"/>
      <c r="AM336" s="45"/>
      <c r="AN336" s="45"/>
      <c r="AO336" s="90"/>
      <c r="AP336" s="46"/>
      <c r="AQ336" s="52"/>
      <c r="AR336" s="52"/>
      <c r="AS336" s="52"/>
    </row>
    <row r="337" spans="1:45" x14ac:dyDescent="0.2">
      <c r="A337" s="29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  <c r="AG337" s="45"/>
      <c r="AH337" s="45"/>
      <c r="AI337" s="45"/>
      <c r="AJ337" s="45"/>
      <c r="AK337" s="45"/>
      <c r="AL337" s="45"/>
      <c r="AM337" s="45"/>
      <c r="AN337" s="45"/>
      <c r="AO337" s="90"/>
      <c r="AP337" s="46"/>
      <c r="AQ337" s="52"/>
      <c r="AR337" s="52"/>
      <c r="AS337" s="52"/>
    </row>
    <row r="338" spans="1:45" x14ac:dyDescent="0.2">
      <c r="A338" s="29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  <c r="AG338" s="45"/>
      <c r="AH338" s="45"/>
      <c r="AI338" s="45"/>
      <c r="AJ338" s="45"/>
      <c r="AK338" s="45"/>
      <c r="AL338" s="45"/>
      <c r="AM338" s="45"/>
      <c r="AN338" s="45"/>
      <c r="AO338" s="90"/>
      <c r="AP338" s="46"/>
      <c r="AQ338" s="52"/>
      <c r="AR338" s="52"/>
      <c r="AS338" s="52"/>
    </row>
    <row r="339" spans="1:45" x14ac:dyDescent="0.2">
      <c r="A339" s="29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  <c r="AG339" s="45"/>
      <c r="AH339" s="45"/>
      <c r="AI339" s="45"/>
      <c r="AJ339" s="45"/>
      <c r="AK339" s="45"/>
      <c r="AL339" s="45"/>
      <c r="AM339" s="45"/>
      <c r="AN339" s="45"/>
      <c r="AO339" s="90"/>
      <c r="AP339" s="46"/>
      <c r="AQ339" s="52"/>
      <c r="AR339" s="52"/>
      <c r="AS339" s="52"/>
    </row>
    <row r="340" spans="1:45" x14ac:dyDescent="0.2">
      <c r="A340" s="29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  <c r="AG340" s="45"/>
      <c r="AH340" s="45"/>
      <c r="AI340" s="45"/>
      <c r="AJ340" s="45"/>
      <c r="AK340" s="45"/>
      <c r="AL340" s="45"/>
      <c r="AM340" s="45"/>
      <c r="AN340" s="45"/>
      <c r="AO340" s="90"/>
      <c r="AP340" s="46"/>
      <c r="AQ340" s="52"/>
      <c r="AR340" s="52"/>
      <c r="AS340" s="52"/>
    </row>
    <row r="341" spans="1:45" x14ac:dyDescent="0.2">
      <c r="A341" s="29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  <c r="AG341" s="45"/>
      <c r="AH341" s="45"/>
      <c r="AI341" s="45"/>
      <c r="AJ341" s="45"/>
      <c r="AK341" s="45"/>
      <c r="AL341" s="45"/>
      <c r="AM341" s="45"/>
      <c r="AN341" s="45"/>
      <c r="AO341" s="90"/>
      <c r="AP341" s="46"/>
      <c r="AQ341" s="52"/>
      <c r="AR341" s="52"/>
      <c r="AS341" s="52"/>
    </row>
    <row r="342" spans="1:45" x14ac:dyDescent="0.2">
      <c r="A342" s="29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  <c r="AG342" s="45"/>
      <c r="AH342" s="45"/>
      <c r="AI342" s="45"/>
      <c r="AJ342" s="45"/>
      <c r="AK342" s="45"/>
      <c r="AL342" s="45"/>
      <c r="AM342" s="45"/>
      <c r="AN342" s="45"/>
      <c r="AO342" s="90"/>
      <c r="AP342" s="46"/>
      <c r="AQ342" s="52"/>
      <c r="AR342" s="52"/>
      <c r="AS342" s="52"/>
    </row>
    <row r="343" spans="1:45" x14ac:dyDescent="0.2">
      <c r="A343" s="29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  <c r="AG343" s="45"/>
      <c r="AH343" s="45"/>
      <c r="AI343" s="45"/>
      <c r="AJ343" s="45"/>
      <c r="AK343" s="45"/>
      <c r="AL343" s="45"/>
      <c r="AM343" s="45"/>
      <c r="AN343" s="45"/>
      <c r="AO343" s="90"/>
      <c r="AP343" s="46"/>
      <c r="AQ343" s="52"/>
      <c r="AR343" s="52"/>
      <c r="AS343" s="52"/>
    </row>
    <row r="344" spans="1:45" x14ac:dyDescent="0.2">
      <c r="A344" s="29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  <c r="AG344" s="45"/>
      <c r="AH344" s="45"/>
      <c r="AI344" s="45"/>
      <c r="AJ344" s="45"/>
      <c r="AK344" s="45"/>
      <c r="AL344" s="45"/>
      <c r="AM344" s="45"/>
      <c r="AN344" s="45"/>
      <c r="AO344" s="90"/>
      <c r="AP344" s="46"/>
      <c r="AQ344" s="52"/>
      <c r="AR344" s="52"/>
      <c r="AS344" s="52"/>
    </row>
    <row r="345" spans="1:45" x14ac:dyDescent="0.2">
      <c r="A345" s="29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  <c r="AG345" s="45"/>
      <c r="AH345" s="45"/>
      <c r="AI345" s="45"/>
      <c r="AJ345" s="45"/>
      <c r="AK345" s="45"/>
      <c r="AL345" s="45"/>
      <c r="AM345" s="45"/>
      <c r="AN345" s="45"/>
      <c r="AO345" s="90"/>
      <c r="AP345" s="46"/>
      <c r="AQ345" s="52"/>
      <c r="AR345" s="52"/>
      <c r="AS345" s="52"/>
    </row>
    <row r="346" spans="1:45" x14ac:dyDescent="0.2">
      <c r="A346" s="29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  <c r="AG346" s="45"/>
      <c r="AH346" s="45"/>
      <c r="AI346" s="45"/>
      <c r="AJ346" s="45"/>
      <c r="AK346" s="45"/>
      <c r="AL346" s="45"/>
      <c r="AM346" s="45"/>
      <c r="AN346" s="45"/>
      <c r="AO346" s="90"/>
      <c r="AP346" s="46"/>
      <c r="AQ346" s="52"/>
      <c r="AR346" s="52"/>
      <c r="AS346" s="52"/>
    </row>
    <row r="347" spans="1:45" x14ac:dyDescent="0.2">
      <c r="A347" s="29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  <c r="AG347" s="45"/>
      <c r="AH347" s="45"/>
      <c r="AI347" s="45"/>
      <c r="AJ347" s="45"/>
      <c r="AK347" s="45"/>
      <c r="AL347" s="45"/>
      <c r="AM347" s="45"/>
      <c r="AN347" s="45"/>
      <c r="AO347" s="90"/>
      <c r="AP347" s="46"/>
      <c r="AQ347" s="52"/>
      <c r="AR347" s="52"/>
      <c r="AS347" s="52"/>
    </row>
    <row r="348" spans="1:45" x14ac:dyDescent="0.2">
      <c r="A348" s="29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  <c r="AG348" s="45"/>
      <c r="AH348" s="45"/>
      <c r="AI348" s="45"/>
      <c r="AJ348" s="45"/>
      <c r="AK348" s="45"/>
      <c r="AL348" s="45"/>
      <c r="AM348" s="45"/>
      <c r="AN348" s="45"/>
      <c r="AO348" s="90"/>
      <c r="AP348" s="46"/>
      <c r="AQ348" s="52"/>
      <c r="AR348" s="52"/>
      <c r="AS348" s="52"/>
    </row>
    <row r="349" spans="1:45" x14ac:dyDescent="0.2">
      <c r="A349" s="29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  <c r="AG349" s="45"/>
      <c r="AH349" s="45"/>
      <c r="AI349" s="45"/>
      <c r="AJ349" s="45"/>
      <c r="AK349" s="45"/>
      <c r="AL349" s="45"/>
      <c r="AM349" s="45"/>
      <c r="AN349" s="45"/>
      <c r="AO349" s="90"/>
      <c r="AP349" s="46"/>
      <c r="AQ349" s="52"/>
      <c r="AR349" s="52"/>
      <c r="AS349" s="52"/>
    </row>
    <row r="350" spans="1:45" x14ac:dyDescent="0.2">
      <c r="A350" s="29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  <c r="AG350" s="45"/>
      <c r="AH350" s="45"/>
      <c r="AI350" s="45"/>
      <c r="AJ350" s="45"/>
      <c r="AK350" s="45"/>
      <c r="AL350" s="45"/>
      <c r="AM350" s="45"/>
      <c r="AN350" s="45"/>
      <c r="AO350" s="90"/>
      <c r="AP350" s="46"/>
      <c r="AQ350" s="52"/>
      <c r="AR350" s="52"/>
      <c r="AS350" s="52"/>
    </row>
    <row r="351" spans="1:45" x14ac:dyDescent="0.2">
      <c r="A351" s="29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  <c r="AG351" s="45"/>
      <c r="AH351" s="45"/>
      <c r="AI351" s="45"/>
      <c r="AJ351" s="45"/>
      <c r="AK351" s="45"/>
      <c r="AL351" s="45"/>
      <c r="AM351" s="45"/>
      <c r="AN351" s="45"/>
      <c r="AO351" s="90"/>
      <c r="AP351" s="46"/>
      <c r="AQ351" s="52"/>
      <c r="AR351" s="52"/>
      <c r="AS351" s="52"/>
    </row>
    <row r="352" spans="1:45" x14ac:dyDescent="0.2">
      <c r="A352" s="29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  <c r="AG352" s="45"/>
      <c r="AH352" s="45"/>
      <c r="AI352" s="45"/>
      <c r="AJ352" s="45"/>
      <c r="AK352" s="45"/>
      <c r="AL352" s="45"/>
      <c r="AM352" s="45"/>
      <c r="AN352" s="45"/>
      <c r="AO352" s="90"/>
      <c r="AP352" s="46"/>
      <c r="AQ352" s="52"/>
      <c r="AR352" s="52"/>
      <c r="AS352" s="52"/>
    </row>
    <row r="353" spans="1:45" x14ac:dyDescent="0.2">
      <c r="A353" s="29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  <c r="AG353" s="45"/>
      <c r="AH353" s="45"/>
      <c r="AI353" s="45"/>
      <c r="AJ353" s="45"/>
      <c r="AK353" s="45"/>
      <c r="AL353" s="45"/>
      <c r="AM353" s="45"/>
      <c r="AN353" s="45"/>
      <c r="AO353" s="90"/>
      <c r="AP353" s="46"/>
      <c r="AQ353" s="52"/>
      <c r="AR353" s="52"/>
      <c r="AS353" s="52"/>
    </row>
    <row r="354" spans="1:45" x14ac:dyDescent="0.2">
      <c r="A354" s="29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  <c r="AG354" s="45"/>
      <c r="AH354" s="45"/>
      <c r="AI354" s="45"/>
      <c r="AJ354" s="45"/>
      <c r="AK354" s="45"/>
      <c r="AL354" s="45"/>
      <c r="AM354" s="45"/>
      <c r="AN354" s="45"/>
      <c r="AO354" s="90"/>
      <c r="AP354" s="46"/>
      <c r="AQ354" s="52"/>
      <c r="AR354" s="52"/>
      <c r="AS354" s="52"/>
    </row>
    <row r="355" spans="1:45" x14ac:dyDescent="0.2">
      <c r="A355" s="29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  <c r="AG355" s="45"/>
      <c r="AH355" s="45"/>
      <c r="AI355" s="45"/>
      <c r="AJ355" s="45"/>
      <c r="AK355" s="45"/>
      <c r="AL355" s="45"/>
      <c r="AM355" s="45"/>
      <c r="AN355" s="45"/>
      <c r="AO355" s="90"/>
      <c r="AP355" s="46"/>
      <c r="AQ355" s="52"/>
      <c r="AR355" s="52"/>
      <c r="AS355" s="52"/>
    </row>
    <row r="356" spans="1:45" x14ac:dyDescent="0.2">
      <c r="A356" s="29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  <c r="AG356" s="45"/>
      <c r="AH356" s="45"/>
      <c r="AI356" s="45"/>
      <c r="AJ356" s="45"/>
      <c r="AK356" s="45"/>
      <c r="AL356" s="45"/>
      <c r="AM356" s="45"/>
      <c r="AN356" s="45"/>
      <c r="AO356" s="90"/>
      <c r="AP356" s="46"/>
      <c r="AQ356" s="52"/>
      <c r="AR356" s="52"/>
      <c r="AS356" s="52"/>
    </row>
    <row r="357" spans="1:45" x14ac:dyDescent="0.2">
      <c r="A357" s="29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  <c r="AG357" s="45"/>
      <c r="AH357" s="45"/>
      <c r="AI357" s="45"/>
      <c r="AJ357" s="45"/>
      <c r="AK357" s="45"/>
      <c r="AL357" s="45"/>
      <c r="AM357" s="45"/>
      <c r="AN357" s="45"/>
      <c r="AO357" s="90"/>
      <c r="AP357" s="46"/>
      <c r="AQ357" s="52"/>
      <c r="AR357" s="52"/>
      <c r="AS357" s="52"/>
    </row>
    <row r="358" spans="1:45" x14ac:dyDescent="0.2">
      <c r="A358" s="29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  <c r="AG358" s="45"/>
      <c r="AH358" s="45"/>
      <c r="AI358" s="45"/>
      <c r="AJ358" s="45"/>
      <c r="AK358" s="45"/>
      <c r="AL358" s="45"/>
      <c r="AM358" s="45"/>
      <c r="AN358" s="45"/>
      <c r="AO358" s="90"/>
      <c r="AP358" s="46"/>
      <c r="AQ358" s="52"/>
      <c r="AR358" s="52"/>
      <c r="AS358" s="52"/>
    </row>
    <row r="359" spans="1:45" x14ac:dyDescent="0.2">
      <c r="A359" s="29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  <c r="AG359" s="45"/>
      <c r="AH359" s="45"/>
      <c r="AI359" s="45"/>
      <c r="AJ359" s="45"/>
      <c r="AK359" s="45"/>
      <c r="AL359" s="45"/>
      <c r="AM359" s="45"/>
      <c r="AN359" s="45"/>
      <c r="AO359" s="90"/>
      <c r="AP359" s="46"/>
      <c r="AQ359" s="52"/>
      <c r="AR359" s="52"/>
      <c r="AS359" s="52"/>
    </row>
    <row r="360" spans="1:45" x14ac:dyDescent="0.2">
      <c r="A360" s="29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  <c r="AG360" s="45"/>
      <c r="AH360" s="45"/>
      <c r="AI360" s="45"/>
      <c r="AJ360" s="45"/>
      <c r="AK360" s="45"/>
      <c r="AL360" s="45"/>
      <c r="AM360" s="45"/>
      <c r="AN360" s="45"/>
      <c r="AO360" s="90"/>
      <c r="AP360" s="46"/>
      <c r="AQ360" s="52"/>
      <c r="AR360" s="52"/>
      <c r="AS360" s="52"/>
    </row>
    <row r="361" spans="1:45" x14ac:dyDescent="0.2">
      <c r="A361" s="29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  <c r="AG361" s="45"/>
      <c r="AH361" s="45"/>
      <c r="AI361" s="45"/>
      <c r="AJ361" s="45"/>
      <c r="AK361" s="45"/>
      <c r="AL361" s="45"/>
      <c r="AM361" s="45"/>
      <c r="AN361" s="45"/>
      <c r="AO361" s="90"/>
      <c r="AP361" s="46"/>
      <c r="AQ361" s="52"/>
      <c r="AR361" s="52"/>
      <c r="AS361" s="52"/>
    </row>
    <row r="362" spans="1:45" x14ac:dyDescent="0.2">
      <c r="A362" s="29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  <c r="AG362" s="45"/>
      <c r="AH362" s="45"/>
      <c r="AI362" s="45"/>
      <c r="AJ362" s="45"/>
      <c r="AK362" s="45"/>
      <c r="AL362" s="45"/>
      <c r="AM362" s="45"/>
      <c r="AN362" s="45"/>
      <c r="AO362" s="90"/>
      <c r="AP362" s="46"/>
      <c r="AQ362" s="52"/>
      <c r="AR362" s="52"/>
      <c r="AS362" s="52"/>
    </row>
    <row r="363" spans="1:45" x14ac:dyDescent="0.2">
      <c r="A363" s="29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  <c r="AG363" s="45"/>
      <c r="AH363" s="45"/>
      <c r="AI363" s="45"/>
      <c r="AJ363" s="45"/>
      <c r="AK363" s="45"/>
      <c r="AL363" s="45"/>
      <c r="AM363" s="45"/>
      <c r="AN363" s="45"/>
      <c r="AO363" s="90"/>
      <c r="AP363" s="46"/>
      <c r="AQ363" s="52"/>
      <c r="AR363" s="52"/>
      <c r="AS363" s="52"/>
    </row>
    <row r="364" spans="1:45" x14ac:dyDescent="0.2">
      <c r="A364" s="29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  <c r="AG364" s="45"/>
      <c r="AH364" s="45"/>
      <c r="AI364" s="45"/>
      <c r="AJ364" s="45"/>
      <c r="AK364" s="45"/>
      <c r="AL364" s="45"/>
      <c r="AM364" s="45"/>
      <c r="AN364" s="45"/>
      <c r="AO364" s="90"/>
      <c r="AP364" s="46"/>
      <c r="AQ364" s="52"/>
      <c r="AR364" s="52"/>
      <c r="AS364" s="52"/>
    </row>
    <row r="365" spans="1:45" x14ac:dyDescent="0.2">
      <c r="A365" s="29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  <c r="AG365" s="45"/>
      <c r="AH365" s="45"/>
      <c r="AI365" s="45"/>
      <c r="AJ365" s="45"/>
      <c r="AK365" s="45"/>
      <c r="AL365" s="45"/>
      <c r="AM365" s="45"/>
      <c r="AN365" s="45"/>
      <c r="AO365" s="90"/>
      <c r="AP365" s="46"/>
      <c r="AQ365" s="52"/>
      <c r="AR365" s="52"/>
      <c r="AS365" s="52"/>
    </row>
    <row r="366" spans="1:45" x14ac:dyDescent="0.2">
      <c r="A366" s="29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5"/>
      <c r="AN366" s="45"/>
      <c r="AO366" s="90"/>
      <c r="AP366" s="46"/>
      <c r="AQ366" s="52"/>
      <c r="AR366" s="52"/>
      <c r="AS366" s="52"/>
    </row>
    <row r="367" spans="1:45" x14ac:dyDescent="0.2">
      <c r="A367" s="29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  <c r="AG367" s="45"/>
      <c r="AH367" s="45"/>
      <c r="AI367" s="45"/>
      <c r="AJ367" s="45"/>
      <c r="AK367" s="45"/>
      <c r="AL367" s="45"/>
      <c r="AM367" s="45"/>
      <c r="AN367" s="45"/>
      <c r="AO367" s="90"/>
      <c r="AP367" s="46"/>
      <c r="AQ367" s="52"/>
      <c r="AR367" s="52"/>
      <c r="AS367" s="52"/>
    </row>
    <row r="368" spans="1:45" x14ac:dyDescent="0.2">
      <c r="A368" s="29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  <c r="AG368" s="45"/>
      <c r="AH368" s="45"/>
      <c r="AI368" s="45"/>
      <c r="AJ368" s="45"/>
      <c r="AK368" s="45"/>
      <c r="AL368" s="45"/>
      <c r="AM368" s="45"/>
      <c r="AN368" s="45"/>
      <c r="AO368" s="90"/>
      <c r="AP368" s="46"/>
      <c r="AQ368" s="52"/>
      <c r="AR368" s="52"/>
      <c r="AS368" s="52"/>
    </row>
    <row r="369" spans="1:45" x14ac:dyDescent="0.2">
      <c r="A369" s="29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  <c r="AG369" s="45"/>
      <c r="AH369" s="45"/>
      <c r="AI369" s="45"/>
      <c r="AJ369" s="45"/>
      <c r="AK369" s="45"/>
      <c r="AL369" s="45"/>
      <c r="AM369" s="45"/>
      <c r="AN369" s="45"/>
      <c r="AO369" s="90"/>
      <c r="AP369" s="46"/>
      <c r="AQ369" s="52"/>
      <c r="AR369" s="52"/>
      <c r="AS369" s="52"/>
    </row>
    <row r="370" spans="1:45" x14ac:dyDescent="0.2">
      <c r="A370" s="29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  <c r="AG370" s="45"/>
      <c r="AH370" s="45"/>
      <c r="AI370" s="45"/>
      <c r="AJ370" s="45"/>
      <c r="AK370" s="45"/>
      <c r="AL370" s="45"/>
      <c r="AM370" s="45"/>
      <c r="AN370" s="45"/>
      <c r="AO370" s="90"/>
      <c r="AP370" s="46"/>
      <c r="AQ370" s="52"/>
      <c r="AR370" s="52"/>
      <c r="AS370" s="52"/>
    </row>
    <row r="371" spans="1:45" x14ac:dyDescent="0.2">
      <c r="A371" s="29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  <c r="AG371" s="45"/>
      <c r="AH371" s="45"/>
      <c r="AI371" s="45"/>
      <c r="AJ371" s="45"/>
      <c r="AK371" s="45"/>
      <c r="AL371" s="45"/>
      <c r="AM371" s="45"/>
      <c r="AN371" s="45"/>
      <c r="AO371" s="90"/>
      <c r="AP371" s="46"/>
      <c r="AQ371" s="52"/>
      <c r="AR371" s="52"/>
      <c r="AS371" s="52"/>
    </row>
    <row r="372" spans="1:45" x14ac:dyDescent="0.2">
      <c r="A372" s="29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  <c r="AG372" s="45"/>
      <c r="AH372" s="45"/>
      <c r="AI372" s="45"/>
      <c r="AJ372" s="45"/>
      <c r="AK372" s="45"/>
      <c r="AL372" s="45"/>
      <c r="AM372" s="45"/>
      <c r="AN372" s="45"/>
      <c r="AO372" s="90"/>
      <c r="AP372" s="46"/>
      <c r="AQ372" s="52"/>
      <c r="AR372" s="52"/>
      <c r="AS372" s="52"/>
    </row>
    <row r="373" spans="1:45" x14ac:dyDescent="0.2">
      <c r="A373" s="29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  <c r="AG373" s="45"/>
      <c r="AH373" s="45"/>
      <c r="AI373" s="45"/>
      <c r="AJ373" s="45"/>
      <c r="AK373" s="45"/>
      <c r="AL373" s="45"/>
      <c r="AM373" s="45"/>
      <c r="AN373" s="45"/>
      <c r="AO373" s="90"/>
      <c r="AP373" s="46"/>
      <c r="AQ373" s="52"/>
      <c r="AR373" s="52"/>
      <c r="AS373" s="52"/>
    </row>
    <row r="374" spans="1:45" x14ac:dyDescent="0.2">
      <c r="A374" s="29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  <c r="AG374" s="45"/>
      <c r="AH374" s="45"/>
      <c r="AI374" s="45"/>
      <c r="AJ374" s="45"/>
      <c r="AK374" s="45"/>
      <c r="AL374" s="45"/>
      <c r="AM374" s="45"/>
      <c r="AN374" s="45"/>
      <c r="AO374" s="90"/>
      <c r="AP374" s="46"/>
      <c r="AQ374" s="52"/>
      <c r="AR374" s="52"/>
      <c r="AS374" s="52"/>
    </row>
    <row r="375" spans="1:45" x14ac:dyDescent="0.2">
      <c r="A375" s="29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  <c r="AG375" s="45"/>
      <c r="AH375" s="45"/>
      <c r="AI375" s="45"/>
      <c r="AJ375" s="45"/>
      <c r="AK375" s="45"/>
      <c r="AL375" s="45"/>
      <c r="AM375" s="45"/>
      <c r="AN375" s="45"/>
      <c r="AO375" s="90"/>
      <c r="AP375" s="46"/>
      <c r="AQ375" s="52"/>
      <c r="AR375" s="52"/>
      <c r="AS375" s="52"/>
    </row>
    <row r="376" spans="1:45" x14ac:dyDescent="0.2">
      <c r="A376" s="29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  <c r="AG376" s="45"/>
      <c r="AH376" s="45"/>
      <c r="AI376" s="45"/>
      <c r="AJ376" s="45"/>
      <c r="AK376" s="45"/>
      <c r="AL376" s="45"/>
      <c r="AM376" s="45"/>
      <c r="AN376" s="45"/>
      <c r="AO376" s="90"/>
      <c r="AP376" s="46"/>
      <c r="AQ376" s="52"/>
      <c r="AR376" s="52"/>
      <c r="AS376" s="52"/>
    </row>
    <row r="377" spans="1:45" x14ac:dyDescent="0.2">
      <c r="A377" s="29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  <c r="AG377" s="45"/>
      <c r="AH377" s="45"/>
      <c r="AI377" s="45"/>
      <c r="AJ377" s="45"/>
      <c r="AK377" s="45"/>
      <c r="AL377" s="45"/>
      <c r="AM377" s="45"/>
      <c r="AN377" s="45"/>
      <c r="AO377" s="90"/>
      <c r="AP377" s="46"/>
      <c r="AQ377" s="52"/>
      <c r="AR377" s="52"/>
      <c r="AS377" s="52"/>
    </row>
    <row r="378" spans="1:45" x14ac:dyDescent="0.2">
      <c r="A378" s="29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  <c r="AG378" s="45"/>
      <c r="AH378" s="45"/>
      <c r="AI378" s="45"/>
      <c r="AJ378" s="45"/>
      <c r="AK378" s="45"/>
      <c r="AL378" s="45"/>
      <c r="AM378" s="45"/>
      <c r="AN378" s="45"/>
      <c r="AO378" s="90"/>
      <c r="AP378" s="46"/>
      <c r="AQ378" s="52"/>
      <c r="AR378" s="52"/>
      <c r="AS378" s="52"/>
    </row>
    <row r="379" spans="1:45" x14ac:dyDescent="0.2">
      <c r="A379" s="29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  <c r="AG379" s="45"/>
      <c r="AH379" s="45"/>
      <c r="AI379" s="45"/>
      <c r="AJ379" s="45"/>
      <c r="AK379" s="45"/>
      <c r="AL379" s="45"/>
      <c r="AM379" s="45"/>
      <c r="AN379" s="45"/>
      <c r="AO379" s="90"/>
      <c r="AP379" s="46"/>
      <c r="AQ379" s="52"/>
      <c r="AR379" s="52"/>
      <c r="AS379" s="52"/>
    </row>
    <row r="380" spans="1:45" x14ac:dyDescent="0.2">
      <c r="A380" s="29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  <c r="AG380" s="45"/>
      <c r="AH380" s="45"/>
      <c r="AI380" s="45"/>
      <c r="AJ380" s="45"/>
      <c r="AK380" s="45"/>
      <c r="AL380" s="45"/>
      <c r="AM380" s="45"/>
      <c r="AN380" s="45"/>
      <c r="AO380" s="90"/>
      <c r="AP380" s="46"/>
      <c r="AQ380" s="52"/>
      <c r="AR380" s="52"/>
      <c r="AS380" s="52"/>
    </row>
    <row r="381" spans="1:45" x14ac:dyDescent="0.2">
      <c r="A381" s="29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  <c r="AG381" s="45"/>
      <c r="AH381" s="45"/>
      <c r="AI381" s="45"/>
      <c r="AJ381" s="45"/>
      <c r="AK381" s="45"/>
      <c r="AL381" s="45"/>
      <c r="AM381" s="45"/>
      <c r="AN381" s="45"/>
      <c r="AO381" s="90"/>
      <c r="AP381" s="46"/>
      <c r="AQ381" s="52"/>
      <c r="AR381" s="52"/>
      <c r="AS381" s="52"/>
    </row>
    <row r="382" spans="1:45" x14ac:dyDescent="0.2">
      <c r="A382" s="29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  <c r="AG382" s="45"/>
      <c r="AH382" s="45"/>
      <c r="AI382" s="45"/>
      <c r="AJ382" s="45"/>
      <c r="AK382" s="45"/>
      <c r="AL382" s="45"/>
      <c r="AM382" s="45"/>
      <c r="AN382" s="45"/>
      <c r="AO382" s="90"/>
      <c r="AP382" s="46"/>
      <c r="AQ382" s="52"/>
      <c r="AR382" s="52"/>
      <c r="AS382" s="52"/>
    </row>
    <row r="383" spans="1:45" x14ac:dyDescent="0.2">
      <c r="A383" s="29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  <c r="AG383" s="45"/>
      <c r="AH383" s="45"/>
      <c r="AI383" s="45"/>
      <c r="AJ383" s="45"/>
      <c r="AK383" s="45"/>
      <c r="AL383" s="45"/>
      <c r="AM383" s="45"/>
      <c r="AN383" s="45"/>
      <c r="AO383" s="90"/>
      <c r="AP383" s="46"/>
      <c r="AQ383" s="52"/>
      <c r="AR383" s="52"/>
      <c r="AS383" s="52"/>
    </row>
    <row r="384" spans="1:45" x14ac:dyDescent="0.2">
      <c r="A384" s="29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90"/>
      <c r="AP384" s="46"/>
      <c r="AQ384" s="52"/>
      <c r="AR384" s="52"/>
      <c r="AS384" s="52"/>
    </row>
    <row r="385" spans="1:45" x14ac:dyDescent="0.2">
      <c r="A385" s="29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  <c r="AG385" s="45"/>
      <c r="AH385" s="45"/>
      <c r="AI385" s="45"/>
      <c r="AJ385" s="45"/>
      <c r="AK385" s="45"/>
      <c r="AL385" s="45"/>
      <c r="AM385" s="45"/>
      <c r="AN385" s="45"/>
      <c r="AO385" s="90"/>
      <c r="AP385" s="46"/>
      <c r="AQ385" s="52"/>
      <c r="AR385" s="52"/>
      <c r="AS385" s="52"/>
    </row>
    <row r="386" spans="1:45" x14ac:dyDescent="0.2">
      <c r="A386" s="29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  <c r="AG386" s="45"/>
      <c r="AH386" s="45"/>
      <c r="AI386" s="45"/>
      <c r="AJ386" s="45"/>
      <c r="AK386" s="45"/>
      <c r="AL386" s="45"/>
      <c r="AM386" s="45"/>
      <c r="AN386" s="45"/>
      <c r="AO386" s="90"/>
      <c r="AP386" s="46"/>
      <c r="AQ386" s="52"/>
      <c r="AR386" s="52"/>
      <c r="AS386" s="52"/>
    </row>
    <row r="387" spans="1:45" x14ac:dyDescent="0.2">
      <c r="A387" s="29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  <c r="AG387" s="45"/>
      <c r="AH387" s="45"/>
      <c r="AI387" s="45"/>
      <c r="AJ387" s="45"/>
      <c r="AK387" s="45"/>
      <c r="AL387" s="45"/>
      <c r="AM387" s="45"/>
      <c r="AN387" s="45"/>
      <c r="AO387" s="90"/>
      <c r="AP387" s="46"/>
      <c r="AQ387" s="52"/>
      <c r="AR387" s="52"/>
      <c r="AS387" s="52"/>
    </row>
    <row r="388" spans="1:45" x14ac:dyDescent="0.2">
      <c r="A388" s="29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  <c r="AG388" s="45"/>
      <c r="AH388" s="45"/>
      <c r="AI388" s="45"/>
      <c r="AJ388" s="45"/>
      <c r="AK388" s="45"/>
      <c r="AL388" s="45"/>
      <c r="AM388" s="45"/>
      <c r="AN388" s="45"/>
      <c r="AO388" s="90"/>
      <c r="AP388" s="46"/>
      <c r="AQ388" s="52"/>
      <c r="AR388" s="52"/>
      <c r="AS388" s="52"/>
    </row>
    <row r="389" spans="1:45" x14ac:dyDescent="0.2">
      <c r="A389" s="29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  <c r="AG389" s="45"/>
      <c r="AH389" s="45"/>
      <c r="AI389" s="45"/>
      <c r="AJ389" s="45"/>
      <c r="AK389" s="45"/>
      <c r="AL389" s="45"/>
      <c r="AM389" s="45"/>
      <c r="AN389" s="45"/>
      <c r="AO389" s="90"/>
      <c r="AP389" s="46"/>
      <c r="AQ389" s="52"/>
      <c r="AR389" s="52"/>
      <c r="AS389" s="52"/>
    </row>
    <row r="390" spans="1:45" x14ac:dyDescent="0.2">
      <c r="A390" s="29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  <c r="AG390" s="45"/>
      <c r="AH390" s="45"/>
      <c r="AI390" s="45"/>
      <c r="AJ390" s="45"/>
      <c r="AK390" s="45"/>
      <c r="AL390" s="45"/>
      <c r="AM390" s="45"/>
      <c r="AN390" s="45"/>
      <c r="AO390" s="90"/>
      <c r="AP390" s="46"/>
      <c r="AQ390" s="52"/>
      <c r="AR390" s="52"/>
      <c r="AS390" s="52"/>
    </row>
    <row r="391" spans="1:45" x14ac:dyDescent="0.2">
      <c r="A391" s="29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  <c r="AG391" s="45"/>
      <c r="AH391" s="45"/>
      <c r="AI391" s="45"/>
      <c r="AJ391" s="45"/>
      <c r="AK391" s="45"/>
      <c r="AL391" s="45"/>
      <c r="AM391" s="45"/>
      <c r="AN391" s="45"/>
      <c r="AO391" s="90"/>
      <c r="AP391" s="46"/>
      <c r="AQ391" s="52"/>
      <c r="AR391" s="52"/>
      <c r="AS391" s="52"/>
    </row>
    <row r="392" spans="1:45" x14ac:dyDescent="0.2">
      <c r="A392" s="29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  <c r="AG392" s="45"/>
      <c r="AH392" s="45"/>
      <c r="AI392" s="45"/>
      <c r="AJ392" s="45"/>
      <c r="AK392" s="45"/>
      <c r="AL392" s="45"/>
      <c r="AM392" s="45"/>
      <c r="AN392" s="45"/>
      <c r="AO392" s="90"/>
      <c r="AP392" s="46"/>
      <c r="AQ392" s="52"/>
      <c r="AR392" s="52"/>
      <c r="AS392" s="52"/>
    </row>
    <row r="393" spans="1:45" x14ac:dyDescent="0.2">
      <c r="A393" s="29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  <c r="AG393" s="45"/>
      <c r="AH393" s="45"/>
      <c r="AI393" s="45"/>
      <c r="AJ393" s="45"/>
      <c r="AK393" s="45"/>
      <c r="AL393" s="45"/>
      <c r="AM393" s="45"/>
      <c r="AN393" s="45"/>
      <c r="AO393" s="90"/>
      <c r="AP393" s="46"/>
      <c r="AQ393" s="52"/>
      <c r="AR393" s="52"/>
      <c r="AS393" s="52"/>
    </row>
    <row r="394" spans="1:45" x14ac:dyDescent="0.2">
      <c r="A394" s="29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  <c r="AG394" s="45"/>
      <c r="AH394" s="45"/>
      <c r="AI394" s="45"/>
      <c r="AJ394" s="45"/>
      <c r="AK394" s="45"/>
      <c r="AL394" s="45"/>
      <c r="AM394" s="45"/>
      <c r="AN394" s="45"/>
      <c r="AO394" s="90"/>
      <c r="AP394" s="46"/>
      <c r="AQ394" s="52"/>
      <c r="AR394" s="52"/>
      <c r="AS394" s="52"/>
    </row>
    <row r="395" spans="1:45" x14ac:dyDescent="0.2">
      <c r="A395" s="29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  <c r="AG395" s="45"/>
      <c r="AH395" s="45"/>
      <c r="AI395" s="45"/>
      <c r="AJ395" s="45"/>
      <c r="AK395" s="45"/>
      <c r="AL395" s="45"/>
      <c r="AM395" s="45"/>
      <c r="AN395" s="45"/>
      <c r="AO395" s="90"/>
      <c r="AP395" s="46"/>
      <c r="AQ395" s="52"/>
      <c r="AR395" s="52"/>
      <c r="AS395" s="52"/>
    </row>
    <row r="396" spans="1:45" x14ac:dyDescent="0.2">
      <c r="A396" s="29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  <c r="AG396" s="45"/>
      <c r="AH396" s="45"/>
      <c r="AI396" s="45"/>
      <c r="AJ396" s="45"/>
      <c r="AK396" s="45"/>
      <c r="AL396" s="45"/>
      <c r="AM396" s="45"/>
      <c r="AN396" s="45"/>
      <c r="AO396" s="90"/>
      <c r="AP396" s="46"/>
      <c r="AQ396" s="52"/>
      <c r="AR396" s="52"/>
      <c r="AS396" s="52"/>
    </row>
    <row r="397" spans="1:45" x14ac:dyDescent="0.2">
      <c r="A397" s="29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  <c r="AG397" s="45"/>
      <c r="AH397" s="45"/>
      <c r="AI397" s="45"/>
      <c r="AJ397" s="45"/>
      <c r="AK397" s="45"/>
      <c r="AL397" s="45"/>
      <c r="AM397" s="45"/>
      <c r="AN397" s="45"/>
      <c r="AO397" s="90"/>
      <c r="AP397" s="46"/>
      <c r="AQ397" s="52"/>
      <c r="AR397" s="52"/>
      <c r="AS397" s="52"/>
    </row>
    <row r="398" spans="1:45" x14ac:dyDescent="0.2">
      <c r="A398" s="29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  <c r="AG398" s="45"/>
      <c r="AH398" s="45"/>
      <c r="AI398" s="45"/>
      <c r="AJ398" s="45"/>
      <c r="AK398" s="45"/>
      <c r="AL398" s="45"/>
      <c r="AM398" s="45"/>
      <c r="AN398" s="45"/>
      <c r="AO398" s="90"/>
      <c r="AP398" s="46"/>
      <c r="AQ398" s="52"/>
      <c r="AR398" s="52"/>
      <c r="AS398" s="52"/>
    </row>
    <row r="399" spans="1:45" x14ac:dyDescent="0.2">
      <c r="A399" s="29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  <c r="AG399" s="45"/>
      <c r="AH399" s="45"/>
      <c r="AI399" s="45"/>
      <c r="AJ399" s="45"/>
      <c r="AK399" s="45"/>
      <c r="AL399" s="45"/>
      <c r="AM399" s="45"/>
      <c r="AN399" s="45"/>
      <c r="AO399" s="90"/>
      <c r="AP399" s="46"/>
      <c r="AQ399" s="52"/>
      <c r="AR399" s="52"/>
      <c r="AS399" s="52"/>
    </row>
    <row r="400" spans="1:45" x14ac:dyDescent="0.2">
      <c r="A400" s="29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  <c r="AG400" s="45"/>
      <c r="AH400" s="45"/>
      <c r="AI400" s="45"/>
      <c r="AJ400" s="45"/>
      <c r="AK400" s="45"/>
      <c r="AL400" s="45"/>
      <c r="AM400" s="45"/>
      <c r="AN400" s="45"/>
      <c r="AO400" s="90"/>
      <c r="AP400" s="46"/>
      <c r="AQ400" s="52"/>
      <c r="AR400" s="52"/>
      <c r="AS400" s="52"/>
    </row>
    <row r="401" spans="1:45" x14ac:dyDescent="0.2">
      <c r="A401" s="29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  <c r="AG401" s="45"/>
      <c r="AH401" s="45"/>
      <c r="AI401" s="45"/>
      <c r="AJ401" s="45"/>
      <c r="AK401" s="45"/>
      <c r="AL401" s="45"/>
      <c r="AM401" s="45"/>
      <c r="AN401" s="45"/>
      <c r="AO401" s="90"/>
      <c r="AP401" s="46"/>
      <c r="AQ401" s="52"/>
      <c r="AR401" s="52"/>
      <c r="AS401" s="52"/>
    </row>
    <row r="402" spans="1:45" x14ac:dyDescent="0.2">
      <c r="A402" s="29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  <c r="AG402" s="45"/>
      <c r="AH402" s="45"/>
      <c r="AI402" s="45"/>
      <c r="AJ402" s="45"/>
      <c r="AK402" s="45"/>
      <c r="AL402" s="45"/>
      <c r="AM402" s="45"/>
      <c r="AN402" s="45"/>
      <c r="AO402" s="90"/>
      <c r="AP402" s="46"/>
      <c r="AQ402" s="52"/>
      <c r="AR402" s="52"/>
      <c r="AS402" s="52"/>
    </row>
    <row r="403" spans="1:45" x14ac:dyDescent="0.2">
      <c r="A403" s="29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  <c r="AG403" s="45"/>
      <c r="AH403" s="45"/>
      <c r="AI403" s="45"/>
      <c r="AJ403" s="45"/>
      <c r="AK403" s="45"/>
      <c r="AL403" s="45"/>
      <c r="AM403" s="45"/>
      <c r="AN403" s="45"/>
      <c r="AO403" s="90"/>
      <c r="AP403" s="46"/>
      <c r="AQ403" s="52"/>
      <c r="AR403" s="52"/>
      <c r="AS403" s="52"/>
    </row>
    <row r="404" spans="1:45" x14ac:dyDescent="0.2">
      <c r="A404" s="29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  <c r="AG404" s="45"/>
      <c r="AH404" s="45"/>
      <c r="AI404" s="45"/>
      <c r="AJ404" s="45"/>
      <c r="AK404" s="45"/>
      <c r="AL404" s="45"/>
      <c r="AM404" s="45"/>
      <c r="AN404" s="45"/>
      <c r="AO404" s="90"/>
      <c r="AP404" s="46"/>
      <c r="AQ404" s="52"/>
      <c r="AR404" s="52"/>
      <c r="AS404" s="52"/>
    </row>
    <row r="405" spans="1:45" x14ac:dyDescent="0.2">
      <c r="A405" s="29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  <c r="AG405" s="45"/>
      <c r="AH405" s="45"/>
      <c r="AI405" s="45"/>
      <c r="AJ405" s="45"/>
      <c r="AK405" s="45"/>
      <c r="AL405" s="45"/>
      <c r="AM405" s="45"/>
      <c r="AN405" s="45"/>
      <c r="AO405" s="90"/>
      <c r="AP405" s="46"/>
      <c r="AQ405" s="52"/>
      <c r="AR405" s="52"/>
      <c r="AS405" s="52"/>
    </row>
    <row r="406" spans="1:45" x14ac:dyDescent="0.2">
      <c r="A406" s="29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  <c r="AG406" s="45"/>
      <c r="AH406" s="45"/>
      <c r="AI406" s="45"/>
      <c r="AJ406" s="45"/>
      <c r="AK406" s="45"/>
      <c r="AL406" s="45"/>
      <c r="AM406" s="45"/>
      <c r="AN406" s="45"/>
      <c r="AO406" s="90"/>
      <c r="AP406" s="46"/>
      <c r="AQ406" s="52"/>
      <c r="AR406" s="52"/>
      <c r="AS406" s="52"/>
    </row>
    <row r="407" spans="1:45" x14ac:dyDescent="0.2">
      <c r="A407" s="29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  <c r="AG407" s="45"/>
      <c r="AH407" s="45"/>
      <c r="AI407" s="45"/>
      <c r="AJ407" s="45"/>
      <c r="AK407" s="45"/>
      <c r="AL407" s="45"/>
      <c r="AM407" s="45"/>
      <c r="AN407" s="45"/>
      <c r="AO407" s="90"/>
      <c r="AP407" s="46"/>
      <c r="AQ407" s="52"/>
      <c r="AR407" s="52"/>
      <c r="AS407" s="52"/>
    </row>
    <row r="408" spans="1:45" x14ac:dyDescent="0.2">
      <c r="A408" s="29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  <c r="AG408" s="45"/>
      <c r="AH408" s="45"/>
      <c r="AI408" s="45"/>
      <c r="AJ408" s="45"/>
      <c r="AK408" s="45"/>
      <c r="AL408" s="45"/>
      <c r="AM408" s="45"/>
      <c r="AN408" s="45"/>
      <c r="AO408" s="90"/>
      <c r="AP408" s="46"/>
      <c r="AQ408" s="52"/>
      <c r="AR408" s="52"/>
      <c r="AS408" s="52"/>
    </row>
    <row r="409" spans="1:45" x14ac:dyDescent="0.2">
      <c r="A409" s="29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  <c r="AG409" s="45"/>
      <c r="AH409" s="45"/>
      <c r="AI409" s="45"/>
      <c r="AJ409" s="45"/>
      <c r="AK409" s="45"/>
      <c r="AL409" s="45"/>
      <c r="AM409" s="45"/>
      <c r="AN409" s="45"/>
      <c r="AO409" s="90"/>
      <c r="AP409" s="46"/>
      <c r="AQ409" s="52"/>
      <c r="AR409" s="52"/>
      <c r="AS409" s="52"/>
    </row>
    <row r="410" spans="1:45" x14ac:dyDescent="0.2">
      <c r="A410" s="29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  <c r="AG410" s="45"/>
      <c r="AH410" s="45"/>
      <c r="AI410" s="45"/>
      <c r="AJ410" s="45"/>
      <c r="AK410" s="45"/>
      <c r="AL410" s="45"/>
      <c r="AM410" s="45"/>
      <c r="AN410" s="45"/>
      <c r="AO410" s="90"/>
      <c r="AP410" s="46"/>
      <c r="AQ410" s="52"/>
      <c r="AR410" s="52"/>
      <c r="AS410" s="52"/>
    </row>
    <row r="411" spans="1:45" x14ac:dyDescent="0.2">
      <c r="A411" s="29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  <c r="AG411" s="45"/>
      <c r="AH411" s="45"/>
      <c r="AI411" s="45"/>
      <c r="AJ411" s="45"/>
      <c r="AK411" s="45"/>
      <c r="AL411" s="45"/>
      <c r="AM411" s="45"/>
      <c r="AN411" s="45"/>
      <c r="AO411" s="90"/>
      <c r="AP411" s="46"/>
      <c r="AQ411" s="52"/>
      <c r="AR411" s="52"/>
      <c r="AS411" s="52"/>
    </row>
    <row r="412" spans="1:45" x14ac:dyDescent="0.2">
      <c r="A412" s="29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  <c r="AG412" s="45"/>
      <c r="AH412" s="45"/>
      <c r="AI412" s="45"/>
      <c r="AJ412" s="45"/>
      <c r="AK412" s="45"/>
      <c r="AL412" s="45"/>
      <c r="AM412" s="45"/>
      <c r="AN412" s="45"/>
      <c r="AO412" s="90"/>
      <c r="AP412" s="46"/>
      <c r="AQ412" s="52"/>
      <c r="AR412" s="52"/>
      <c r="AS412" s="52"/>
    </row>
    <row r="413" spans="1:45" x14ac:dyDescent="0.2">
      <c r="A413" s="29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  <c r="AG413" s="45"/>
      <c r="AH413" s="45"/>
      <c r="AI413" s="45"/>
      <c r="AJ413" s="45"/>
      <c r="AK413" s="45"/>
      <c r="AL413" s="45"/>
      <c r="AM413" s="45"/>
      <c r="AN413" s="45"/>
      <c r="AO413" s="90"/>
      <c r="AP413" s="46"/>
      <c r="AQ413" s="52"/>
      <c r="AR413" s="52"/>
      <c r="AS413" s="52"/>
    </row>
    <row r="414" spans="1:45" x14ac:dyDescent="0.2">
      <c r="A414" s="29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  <c r="AG414" s="45"/>
      <c r="AH414" s="45"/>
      <c r="AI414" s="45"/>
      <c r="AJ414" s="45"/>
      <c r="AK414" s="45"/>
      <c r="AL414" s="45"/>
      <c r="AM414" s="45"/>
      <c r="AN414" s="45"/>
      <c r="AO414" s="90"/>
      <c r="AP414" s="46"/>
      <c r="AQ414" s="52"/>
      <c r="AR414" s="52"/>
      <c r="AS414" s="52"/>
    </row>
    <row r="415" spans="1:45" x14ac:dyDescent="0.2">
      <c r="A415" s="29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  <c r="AG415" s="45"/>
      <c r="AH415" s="45"/>
      <c r="AI415" s="45"/>
      <c r="AJ415" s="45"/>
      <c r="AK415" s="45"/>
      <c r="AL415" s="45"/>
      <c r="AM415" s="45"/>
      <c r="AN415" s="45"/>
      <c r="AO415" s="90"/>
      <c r="AP415" s="46"/>
      <c r="AQ415" s="52"/>
      <c r="AR415" s="52"/>
      <c r="AS415" s="52"/>
    </row>
    <row r="416" spans="1:45" x14ac:dyDescent="0.2">
      <c r="A416" s="29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  <c r="AG416" s="45"/>
      <c r="AH416" s="45"/>
      <c r="AI416" s="45"/>
      <c r="AJ416" s="45"/>
      <c r="AK416" s="45"/>
      <c r="AL416" s="45"/>
      <c r="AM416" s="45"/>
      <c r="AN416" s="45"/>
      <c r="AO416" s="90"/>
      <c r="AP416" s="46"/>
      <c r="AQ416" s="52"/>
      <c r="AR416" s="52"/>
      <c r="AS416" s="52"/>
    </row>
    <row r="417" spans="1:45" x14ac:dyDescent="0.2">
      <c r="A417" s="29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  <c r="AG417" s="45"/>
      <c r="AH417" s="45"/>
      <c r="AI417" s="45"/>
      <c r="AJ417" s="45"/>
      <c r="AK417" s="45"/>
      <c r="AL417" s="45"/>
      <c r="AM417" s="45"/>
      <c r="AN417" s="45"/>
      <c r="AO417" s="90"/>
      <c r="AP417" s="46"/>
      <c r="AQ417" s="52"/>
      <c r="AR417" s="52"/>
      <c r="AS417" s="52"/>
    </row>
    <row r="418" spans="1:45" x14ac:dyDescent="0.2">
      <c r="A418" s="29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  <c r="AG418" s="45"/>
      <c r="AH418" s="45"/>
      <c r="AI418" s="45"/>
      <c r="AJ418" s="45"/>
      <c r="AK418" s="45"/>
      <c r="AL418" s="45"/>
      <c r="AM418" s="45"/>
      <c r="AN418" s="45"/>
      <c r="AO418" s="90"/>
      <c r="AP418" s="46"/>
      <c r="AQ418" s="52"/>
      <c r="AR418" s="52"/>
      <c r="AS418" s="52"/>
    </row>
    <row r="419" spans="1:45" x14ac:dyDescent="0.2">
      <c r="A419" s="29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  <c r="AG419" s="45"/>
      <c r="AH419" s="45"/>
      <c r="AI419" s="45"/>
      <c r="AJ419" s="45"/>
      <c r="AK419" s="45"/>
      <c r="AL419" s="45"/>
      <c r="AM419" s="45"/>
      <c r="AN419" s="45"/>
      <c r="AO419" s="90"/>
      <c r="AP419" s="46"/>
      <c r="AQ419" s="52"/>
      <c r="AR419" s="52"/>
      <c r="AS419" s="52"/>
    </row>
    <row r="420" spans="1:45" x14ac:dyDescent="0.2">
      <c r="A420" s="29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  <c r="AG420" s="45"/>
      <c r="AH420" s="45"/>
      <c r="AI420" s="45"/>
      <c r="AJ420" s="45"/>
      <c r="AK420" s="45"/>
      <c r="AL420" s="45"/>
      <c r="AM420" s="45"/>
      <c r="AN420" s="45"/>
      <c r="AO420" s="90"/>
      <c r="AP420" s="46"/>
      <c r="AQ420" s="52"/>
      <c r="AR420" s="52"/>
      <c r="AS420" s="52"/>
    </row>
    <row r="421" spans="1:45" x14ac:dyDescent="0.2">
      <c r="A421" s="29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  <c r="AG421" s="45"/>
      <c r="AH421" s="45"/>
      <c r="AI421" s="45"/>
      <c r="AJ421" s="45"/>
      <c r="AK421" s="45"/>
      <c r="AL421" s="45"/>
      <c r="AM421" s="45"/>
      <c r="AN421" s="45"/>
      <c r="AO421" s="90"/>
      <c r="AP421" s="46"/>
      <c r="AQ421" s="52"/>
      <c r="AR421" s="52"/>
      <c r="AS421" s="52"/>
    </row>
    <row r="422" spans="1:45" x14ac:dyDescent="0.2">
      <c r="A422" s="29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  <c r="AG422" s="45"/>
      <c r="AH422" s="45"/>
      <c r="AI422" s="45"/>
      <c r="AJ422" s="45"/>
      <c r="AK422" s="45"/>
      <c r="AL422" s="45"/>
      <c r="AM422" s="45"/>
      <c r="AN422" s="45"/>
      <c r="AO422" s="90"/>
      <c r="AP422" s="46"/>
      <c r="AQ422" s="52"/>
      <c r="AR422" s="52"/>
      <c r="AS422" s="52"/>
    </row>
    <row r="423" spans="1:45" x14ac:dyDescent="0.2">
      <c r="A423" s="29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  <c r="AG423" s="45"/>
      <c r="AH423" s="45"/>
      <c r="AI423" s="45"/>
      <c r="AJ423" s="45"/>
      <c r="AK423" s="45"/>
      <c r="AL423" s="45"/>
      <c r="AM423" s="45"/>
      <c r="AN423" s="45"/>
      <c r="AO423" s="90"/>
      <c r="AP423" s="46"/>
      <c r="AQ423" s="52"/>
      <c r="AR423" s="52"/>
      <c r="AS423" s="52"/>
    </row>
    <row r="424" spans="1:45" x14ac:dyDescent="0.2">
      <c r="A424" s="29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  <c r="AG424" s="45"/>
      <c r="AH424" s="45"/>
      <c r="AI424" s="45"/>
      <c r="AJ424" s="45"/>
      <c r="AK424" s="45"/>
      <c r="AL424" s="45"/>
      <c r="AM424" s="45"/>
      <c r="AN424" s="45"/>
      <c r="AO424" s="90"/>
      <c r="AP424" s="46"/>
      <c r="AQ424" s="52"/>
      <c r="AR424" s="52"/>
      <c r="AS424" s="52"/>
    </row>
    <row r="425" spans="1:45" x14ac:dyDescent="0.2">
      <c r="A425" s="29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  <c r="AG425" s="45"/>
      <c r="AH425" s="45"/>
      <c r="AI425" s="45"/>
      <c r="AJ425" s="45"/>
      <c r="AK425" s="45"/>
      <c r="AL425" s="45"/>
      <c r="AM425" s="45"/>
      <c r="AN425" s="45"/>
      <c r="AO425" s="90"/>
      <c r="AP425" s="46"/>
      <c r="AQ425" s="52"/>
      <c r="AR425" s="52"/>
      <c r="AS425" s="52"/>
    </row>
    <row r="426" spans="1:45" x14ac:dyDescent="0.2">
      <c r="A426" s="29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  <c r="AG426" s="45"/>
      <c r="AH426" s="45"/>
      <c r="AI426" s="45"/>
      <c r="AJ426" s="45"/>
      <c r="AK426" s="45"/>
      <c r="AL426" s="45"/>
      <c r="AM426" s="45"/>
      <c r="AN426" s="45"/>
      <c r="AO426" s="90"/>
      <c r="AP426" s="46"/>
      <c r="AQ426" s="52"/>
      <c r="AR426" s="52"/>
      <c r="AS426" s="52"/>
    </row>
    <row r="427" spans="1:45" x14ac:dyDescent="0.2">
      <c r="A427" s="29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  <c r="AG427" s="45"/>
      <c r="AH427" s="45"/>
      <c r="AI427" s="45"/>
      <c r="AJ427" s="45"/>
      <c r="AK427" s="45"/>
      <c r="AL427" s="45"/>
      <c r="AM427" s="45"/>
      <c r="AN427" s="45"/>
      <c r="AO427" s="90"/>
      <c r="AP427" s="46"/>
      <c r="AQ427" s="52"/>
      <c r="AR427" s="52"/>
      <c r="AS427" s="52"/>
    </row>
    <row r="428" spans="1:45" x14ac:dyDescent="0.2">
      <c r="A428" s="29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  <c r="AG428" s="45"/>
      <c r="AH428" s="45"/>
      <c r="AI428" s="45"/>
      <c r="AJ428" s="45"/>
      <c r="AK428" s="45"/>
      <c r="AL428" s="45"/>
      <c r="AM428" s="45"/>
      <c r="AN428" s="45"/>
      <c r="AO428" s="90"/>
      <c r="AP428" s="46"/>
      <c r="AQ428" s="52"/>
      <c r="AR428" s="52"/>
      <c r="AS428" s="52"/>
    </row>
    <row r="429" spans="1:45" x14ac:dyDescent="0.2">
      <c r="A429" s="29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  <c r="AG429" s="45"/>
      <c r="AH429" s="45"/>
      <c r="AI429" s="45"/>
      <c r="AJ429" s="45"/>
      <c r="AK429" s="45"/>
      <c r="AL429" s="45"/>
      <c r="AM429" s="45"/>
      <c r="AN429" s="45"/>
      <c r="AO429" s="90"/>
      <c r="AP429" s="46"/>
      <c r="AQ429" s="52"/>
      <c r="AR429" s="52"/>
      <c r="AS429" s="52"/>
    </row>
    <row r="430" spans="1:45" x14ac:dyDescent="0.2">
      <c r="A430" s="29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  <c r="AG430" s="45"/>
      <c r="AH430" s="45"/>
      <c r="AI430" s="45"/>
      <c r="AJ430" s="45"/>
      <c r="AK430" s="45"/>
      <c r="AL430" s="45"/>
      <c r="AM430" s="45"/>
      <c r="AN430" s="45"/>
      <c r="AO430" s="90"/>
      <c r="AP430" s="46"/>
      <c r="AQ430" s="52"/>
      <c r="AR430" s="52"/>
      <c r="AS430" s="52"/>
    </row>
    <row r="431" spans="1:45" x14ac:dyDescent="0.2">
      <c r="A431" s="29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  <c r="AG431" s="45"/>
      <c r="AH431" s="45"/>
      <c r="AI431" s="45"/>
      <c r="AJ431" s="45"/>
      <c r="AK431" s="45"/>
      <c r="AL431" s="45"/>
      <c r="AM431" s="45"/>
      <c r="AN431" s="45"/>
      <c r="AO431" s="90"/>
      <c r="AP431" s="46"/>
      <c r="AQ431" s="52"/>
      <c r="AR431" s="52"/>
      <c r="AS431" s="52"/>
    </row>
    <row r="432" spans="1:45" x14ac:dyDescent="0.2">
      <c r="A432" s="29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  <c r="AG432" s="45"/>
      <c r="AH432" s="45"/>
      <c r="AI432" s="45"/>
      <c r="AJ432" s="45"/>
      <c r="AK432" s="45"/>
      <c r="AL432" s="45"/>
      <c r="AM432" s="45"/>
      <c r="AN432" s="45"/>
      <c r="AO432" s="90"/>
      <c r="AP432" s="46"/>
      <c r="AQ432" s="52"/>
      <c r="AR432" s="52"/>
      <c r="AS432" s="52"/>
    </row>
    <row r="433" spans="1:45" x14ac:dyDescent="0.2">
      <c r="A433" s="29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  <c r="AG433" s="45"/>
      <c r="AH433" s="45"/>
      <c r="AI433" s="45"/>
      <c r="AJ433" s="45"/>
      <c r="AK433" s="45"/>
      <c r="AL433" s="45"/>
      <c r="AM433" s="45"/>
      <c r="AN433" s="45"/>
      <c r="AO433" s="90"/>
      <c r="AP433" s="46"/>
      <c r="AQ433" s="52"/>
      <c r="AR433" s="52"/>
      <c r="AS433" s="52"/>
    </row>
    <row r="434" spans="1:45" x14ac:dyDescent="0.2">
      <c r="A434" s="29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  <c r="AG434" s="45"/>
      <c r="AH434" s="45"/>
      <c r="AI434" s="45"/>
      <c r="AJ434" s="45"/>
      <c r="AK434" s="45"/>
      <c r="AL434" s="45"/>
      <c r="AM434" s="45"/>
      <c r="AN434" s="45"/>
      <c r="AO434" s="90"/>
      <c r="AP434" s="46"/>
      <c r="AQ434" s="52"/>
      <c r="AR434" s="52"/>
      <c r="AS434" s="52"/>
    </row>
    <row r="435" spans="1:45" x14ac:dyDescent="0.2">
      <c r="A435" s="29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  <c r="AG435" s="45"/>
      <c r="AH435" s="45"/>
      <c r="AI435" s="45"/>
      <c r="AJ435" s="45"/>
      <c r="AK435" s="45"/>
      <c r="AL435" s="45"/>
      <c r="AM435" s="45"/>
      <c r="AN435" s="45"/>
      <c r="AO435" s="90"/>
      <c r="AP435" s="46"/>
      <c r="AQ435" s="52"/>
      <c r="AR435" s="52"/>
      <c r="AS435" s="52"/>
    </row>
    <row r="436" spans="1:45" x14ac:dyDescent="0.2">
      <c r="A436" s="29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  <c r="AG436" s="45"/>
      <c r="AH436" s="45"/>
      <c r="AI436" s="45"/>
      <c r="AJ436" s="45"/>
      <c r="AK436" s="45"/>
      <c r="AL436" s="45"/>
      <c r="AM436" s="45"/>
      <c r="AN436" s="45"/>
      <c r="AO436" s="90"/>
      <c r="AP436" s="46"/>
      <c r="AQ436" s="52"/>
      <c r="AR436" s="52"/>
      <c r="AS436" s="52"/>
    </row>
    <row r="437" spans="1:45" x14ac:dyDescent="0.2">
      <c r="A437" s="29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  <c r="AG437" s="45"/>
      <c r="AH437" s="45"/>
      <c r="AI437" s="45"/>
      <c r="AJ437" s="45"/>
      <c r="AK437" s="45"/>
      <c r="AL437" s="45"/>
      <c r="AM437" s="45"/>
      <c r="AN437" s="45"/>
      <c r="AO437" s="90"/>
      <c r="AP437" s="46"/>
      <c r="AQ437" s="52"/>
      <c r="AR437" s="52"/>
      <c r="AS437" s="52"/>
    </row>
    <row r="438" spans="1:45" x14ac:dyDescent="0.2">
      <c r="A438" s="29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  <c r="AG438" s="45"/>
      <c r="AH438" s="45"/>
      <c r="AI438" s="45"/>
      <c r="AJ438" s="45"/>
      <c r="AK438" s="45"/>
      <c r="AL438" s="45"/>
      <c r="AM438" s="45"/>
      <c r="AN438" s="45"/>
      <c r="AO438" s="90"/>
      <c r="AP438" s="46"/>
      <c r="AQ438" s="52"/>
      <c r="AR438" s="52"/>
      <c r="AS438" s="52"/>
    </row>
    <row r="439" spans="1:45" x14ac:dyDescent="0.2">
      <c r="A439" s="29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  <c r="AG439" s="45"/>
      <c r="AH439" s="45"/>
      <c r="AI439" s="45"/>
      <c r="AJ439" s="45"/>
      <c r="AK439" s="45"/>
      <c r="AL439" s="45"/>
      <c r="AM439" s="45"/>
      <c r="AN439" s="45"/>
      <c r="AO439" s="90"/>
      <c r="AP439" s="46"/>
      <c r="AQ439" s="52"/>
      <c r="AR439" s="52"/>
      <c r="AS439" s="52"/>
    </row>
    <row r="440" spans="1:45" x14ac:dyDescent="0.2">
      <c r="A440" s="29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  <c r="AG440" s="45"/>
      <c r="AH440" s="45"/>
      <c r="AI440" s="45"/>
      <c r="AJ440" s="45"/>
      <c r="AK440" s="45"/>
      <c r="AL440" s="45"/>
      <c r="AM440" s="45"/>
      <c r="AN440" s="45"/>
      <c r="AO440" s="90"/>
      <c r="AP440" s="46"/>
      <c r="AQ440" s="52"/>
      <c r="AR440" s="52"/>
      <c r="AS440" s="52"/>
    </row>
    <row r="441" spans="1:45" x14ac:dyDescent="0.2">
      <c r="A441" s="29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  <c r="AG441" s="45"/>
      <c r="AH441" s="45"/>
      <c r="AI441" s="45"/>
      <c r="AJ441" s="45"/>
      <c r="AK441" s="45"/>
      <c r="AL441" s="45"/>
      <c r="AM441" s="45"/>
      <c r="AN441" s="45"/>
      <c r="AO441" s="90"/>
      <c r="AP441" s="46"/>
      <c r="AQ441" s="52"/>
      <c r="AR441" s="52"/>
      <c r="AS441" s="52"/>
    </row>
    <row r="442" spans="1:45" x14ac:dyDescent="0.2">
      <c r="A442" s="29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  <c r="AG442" s="45"/>
      <c r="AH442" s="45"/>
      <c r="AI442" s="45"/>
      <c r="AJ442" s="45"/>
      <c r="AK442" s="45"/>
      <c r="AL442" s="45"/>
      <c r="AM442" s="45"/>
      <c r="AN442" s="45"/>
      <c r="AO442" s="90"/>
      <c r="AP442" s="46"/>
      <c r="AQ442" s="52"/>
      <c r="AR442" s="52"/>
      <c r="AS442" s="52"/>
    </row>
    <row r="443" spans="1:45" x14ac:dyDescent="0.2">
      <c r="A443" s="29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  <c r="AG443" s="45"/>
      <c r="AH443" s="45"/>
      <c r="AI443" s="45"/>
      <c r="AJ443" s="45"/>
      <c r="AK443" s="45"/>
      <c r="AL443" s="45"/>
      <c r="AM443" s="45"/>
      <c r="AN443" s="45"/>
      <c r="AO443" s="90"/>
      <c r="AP443" s="46"/>
      <c r="AQ443" s="52"/>
      <c r="AR443" s="52"/>
      <c r="AS443" s="52"/>
    </row>
    <row r="444" spans="1:45" x14ac:dyDescent="0.2">
      <c r="A444" s="29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  <c r="AG444" s="45"/>
      <c r="AH444" s="45"/>
      <c r="AI444" s="45"/>
      <c r="AJ444" s="45"/>
      <c r="AK444" s="45"/>
      <c r="AL444" s="45"/>
      <c r="AM444" s="45"/>
      <c r="AN444" s="45"/>
      <c r="AO444" s="90"/>
      <c r="AP444" s="46"/>
      <c r="AQ444" s="52"/>
      <c r="AR444" s="52"/>
      <c r="AS444" s="52"/>
    </row>
    <row r="445" spans="1:45" x14ac:dyDescent="0.2">
      <c r="A445" s="29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  <c r="AG445" s="45"/>
      <c r="AH445" s="45"/>
      <c r="AI445" s="45"/>
      <c r="AJ445" s="45"/>
      <c r="AK445" s="45"/>
      <c r="AL445" s="45"/>
      <c r="AM445" s="45"/>
      <c r="AN445" s="45"/>
      <c r="AO445" s="90"/>
      <c r="AP445" s="46"/>
      <c r="AQ445" s="52"/>
      <c r="AR445" s="52"/>
      <c r="AS445" s="52"/>
    </row>
    <row r="446" spans="1:45" x14ac:dyDescent="0.2">
      <c r="A446" s="29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  <c r="AG446" s="45"/>
      <c r="AH446" s="45"/>
      <c r="AI446" s="45"/>
      <c r="AJ446" s="45"/>
      <c r="AK446" s="45"/>
      <c r="AL446" s="45"/>
      <c r="AM446" s="45"/>
      <c r="AN446" s="45"/>
      <c r="AO446" s="90"/>
      <c r="AP446" s="46"/>
      <c r="AQ446" s="52"/>
      <c r="AR446" s="52"/>
      <c r="AS446" s="52"/>
    </row>
    <row r="447" spans="1:45" x14ac:dyDescent="0.2">
      <c r="A447" s="29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  <c r="AG447" s="45"/>
      <c r="AH447" s="45"/>
      <c r="AI447" s="45"/>
      <c r="AJ447" s="45"/>
      <c r="AK447" s="45"/>
      <c r="AL447" s="45"/>
      <c r="AM447" s="45"/>
      <c r="AN447" s="45"/>
      <c r="AO447" s="90"/>
      <c r="AP447" s="46"/>
      <c r="AQ447" s="52"/>
      <c r="AR447" s="52"/>
      <c r="AS447" s="52"/>
    </row>
    <row r="448" spans="1:45" x14ac:dyDescent="0.2">
      <c r="A448" s="29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  <c r="AG448" s="45"/>
      <c r="AH448" s="45"/>
      <c r="AI448" s="45"/>
      <c r="AJ448" s="45"/>
      <c r="AK448" s="45"/>
      <c r="AL448" s="45"/>
      <c r="AM448" s="45"/>
      <c r="AN448" s="45"/>
      <c r="AO448" s="90"/>
      <c r="AP448" s="46"/>
      <c r="AQ448" s="52"/>
      <c r="AR448" s="52"/>
      <c r="AS448" s="52"/>
    </row>
    <row r="449" spans="1:45" x14ac:dyDescent="0.2">
      <c r="A449" s="29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  <c r="AG449" s="45"/>
      <c r="AH449" s="45"/>
      <c r="AI449" s="45"/>
      <c r="AJ449" s="45"/>
      <c r="AK449" s="45"/>
      <c r="AL449" s="45"/>
      <c r="AM449" s="45"/>
      <c r="AN449" s="45"/>
      <c r="AO449" s="90"/>
      <c r="AP449" s="46"/>
      <c r="AQ449" s="52"/>
      <c r="AR449" s="52"/>
      <c r="AS449" s="52"/>
    </row>
    <row r="450" spans="1:45" x14ac:dyDescent="0.2">
      <c r="A450" s="29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  <c r="AG450" s="45"/>
      <c r="AH450" s="45"/>
      <c r="AI450" s="45"/>
      <c r="AJ450" s="45"/>
      <c r="AK450" s="45"/>
      <c r="AL450" s="45"/>
      <c r="AM450" s="45"/>
      <c r="AN450" s="45"/>
      <c r="AO450" s="90"/>
      <c r="AP450" s="46"/>
      <c r="AQ450" s="52"/>
      <c r="AR450" s="52"/>
      <c r="AS450" s="52"/>
    </row>
    <row r="451" spans="1:45" x14ac:dyDescent="0.2">
      <c r="A451" s="29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  <c r="AG451" s="45"/>
      <c r="AH451" s="45"/>
      <c r="AI451" s="45"/>
      <c r="AJ451" s="45"/>
      <c r="AK451" s="45"/>
      <c r="AL451" s="45"/>
      <c r="AM451" s="45"/>
      <c r="AN451" s="45"/>
      <c r="AO451" s="90"/>
      <c r="AP451" s="46"/>
      <c r="AQ451" s="52"/>
      <c r="AR451" s="52"/>
      <c r="AS451" s="52"/>
    </row>
    <row r="452" spans="1:45" x14ac:dyDescent="0.2">
      <c r="A452" s="29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  <c r="AG452" s="45"/>
      <c r="AH452" s="45"/>
      <c r="AI452" s="45"/>
      <c r="AJ452" s="45"/>
      <c r="AK452" s="45"/>
      <c r="AL452" s="45"/>
      <c r="AM452" s="45"/>
      <c r="AN452" s="45"/>
      <c r="AO452" s="90"/>
      <c r="AP452" s="46"/>
      <c r="AQ452" s="52"/>
      <c r="AR452" s="52"/>
      <c r="AS452" s="52"/>
    </row>
    <row r="453" spans="1:45" x14ac:dyDescent="0.2">
      <c r="A453" s="29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  <c r="AG453" s="45"/>
      <c r="AH453" s="45"/>
      <c r="AI453" s="45"/>
      <c r="AJ453" s="45"/>
      <c r="AK453" s="45"/>
      <c r="AL453" s="45"/>
      <c r="AM453" s="45"/>
      <c r="AN453" s="45"/>
      <c r="AO453" s="90"/>
      <c r="AP453" s="46"/>
      <c r="AQ453" s="52"/>
      <c r="AR453" s="52"/>
      <c r="AS453" s="52"/>
    </row>
    <row r="454" spans="1:45" x14ac:dyDescent="0.2">
      <c r="A454" s="29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  <c r="AG454" s="45"/>
      <c r="AH454" s="45"/>
      <c r="AI454" s="45"/>
      <c r="AJ454" s="45"/>
      <c r="AK454" s="45"/>
      <c r="AL454" s="45"/>
      <c r="AM454" s="45"/>
      <c r="AN454" s="45"/>
      <c r="AO454" s="90"/>
      <c r="AP454" s="46"/>
      <c r="AQ454" s="52"/>
      <c r="AR454" s="52"/>
      <c r="AS454" s="52"/>
    </row>
    <row r="455" spans="1:45" x14ac:dyDescent="0.2">
      <c r="A455" s="29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  <c r="AG455" s="45"/>
      <c r="AH455" s="45"/>
      <c r="AI455" s="45"/>
      <c r="AJ455" s="45"/>
      <c r="AK455" s="45"/>
      <c r="AL455" s="45"/>
      <c r="AM455" s="45"/>
      <c r="AN455" s="45"/>
      <c r="AO455" s="90"/>
      <c r="AP455" s="46"/>
      <c r="AQ455" s="52"/>
      <c r="AR455" s="52"/>
      <c r="AS455" s="52"/>
    </row>
    <row r="456" spans="1:45" x14ac:dyDescent="0.2">
      <c r="A456" s="29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  <c r="AG456" s="45"/>
      <c r="AH456" s="45"/>
      <c r="AI456" s="45"/>
      <c r="AJ456" s="45"/>
      <c r="AK456" s="45"/>
      <c r="AL456" s="45"/>
      <c r="AM456" s="45"/>
      <c r="AN456" s="45"/>
      <c r="AO456" s="90"/>
      <c r="AP456" s="46"/>
      <c r="AQ456" s="52"/>
      <c r="AR456" s="52"/>
      <c r="AS456" s="52"/>
    </row>
    <row r="457" spans="1:45" x14ac:dyDescent="0.2">
      <c r="A457" s="29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  <c r="AG457" s="45"/>
      <c r="AH457" s="45"/>
      <c r="AI457" s="45"/>
      <c r="AJ457" s="45"/>
      <c r="AK457" s="45"/>
      <c r="AL457" s="45"/>
      <c r="AM457" s="45"/>
      <c r="AN457" s="45"/>
      <c r="AO457" s="90"/>
      <c r="AP457" s="46"/>
      <c r="AQ457" s="52"/>
      <c r="AR457" s="52"/>
      <c r="AS457" s="52"/>
    </row>
    <row r="458" spans="1:45" x14ac:dyDescent="0.2">
      <c r="A458" s="29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  <c r="AG458" s="45"/>
      <c r="AH458" s="45"/>
      <c r="AI458" s="45"/>
      <c r="AJ458" s="45"/>
      <c r="AK458" s="45"/>
      <c r="AL458" s="45"/>
      <c r="AM458" s="45"/>
      <c r="AN458" s="45"/>
      <c r="AO458" s="90"/>
      <c r="AP458" s="46"/>
      <c r="AQ458" s="52"/>
      <c r="AR458" s="52"/>
      <c r="AS458" s="52"/>
    </row>
    <row r="459" spans="1:45" x14ac:dyDescent="0.2">
      <c r="A459" s="29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  <c r="AG459" s="45"/>
      <c r="AH459" s="45"/>
      <c r="AI459" s="45"/>
      <c r="AJ459" s="45"/>
      <c r="AK459" s="45"/>
      <c r="AL459" s="45"/>
      <c r="AM459" s="45"/>
      <c r="AN459" s="45"/>
      <c r="AO459" s="90"/>
      <c r="AP459" s="46"/>
      <c r="AQ459" s="52"/>
      <c r="AR459" s="52"/>
      <c r="AS459" s="52"/>
    </row>
    <row r="460" spans="1:45" x14ac:dyDescent="0.2">
      <c r="A460" s="29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  <c r="AG460" s="45"/>
      <c r="AH460" s="45"/>
      <c r="AI460" s="45"/>
      <c r="AJ460" s="45"/>
      <c r="AK460" s="45"/>
      <c r="AL460" s="45"/>
      <c r="AM460" s="45"/>
      <c r="AN460" s="45"/>
      <c r="AO460" s="90"/>
      <c r="AP460" s="46"/>
      <c r="AQ460" s="52"/>
      <c r="AR460" s="52"/>
      <c r="AS460" s="52"/>
    </row>
    <row r="461" spans="1:45" x14ac:dyDescent="0.2">
      <c r="A461" s="29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  <c r="AG461" s="45"/>
      <c r="AH461" s="45"/>
      <c r="AI461" s="45"/>
      <c r="AJ461" s="45"/>
      <c r="AK461" s="45"/>
      <c r="AL461" s="45"/>
      <c r="AM461" s="45"/>
      <c r="AN461" s="45"/>
      <c r="AO461" s="90"/>
      <c r="AP461" s="46"/>
      <c r="AQ461" s="52"/>
      <c r="AR461" s="52"/>
      <c r="AS461" s="52"/>
    </row>
    <row r="462" spans="1:45" x14ac:dyDescent="0.2">
      <c r="A462" s="29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  <c r="AG462" s="45"/>
      <c r="AH462" s="45"/>
      <c r="AI462" s="45"/>
      <c r="AJ462" s="45"/>
      <c r="AK462" s="45"/>
      <c r="AL462" s="45"/>
      <c r="AM462" s="45"/>
      <c r="AN462" s="45"/>
      <c r="AO462" s="90"/>
      <c r="AP462" s="46"/>
      <c r="AQ462" s="52"/>
      <c r="AR462" s="52"/>
      <c r="AS462" s="52"/>
    </row>
    <row r="463" spans="1:45" x14ac:dyDescent="0.2">
      <c r="A463" s="29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  <c r="AG463" s="45"/>
      <c r="AH463" s="45"/>
      <c r="AI463" s="45"/>
      <c r="AJ463" s="45"/>
      <c r="AK463" s="45"/>
      <c r="AL463" s="45"/>
      <c r="AM463" s="45"/>
      <c r="AN463" s="45"/>
      <c r="AO463" s="90"/>
      <c r="AP463" s="46"/>
      <c r="AQ463" s="52"/>
      <c r="AR463" s="52"/>
      <c r="AS463" s="52"/>
    </row>
    <row r="464" spans="1:45" x14ac:dyDescent="0.2">
      <c r="A464" s="29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  <c r="AG464" s="45"/>
      <c r="AH464" s="45"/>
      <c r="AI464" s="45"/>
      <c r="AJ464" s="45"/>
      <c r="AK464" s="45"/>
      <c r="AL464" s="45"/>
      <c r="AM464" s="45"/>
      <c r="AN464" s="45"/>
      <c r="AO464" s="90"/>
      <c r="AP464" s="46"/>
      <c r="AQ464" s="52"/>
      <c r="AR464" s="52"/>
      <c r="AS464" s="52"/>
    </row>
    <row r="465" spans="1:45" x14ac:dyDescent="0.2">
      <c r="A465" s="29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  <c r="AG465" s="45"/>
      <c r="AH465" s="45"/>
      <c r="AI465" s="45"/>
      <c r="AJ465" s="45"/>
      <c r="AK465" s="45"/>
      <c r="AL465" s="45"/>
      <c r="AM465" s="45"/>
      <c r="AN465" s="45"/>
      <c r="AO465" s="90"/>
      <c r="AP465" s="46"/>
      <c r="AQ465" s="52"/>
      <c r="AR465" s="52"/>
      <c r="AS465" s="52"/>
    </row>
    <row r="466" spans="1:45" x14ac:dyDescent="0.2">
      <c r="A466" s="29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  <c r="AG466" s="45"/>
      <c r="AH466" s="45"/>
      <c r="AI466" s="45"/>
      <c r="AJ466" s="45"/>
      <c r="AK466" s="45"/>
      <c r="AL466" s="45"/>
      <c r="AM466" s="45"/>
      <c r="AN466" s="45"/>
      <c r="AO466" s="90"/>
      <c r="AP466" s="46"/>
      <c r="AQ466" s="52"/>
      <c r="AR466" s="52"/>
      <c r="AS466" s="52"/>
    </row>
    <row r="467" spans="1:45" x14ac:dyDescent="0.2">
      <c r="A467" s="29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  <c r="AG467" s="45"/>
      <c r="AH467" s="45"/>
      <c r="AI467" s="45"/>
      <c r="AJ467" s="45"/>
      <c r="AK467" s="45"/>
      <c r="AL467" s="45"/>
      <c r="AM467" s="45"/>
      <c r="AN467" s="45"/>
      <c r="AO467" s="90"/>
      <c r="AP467" s="46"/>
      <c r="AQ467" s="52"/>
      <c r="AR467" s="52"/>
      <c r="AS467" s="52"/>
    </row>
    <row r="468" spans="1:45" x14ac:dyDescent="0.2">
      <c r="A468" s="29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  <c r="AG468" s="45"/>
      <c r="AH468" s="45"/>
      <c r="AI468" s="45"/>
      <c r="AJ468" s="45"/>
      <c r="AK468" s="45"/>
      <c r="AL468" s="45"/>
      <c r="AM468" s="45"/>
      <c r="AN468" s="45"/>
      <c r="AO468" s="90"/>
      <c r="AP468" s="46"/>
      <c r="AQ468" s="52"/>
      <c r="AR468" s="52"/>
      <c r="AS468" s="52"/>
    </row>
    <row r="469" spans="1:45" x14ac:dyDescent="0.2">
      <c r="A469" s="29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  <c r="AG469" s="45"/>
      <c r="AH469" s="45"/>
      <c r="AI469" s="45"/>
      <c r="AJ469" s="45"/>
      <c r="AK469" s="45"/>
      <c r="AL469" s="45"/>
      <c r="AM469" s="45"/>
      <c r="AN469" s="45"/>
      <c r="AO469" s="90"/>
      <c r="AP469" s="46"/>
      <c r="AQ469" s="52"/>
      <c r="AR469" s="52"/>
      <c r="AS469" s="52"/>
    </row>
    <row r="470" spans="1:45" x14ac:dyDescent="0.2">
      <c r="A470" s="29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  <c r="AG470" s="45"/>
      <c r="AH470" s="45"/>
      <c r="AI470" s="45"/>
      <c r="AJ470" s="45"/>
      <c r="AK470" s="45"/>
      <c r="AL470" s="45"/>
      <c r="AM470" s="45"/>
      <c r="AN470" s="45"/>
      <c r="AO470" s="90"/>
      <c r="AP470" s="46"/>
      <c r="AQ470" s="52"/>
      <c r="AR470" s="52"/>
      <c r="AS470" s="52"/>
    </row>
    <row r="471" spans="1:45" x14ac:dyDescent="0.2">
      <c r="A471" s="29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  <c r="AG471" s="45"/>
      <c r="AH471" s="45"/>
      <c r="AI471" s="45"/>
      <c r="AJ471" s="45"/>
      <c r="AK471" s="45"/>
      <c r="AL471" s="45"/>
      <c r="AM471" s="45"/>
      <c r="AN471" s="45"/>
      <c r="AO471" s="90"/>
      <c r="AP471" s="46"/>
      <c r="AQ471" s="52"/>
      <c r="AR471" s="52"/>
      <c r="AS471" s="52"/>
    </row>
    <row r="472" spans="1:45" x14ac:dyDescent="0.2">
      <c r="A472" s="29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  <c r="AG472" s="45"/>
      <c r="AH472" s="45"/>
      <c r="AI472" s="45"/>
      <c r="AJ472" s="45"/>
      <c r="AK472" s="45"/>
      <c r="AL472" s="45"/>
      <c r="AM472" s="45"/>
      <c r="AN472" s="45"/>
      <c r="AO472" s="90"/>
      <c r="AP472" s="46"/>
      <c r="AQ472" s="52"/>
      <c r="AR472" s="52"/>
      <c r="AS472" s="52"/>
    </row>
    <row r="473" spans="1:45" x14ac:dyDescent="0.2">
      <c r="A473" s="29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  <c r="AG473" s="45"/>
      <c r="AH473" s="45"/>
      <c r="AI473" s="45"/>
      <c r="AJ473" s="45"/>
      <c r="AK473" s="45"/>
      <c r="AL473" s="45"/>
      <c r="AM473" s="45"/>
      <c r="AN473" s="45"/>
      <c r="AO473" s="90"/>
      <c r="AP473" s="46"/>
      <c r="AQ473" s="52"/>
      <c r="AR473" s="52"/>
      <c r="AS473" s="52"/>
    </row>
    <row r="474" spans="1:45" x14ac:dyDescent="0.2">
      <c r="A474" s="29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  <c r="AG474" s="45"/>
      <c r="AH474" s="45"/>
      <c r="AI474" s="45"/>
      <c r="AJ474" s="45"/>
      <c r="AK474" s="45"/>
      <c r="AL474" s="45"/>
      <c r="AM474" s="45"/>
      <c r="AN474" s="45"/>
      <c r="AO474" s="90"/>
      <c r="AP474" s="46"/>
      <c r="AQ474" s="52"/>
      <c r="AR474" s="52"/>
      <c r="AS474" s="52"/>
    </row>
    <row r="475" spans="1:45" x14ac:dyDescent="0.2">
      <c r="A475" s="29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  <c r="AG475" s="45"/>
      <c r="AH475" s="45"/>
      <c r="AI475" s="45"/>
      <c r="AJ475" s="45"/>
      <c r="AK475" s="45"/>
      <c r="AL475" s="45"/>
      <c r="AM475" s="45"/>
      <c r="AN475" s="45"/>
      <c r="AO475" s="90"/>
      <c r="AP475" s="46"/>
      <c r="AQ475" s="52"/>
      <c r="AR475" s="52"/>
      <c r="AS475" s="52"/>
    </row>
    <row r="476" spans="1:45" x14ac:dyDescent="0.2">
      <c r="A476" s="29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  <c r="AG476" s="45"/>
      <c r="AH476" s="45"/>
      <c r="AI476" s="45"/>
      <c r="AJ476" s="45"/>
      <c r="AK476" s="45"/>
      <c r="AL476" s="45"/>
      <c r="AM476" s="45"/>
      <c r="AN476" s="45"/>
      <c r="AO476" s="90"/>
      <c r="AP476" s="46"/>
      <c r="AQ476" s="52"/>
      <c r="AR476" s="52"/>
      <c r="AS476" s="52"/>
    </row>
    <row r="477" spans="1:45" x14ac:dyDescent="0.2">
      <c r="A477" s="29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  <c r="AG477" s="45"/>
      <c r="AH477" s="45"/>
      <c r="AI477" s="45"/>
      <c r="AJ477" s="45"/>
      <c r="AK477" s="45"/>
      <c r="AL477" s="45"/>
      <c r="AM477" s="45"/>
      <c r="AN477" s="45"/>
      <c r="AO477" s="90"/>
      <c r="AP477" s="46"/>
      <c r="AQ477" s="52"/>
      <c r="AR477" s="52"/>
      <c r="AS477" s="52"/>
    </row>
    <row r="478" spans="1:45" x14ac:dyDescent="0.2">
      <c r="A478" s="29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  <c r="AG478" s="45"/>
      <c r="AH478" s="45"/>
      <c r="AI478" s="45"/>
      <c r="AJ478" s="45"/>
      <c r="AK478" s="45"/>
      <c r="AL478" s="45"/>
      <c r="AM478" s="45"/>
      <c r="AN478" s="45"/>
      <c r="AO478" s="90"/>
      <c r="AP478" s="46"/>
      <c r="AQ478" s="52"/>
      <c r="AR478" s="52"/>
      <c r="AS478" s="52"/>
    </row>
    <row r="479" spans="1:45" x14ac:dyDescent="0.2">
      <c r="A479" s="29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  <c r="AG479" s="45"/>
      <c r="AH479" s="45"/>
      <c r="AI479" s="45"/>
      <c r="AJ479" s="45"/>
      <c r="AK479" s="45"/>
      <c r="AL479" s="45"/>
      <c r="AM479" s="45"/>
      <c r="AN479" s="45"/>
      <c r="AO479" s="90"/>
      <c r="AP479" s="46"/>
      <c r="AQ479" s="52"/>
      <c r="AR479" s="52"/>
      <c r="AS479" s="52"/>
    </row>
    <row r="480" spans="1:45" x14ac:dyDescent="0.2">
      <c r="A480" s="29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  <c r="AG480" s="45"/>
      <c r="AH480" s="45"/>
      <c r="AI480" s="45"/>
      <c r="AJ480" s="45"/>
      <c r="AK480" s="45"/>
      <c r="AL480" s="45"/>
      <c r="AM480" s="45"/>
      <c r="AN480" s="45"/>
      <c r="AO480" s="90"/>
      <c r="AP480" s="46"/>
      <c r="AQ480" s="52"/>
      <c r="AR480" s="52"/>
      <c r="AS480" s="52"/>
    </row>
    <row r="481" spans="1:45" x14ac:dyDescent="0.2">
      <c r="A481" s="29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  <c r="AG481" s="45"/>
      <c r="AH481" s="45"/>
      <c r="AI481" s="45"/>
      <c r="AJ481" s="45"/>
      <c r="AK481" s="45"/>
      <c r="AL481" s="45"/>
      <c r="AM481" s="45"/>
      <c r="AN481" s="45"/>
      <c r="AO481" s="90"/>
      <c r="AP481" s="46"/>
      <c r="AQ481" s="52"/>
      <c r="AR481" s="52"/>
      <c r="AS481" s="52"/>
    </row>
    <row r="482" spans="1:45" x14ac:dyDescent="0.2">
      <c r="A482" s="29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  <c r="AG482" s="45"/>
      <c r="AH482" s="45"/>
      <c r="AI482" s="45"/>
      <c r="AJ482" s="45"/>
      <c r="AK482" s="45"/>
      <c r="AL482" s="45"/>
      <c r="AM482" s="45"/>
      <c r="AN482" s="45"/>
      <c r="AO482" s="90"/>
      <c r="AP482" s="46"/>
      <c r="AQ482" s="52"/>
      <c r="AR482" s="52"/>
      <c r="AS482" s="52"/>
    </row>
    <row r="483" spans="1:45" x14ac:dyDescent="0.2">
      <c r="A483" s="29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  <c r="AG483" s="45"/>
      <c r="AH483" s="45"/>
      <c r="AI483" s="45"/>
      <c r="AJ483" s="45"/>
      <c r="AK483" s="45"/>
      <c r="AL483" s="45"/>
      <c r="AM483" s="45"/>
      <c r="AN483" s="45"/>
      <c r="AO483" s="90"/>
      <c r="AP483" s="46"/>
      <c r="AQ483" s="52"/>
      <c r="AR483" s="52"/>
      <c r="AS483" s="52"/>
    </row>
    <row r="484" spans="1:45" x14ac:dyDescent="0.2">
      <c r="A484" s="29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  <c r="AG484" s="45"/>
      <c r="AH484" s="45"/>
      <c r="AI484" s="45"/>
      <c r="AJ484" s="45"/>
      <c r="AK484" s="45"/>
      <c r="AL484" s="45"/>
      <c r="AM484" s="45"/>
      <c r="AN484" s="45"/>
      <c r="AO484" s="90"/>
      <c r="AP484" s="46"/>
      <c r="AQ484" s="52"/>
      <c r="AR484" s="52"/>
      <c r="AS484" s="52"/>
    </row>
    <row r="485" spans="1:45" x14ac:dyDescent="0.2">
      <c r="A485" s="29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  <c r="AG485" s="45"/>
      <c r="AH485" s="45"/>
      <c r="AI485" s="45"/>
      <c r="AJ485" s="45"/>
      <c r="AK485" s="45"/>
      <c r="AL485" s="45"/>
      <c r="AM485" s="45"/>
      <c r="AN485" s="45"/>
      <c r="AO485" s="90"/>
      <c r="AP485" s="46"/>
      <c r="AQ485" s="52"/>
      <c r="AR485" s="52"/>
      <c r="AS485" s="52"/>
    </row>
    <row r="486" spans="1:45" x14ac:dyDescent="0.2">
      <c r="A486" s="29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  <c r="AG486" s="45"/>
      <c r="AH486" s="45"/>
      <c r="AI486" s="45"/>
      <c r="AJ486" s="45"/>
      <c r="AK486" s="45"/>
      <c r="AL486" s="45"/>
      <c r="AM486" s="45"/>
      <c r="AN486" s="45"/>
      <c r="AO486" s="90"/>
      <c r="AP486" s="46"/>
      <c r="AQ486" s="52"/>
      <c r="AR486" s="52"/>
      <c r="AS486" s="52"/>
    </row>
    <row r="487" spans="1:45" x14ac:dyDescent="0.2">
      <c r="A487" s="29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  <c r="AG487" s="45"/>
      <c r="AH487" s="45"/>
      <c r="AI487" s="45"/>
      <c r="AJ487" s="45"/>
      <c r="AK487" s="45"/>
      <c r="AL487" s="45"/>
      <c r="AM487" s="45"/>
      <c r="AN487" s="45"/>
      <c r="AO487" s="90"/>
      <c r="AP487" s="46"/>
      <c r="AQ487" s="52"/>
      <c r="AR487" s="52"/>
      <c r="AS487" s="52"/>
    </row>
    <row r="488" spans="1:45" x14ac:dyDescent="0.2">
      <c r="A488" s="29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  <c r="AG488" s="45"/>
      <c r="AH488" s="45"/>
      <c r="AI488" s="45"/>
      <c r="AJ488" s="45"/>
      <c r="AK488" s="45"/>
      <c r="AL488" s="45"/>
      <c r="AM488" s="45"/>
      <c r="AN488" s="45"/>
      <c r="AO488" s="90"/>
      <c r="AP488" s="46"/>
      <c r="AQ488" s="52"/>
      <c r="AR488" s="52"/>
      <c r="AS488" s="52"/>
    </row>
    <row r="489" spans="1:45" x14ac:dyDescent="0.2">
      <c r="A489" s="29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  <c r="AG489" s="45"/>
      <c r="AH489" s="45"/>
      <c r="AI489" s="45"/>
      <c r="AJ489" s="45"/>
      <c r="AK489" s="45"/>
      <c r="AL489" s="45"/>
      <c r="AM489" s="45"/>
      <c r="AN489" s="45"/>
      <c r="AO489" s="90"/>
      <c r="AP489" s="46"/>
      <c r="AQ489" s="52"/>
      <c r="AR489" s="52"/>
      <c r="AS489" s="52"/>
    </row>
    <row r="490" spans="1:45" x14ac:dyDescent="0.2">
      <c r="A490" s="29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  <c r="AG490" s="45"/>
      <c r="AH490" s="45"/>
      <c r="AI490" s="45"/>
      <c r="AJ490" s="45"/>
      <c r="AK490" s="45"/>
      <c r="AL490" s="45"/>
      <c r="AM490" s="45"/>
      <c r="AN490" s="45"/>
      <c r="AO490" s="90"/>
      <c r="AP490" s="46"/>
      <c r="AQ490" s="52"/>
      <c r="AR490" s="52"/>
      <c r="AS490" s="52"/>
    </row>
    <row r="491" spans="1:45" x14ac:dyDescent="0.2">
      <c r="A491" s="29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  <c r="AG491" s="45"/>
      <c r="AH491" s="45"/>
      <c r="AI491" s="45"/>
      <c r="AJ491" s="45"/>
      <c r="AK491" s="45"/>
      <c r="AL491" s="45"/>
      <c r="AM491" s="45"/>
      <c r="AN491" s="45"/>
      <c r="AO491" s="90"/>
      <c r="AP491" s="46"/>
      <c r="AQ491" s="52"/>
      <c r="AR491" s="52"/>
      <c r="AS491" s="52"/>
    </row>
    <row r="492" spans="1:45" x14ac:dyDescent="0.2">
      <c r="A492" s="29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  <c r="AG492" s="45"/>
      <c r="AH492" s="45"/>
      <c r="AI492" s="45"/>
      <c r="AJ492" s="45"/>
      <c r="AK492" s="45"/>
      <c r="AL492" s="45"/>
      <c r="AM492" s="45"/>
      <c r="AN492" s="45"/>
      <c r="AO492" s="90"/>
      <c r="AP492" s="46"/>
      <c r="AQ492" s="52"/>
      <c r="AR492" s="52"/>
      <c r="AS492" s="52"/>
    </row>
    <row r="493" spans="1:45" x14ac:dyDescent="0.2">
      <c r="A493" s="29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  <c r="AG493" s="45"/>
      <c r="AH493" s="45"/>
      <c r="AI493" s="45"/>
      <c r="AJ493" s="45"/>
      <c r="AK493" s="45"/>
      <c r="AL493" s="45"/>
      <c r="AM493" s="45"/>
      <c r="AN493" s="45"/>
      <c r="AO493" s="90"/>
      <c r="AP493" s="46"/>
      <c r="AQ493" s="52"/>
      <c r="AR493" s="52"/>
      <c r="AS493" s="52"/>
    </row>
    <row r="494" spans="1:45" x14ac:dyDescent="0.2">
      <c r="A494" s="29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  <c r="AG494" s="45"/>
      <c r="AH494" s="45"/>
      <c r="AI494" s="45"/>
      <c r="AJ494" s="45"/>
      <c r="AK494" s="45"/>
      <c r="AL494" s="45"/>
      <c r="AM494" s="45"/>
      <c r="AN494" s="45"/>
      <c r="AO494" s="90"/>
      <c r="AP494" s="46"/>
      <c r="AQ494" s="52"/>
      <c r="AR494" s="52"/>
      <c r="AS494" s="52"/>
    </row>
    <row r="495" spans="1:45" x14ac:dyDescent="0.2">
      <c r="A495" s="29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  <c r="AG495" s="45"/>
      <c r="AH495" s="45"/>
      <c r="AI495" s="45"/>
      <c r="AJ495" s="45"/>
      <c r="AK495" s="45"/>
      <c r="AL495" s="45"/>
      <c r="AM495" s="45"/>
      <c r="AN495" s="45"/>
      <c r="AO495" s="90"/>
      <c r="AP495" s="46"/>
      <c r="AQ495" s="52"/>
      <c r="AR495" s="52"/>
      <c r="AS495" s="52"/>
    </row>
    <row r="496" spans="1:45" x14ac:dyDescent="0.2">
      <c r="A496" s="29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  <c r="AG496" s="45"/>
      <c r="AH496" s="45"/>
      <c r="AI496" s="45"/>
      <c r="AJ496" s="45"/>
      <c r="AK496" s="45"/>
      <c r="AL496" s="45"/>
      <c r="AM496" s="45"/>
      <c r="AN496" s="45"/>
      <c r="AO496" s="90"/>
      <c r="AP496" s="46"/>
      <c r="AQ496" s="52"/>
      <c r="AR496" s="52"/>
      <c r="AS496" s="52"/>
    </row>
    <row r="497" spans="1:45" x14ac:dyDescent="0.2">
      <c r="A497" s="29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  <c r="AG497" s="45"/>
      <c r="AH497" s="45"/>
      <c r="AI497" s="45"/>
      <c r="AJ497" s="45"/>
      <c r="AK497" s="45"/>
      <c r="AL497" s="45"/>
      <c r="AM497" s="45"/>
      <c r="AN497" s="45"/>
      <c r="AO497" s="90"/>
      <c r="AP497" s="46"/>
      <c r="AQ497" s="52"/>
      <c r="AR497" s="52"/>
      <c r="AS497" s="52"/>
    </row>
    <row r="498" spans="1:45" x14ac:dyDescent="0.2">
      <c r="A498" s="29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  <c r="AG498" s="45"/>
      <c r="AH498" s="45"/>
      <c r="AI498" s="45"/>
      <c r="AJ498" s="45"/>
      <c r="AK498" s="45"/>
      <c r="AL498" s="45"/>
      <c r="AM498" s="45"/>
      <c r="AN498" s="45"/>
      <c r="AO498" s="90"/>
      <c r="AP498" s="46"/>
      <c r="AQ498" s="52"/>
      <c r="AR498" s="52"/>
      <c r="AS498" s="52"/>
    </row>
    <row r="499" spans="1:45" x14ac:dyDescent="0.2">
      <c r="A499" s="29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  <c r="AG499" s="45"/>
      <c r="AH499" s="45"/>
      <c r="AI499" s="45"/>
      <c r="AJ499" s="45"/>
      <c r="AK499" s="45"/>
      <c r="AL499" s="45"/>
      <c r="AM499" s="45"/>
      <c r="AN499" s="45"/>
      <c r="AO499" s="90"/>
      <c r="AP499" s="46"/>
      <c r="AQ499" s="52"/>
      <c r="AR499" s="52"/>
      <c r="AS499" s="52"/>
    </row>
    <row r="500" spans="1:45" x14ac:dyDescent="0.2">
      <c r="A500" s="29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  <c r="AG500" s="45"/>
      <c r="AH500" s="45"/>
      <c r="AI500" s="45"/>
      <c r="AJ500" s="45"/>
      <c r="AK500" s="45"/>
      <c r="AL500" s="45"/>
      <c r="AM500" s="45"/>
      <c r="AN500" s="45"/>
      <c r="AO500" s="90"/>
      <c r="AP500" s="46"/>
      <c r="AQ500" s="52"/>
      <c r="AR500" s="52"/>
      <c r="AS500" s="52"/>
    </row>
    <row r="501" spans="1:45" x14ac:dyDescent="0.2">
      <c r="A501" s="29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  <c r="AG501" s="45"/>
      <c r="AH501" s="45"/>
      <c r="AI501" s="45"/>
      <c r="AJ501" s="45"/>
      <c r="AK501" s="45"/>
      <c r="AL501" s="45"/>
      <c r="AM501" s="45"/>
      <c r="AN501" s="45"/>
      <c r="AO501" s="90"/>
      <c r="AP501" s="46"/>
      <c r="AQ501" s="52"/>
      <c r="AR501" s="52"/>
      <c r="AS501" s="52"/>
    </row>
    <row r="502" spans="1:45" x14ac:dyDescent="0.2">
      <c r="A502" s="29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  <c r="AG502" s="45"/>
      <c r="AH502" s="45"/>
      <c r="AI502" s="45"/>
      <c r="AJ502" s="45"/>
      <c r="AK502" s="45"/>
      <c r="AL502" s="45"/>
      <c r="AM502" s="45"/>
      <c r="AN502" s="45"/>
      <c r="AO502" s="90"/>
      <c r="AP502" s="46"/>
      <c r="AQ502" s="52"/>
      <c r="AR502" s="52"/>
      <c r="AS502" s="52"/>
    </row>
    <row r="503" spans="1:45" x14ac:dyDescent="0.2">
      <c r="A503" s="29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  <c r="AG503" s="45"/>
      <c r="AH503" s="45"/>
      <c r="AI503" s="45"/>
      <c r="AJ503" s="45"/>
      <c r="AK503" s="45"/>
      <c r="AL503" s="45"/>
      <c r="AM503" s="45"/>
      <c r="AN503" s="45"/>
      <c r="AO503" s="90"/>
      <c r="AP503" s="46"/>
      <c r="AQ503" s="52"/>
      <c r="AR503" s="52"/>
      <c r="AS503" s="52"/>
    </row>
    <row r="504" spans="1:45" x14ac:dyDescent="0.2">
      <c r="A504" s="29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  <c r="AG504" s="45"/>
      <c r="AH504" s="45"/>
      <c r="AI504" s="45"/>
      <c r="AJ504" s="45"/>
      <c r="AK504" s="45"/>
      <c r="AL504" s="45"/>
      <c r="AM504" s="45"/>
      <c r="AN504" s="45"/>
      <c r="AO504" s="90"/>
      <c r="AP504" s="46"/>
      <c r="AQ504" s="52"/>
      <c r="AR504" s="52"/>
      <c r="AS504" s="52"/>
    </row>
    <row r="505" spans="1:45" x14ac:dyDescent="0.2">
      <c r="A505" s="29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  <c r="AG505" s="45"/>
      <c r="AH505" s="45"/>
      <c r="AI505" s="45"/>
      <c r="AJ505" s="45"/>
      <c r="AK505" s="45"/>
      <c r="AL505" s="45"/>
      <c r="AM505" s="45"/>
      <c r="AN505" s="45"/>
      <c r="AO505" s="90"/>
      <c r="AP505" s="46"/>
      <c r="AQ505" s="52"/>
      <c r="AR505" s="52"/>
      <c r="AS505" s="52"/>
    </row>
    <row r="506" spans="1:45" x14ac:dyDescent="0.2">
      <c r="A506" s="29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  <c r="AG506" s="45"/>
      <c r="AH506" s="45"/>
      <c r="AI506" s="45"/>
      <c r="AJ506" s="45"/>
      <c r="AK506" s="45"/>
      <c r="AL506" s="45"/>
      <c r="AM506" s="45"/>
      <c r="AN506" s="45"/>
      <c r="AO506" s="90"/>
      <c r="AP506" s="46"/>
      <c r="AQ506" s="52"/>
      <c r="AR506" s="52"/>
      <c r="AS506" s="52"/>
    </row>
    <row r="507" spans="1:45" x14ac:dyDescent="0.2">
      <c r="A507" s="29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  <c r="AG507" s="45"/>
      <c r="AH507" s="45"/>
      <c r="AI507" s="45"/>
      <c r="AJ507" s="45"/>
      <c r="AK507" s="45"/>
      <c r="AL507" s="45"/>
      <c r="AM507" s="45"/>
      <c r="AN507" s="45"/>
      <c r="AO507" s="90"/>
      <c r="AP507" s="46"/>
      <c r="AQ507" s="52"/>
      <c r="AR507" s="52"/>
      <c r="AS507" s="52"/>
    </row>
    <row r="508" spans="1:45" x14ac:dyDescent="0.2">
      <c r="A508" s="29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  <c r="AG508" s="45"/>
      <c r="AH508" s="45"/>
      <c r="AI508" s="45"/>
      <c r="AJ508" s="45"/>
      <c r="AK508" s="45"/>
      <c r="AL508" s="45"/>
      <c r="AM508" s="45"/>
      <c r="AN508" s="45"/>
      <c r="AO508" s="90"/>
      <c r="AP508" s="46"/>
      <c r="AQ508" s="52"/>
      <c r="AR508" s="52"/>
      <c r="AS508" s="52"/>
    </row>
    <row r="509" spans="1:45" x14ac:dyDescent="0.2">
      <c r="A509" s="29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  <c r="AG509" s="45"/>
      <c r="AH509" s="45"/>
      <c r="AI509" s="45"/>
      <c r="AJ509" s="45"/>
      <c r="AK509" s="45"/>
      <c r="AL509" s="45"/>
      <c r="AM509" s="45"/>
      <c r="AN509" s="45"/>
      <c r="AO509" s="90"/>
      <c r="AP509" s="46"/>
      <c r="AQ509" s="52"/>
      <c r="AR509" s="52"/>
      <c r="AS509" s="52"/>
    </row>
    <row r="510" spans="1:45" x14ac:dyDescent="0.2">
      <c r="A510" s="29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  <c r="AG510" s="45"/>
      <c r="AH510" s="45"/>
      <c r="AI510" s="45"/>
      <c r="AJ510" s="45"/>
      <c r="AK510" s="45"/>
      <c r="AL510" s="45"/>
      <c r="AM510" s="45"/>
      <c r="AN510" s="45"/>
      <c r="AO510" s="90"/>
      <c r="AP510" s="46"/>
      <c r="AQ510" s="52"/>
      <c r="AR510" s="52"/>
      <c r="AS510" s="52"/>
    </row>
    <row r="511" spans="1:45" x14ac:dyDescent="0.2">
      <c r="A511" s="29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  <c r="AG511" s="45"/>
      <c r="AH511" s="45"/>
      <c r="AI511" s="45"/>
      <c r="AJ511" s="45"/>
      <c r="AK511" s="45"/>
      <c r="AL511" s="45"/>
      <c r="AM511" s="45"/>
      <c r="AN511" s="45"/>
      <c r="AO511" s="90"/>
      <c r="AP511" s="46"/>
      <c r="AQ511" s="52"/>
      <c r="AR511" s="52"/>
      <c r="AS511" s="52"/>
    </row>
    <row r="512" spans="1:45" x14ac:dyDescent="0.2">
      <c r="A512" s="29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  <c r="AG512" s="45"/>
      <c r="AH512" s="45"/>
      <c r="AI512" s="45"/>
      <c r="AJ512" s="45"/>
      <c r="AK512" s="45"/>
      <c r="AL512" s="45"/>
      <c r="AM512" s="45"/>
      <c r="AN512" s="45"/>
      <c r="AO512" s="90"/>
      <c r="AP512" s="46"/>
      <c r="AQ512" s="52"/>
      <c r="AR512" s="52"/>
      <c r="AS512" s="52"/>
    </row>
    <row r="513" spans="1:45" x14ac:dyDescent="0.2">
      <c r="A513" s="29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  <c r="AG513" s="45"/>
      <c r="AH513" s="45"/>
      <c r="AI513" s="45"/>
      <c r="AJ513" s="45"/>
      <c r="AK513" s="45"/>
      <c r="AL513" s="45"/>
      <c r="AM513" s="45"/>
      <c r="AN513" s="45"/>
      <c r="AO513" s="90"/>
      <c r="AP513" s="46"/>
      <c r="AQ513" s="52"/>
      <c r="AR513" s="52"/>
      <c r="AS513" s="52"/>
    </row>
    <row r="514" spans="1:45" x14ac:dyDescent="0.2">
      <c r="A514" s="29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  <c r="AG514" s="45"/>
      <c r="AH514" s="45"/>
      <c r="AI514" s="45"/>
      <c r="AJ514" s="45"/>
      <c r="AK514" s="45"/>
      <c r="AL514" s="45"/>
      <c r="AM514" s="45"/>
      <c r="AN514" s="45"/>
      <c r="AO514" s="90"/>
      <c r="AP514" s="46"/>
      <c r="AQ514" s="52"/>
      <c r="AR514" s="52"/>
      <c r="AS514" s="52"/>
    </row>
    <row r="515" spans="1:45" x14ac:dyDescent="0.2">
      <c r="A515" s="29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  <c r="AG515" s="45"/>
      <c r="AH515" s="45"/>
      <c r="AI515" s="45"/>
      <c r="AJ515" s="45"/>
      <c r="AK515" s="45"/>
      <c r="AL515" s="45"/>
      <c r="AM515" s="45"/>
      <c r="AN515" s="45"/>
      <c r="AO515" s="90"/>
      <c r="AP515" s="46"/>
      <c r="AQ515" s="52"/>
      <c r="AR515" s="52"/>
      <c r="AS515" s="52"/>
    </row>
    <row r="516" spans="1:45" x14ac:dyDescent="0.2">
      <c r="A516" s="29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  <c r="AG516" s="45"/>
      <c r="AH516" s="45"/>
      <c r="AI516" s="45"/>
      <c r="AJ516" s="45"/>
      <c r="AK516" s="45"/>
      <c r="AL516" s="45"/>
      <c r="AM516" s="45"/>
      <c r="AN516" s="45"/>
      <c r="AO516" s="90"/>
      <c r="AP516" s="46"/>
      <c r="AQ516" s="52"/>
      <c r="AR516" s="52"/>
      <c r="AS516" s="52"/>
    </row>
    <row r="517" spans="1:45" x14ac:dyDescent="0.2">
      <c r="A517" s="29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  <c r="AG517" s="45"/>
      <c r="AH517" s="45"/>
      <c r="AI517" s="45"/>
      <c r="AJ517" s="45"/>
      <c r="AK517" s="45"/>
      <c r="AL517" s="45"/>
      <c r="AM517" s="45"/>
      <c r="AN517" s="45"/>
      <c r="AO517" s="90"/>
      <c r="AP517" s="46"/>
      <c r="AQ517" s="52"/>
      <c r="AR517" s="52"/>
      <c r="AS517" s="52"/>
    </row>
    <row r="518" spans="1:45" x14ac:dyDescent="0.2">
      <c r="A518" s="29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  <c r="AG518" s="45"/>
      <c r="AH518" s="45"/>
      <c r="AI518" s="45"/>
      <c r="AJ518" s="45"/>
      <c r="AK518" s="45"/>
      <c r="AL518" s="45"/>
      <c r="AM518" s="45"/>
      <c r="AN518" s="45"/>
      <c r="AO518" s="90"/>
      <c r="AP518" s="46"/>
      <c r="AQ518" s="52"/>
      <c r="AR518" s="52"/>
      <c r="AS518" s="52"/>
    </row>
    <row r="519" spans="1:45" x14ac:dyDescent="0.2">
      <c r="A519" s="29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  <c r="AG519" s="45"/>
      <c r="AH519" s="45"/>
      <c r="AI519" s="45"/>
      <c r="AJ519" s="45"/>
      <c r="AK519" s="45"/>
      <c r="AL519" s="45"/>
      <c r="AM519" s="45"/>
      <c r="AN519" s="45"/>
      <c r="AO519" s="90"/>
      <c r="AP519" s="46"/>
      <c r="AQ519" s="52"/>
      <c r="AR519" s="52"/>
      <c r="AS519" s="52"/>
    </row>
    <row r="520" spans="1:45" x14ac:dyDescent="0.2">
      <c r="A520" s="29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  <c r="AG520" s="45"/>
      <c r="AH520" s="45"/>
      <c r="AI520" s="45"/>
      <c r="AJ520" s="45"/>
      <c r="AK520" s="45"/>
      <c r="AL520" s="45"/>
      <c r="AM520" s="45"/>
      <c r="AN520" s="45"/>
      <c r="AO520" s="90"/>
      <c r="AP520" s="46"/>
      <c r="AQ520" s="52"/>
      <c r="AR520" s="52"/>
      <c r="AS520" s="52"/>
    </row>
    <row r="521" spans="1:45" x14ac:dyDescent="0.2">
      <c r="A521" s="29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  <c r="AG521" s="45"/>
      <c r="AH521" s="45"/>
      <c r="AI521" s="45"/>
      <c r="AJ521" s="45"/>
      <c r="AK521" s="45"/>
      <c r="AL521" s="45"/>
      <c r="AM521" s="45"/>
      <c r="AN521" s="45"/>
      <c r="AO521" s="90"/>
      <c r="AP521" s="46"/>
      <c r="AQ521" s="52"/>
      <c r="AR521" s="52"/>
      <c r="AS521" s="52"/>
    </row>
    <row r="522" spans="1:45" x14ac:dyDescent="0.2">
      <c r="A522" s="29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  <c r="AG522" s="45"/>
      <c r="AH522" s="45"/>
      <c r="AI522" s="45"/>
      <c r="AJ522" s="45"/>
      <c r="AK522" s="45"/>
      <c r="AL522" s="45"/>
      <c r="AM522" s="45"/>
      <c r="AN522" s="45"/>
      <c r="AO522" s="90"/>
      <c r="AP522" s="46"/>
      <c r="AQ522" s="52"/>
      <c r="AR522" s="52"/>
      <c r="AS522" s="52"/>
    </row>
    <row r="523" spans="1:45" x14ac:dyDescent="0.2">
      <c r="A523" s="29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  <c r="AG523" s="45"/>
      <c r="AH523" s="45"/>
      <c r="AI523" s="45"/>
      <c r="AJ523" s="45"/>
      <c r="AK523" s="45"/>
      <c r="AL523" s="45"/>
      <c r="AM523" s="45"/>
      <c r="AN523" s="45"/>
      <c r="AO523" s="90"/>
      <c r="AP523" s="46"/>
      <c r="AQ523" s="52"/>
      <c r="AR523" s="52"/>
      <c r="AS523" s="52"/>
    </row>
    <row r="524" spans="1:45" x14ac:dyDescent="0.2">
      <c r="A524" s="29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  <c r="AG524" s="45"/>
      <c r="AH524" s="45"/>
      <c r="AI524" s="45"/>
      <c r="AJ524" s="45"/>
      <c r="AK524" s="45"/>
      <c r="AL524" s="45"/>
      <c r="AM524" s="45"/>
      <c r="AN524" s="45"/>
      <c r="AO524" s="90"/>
      <c r="AP524" s="46"/>
      <c r="AQ524" s="52"/>
      <c r="AR524" s="52"/>
      <c r="AS524" s="52"/>
    </row>
    <row r="525" spans="1:45" x14ac:dyDescent="0.2">
      <c r="A525" s="29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  <c r="AG525" s="45"/>
      <c r="AH525" s="45"/>
      <c r="AI525" s="45"/>
      <c r="AJ525" s="45"/>
      <c r="AK525" s="45"/>
      <c r="AL525" s="45"/>
      <c r="AM525" s="45"/>
      <c r="AN525" s="45"/>
      <c r="AO525" s="90"/>
      <c r="AP525" s="46"/>
      <c r="AQ525" s="52"/>
      <c r="AR525" s="52"/>
      <c r="AS525" s="52"/>
    </row>
    <row r="526" spans="1:45" x14ac:dyDescent="0.2">
      <c r="A526" s="29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  <c r="AG526" s="45"/>
      <c r="AH526" s="45"/>
      <c r="AI526" s="45"/>
      <c r="AJ526" s="45"/>
      <c r="AK526" s="45"/>
      <c r="AL526" s="45"/>
      <c r="AM526" s="45"/>
      <c r="AN526" s="45"/>
      <c r="AO526" s="90"/>
      <c r="AP526" s="46"/>
      <c r="AQ526" s="52"/>
      <c r="AR526" s="52"/>
      <c r="AS526" s="52"/>
    </row>
    <row r="527" spans="1:45" x14ac:dyDescent="0.2">
      <c r="A527" s="29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  <c r="AG527" s="45"/>
      <c r="AH527" s="45"/>
      <c r="AI527" s="45"/>
      <c r="AJ527" s="45"/>
      <c r="AK527" s="45"/>
      <c r="AL527" s="45"/>
      <c r="AM527" s="45"/>
      <c r="AN527" s="45"/>
      <c r="AO527" s="90"/>
      <c r="AP527" s="46"/>
      <c r="AQ527" s="52"/>
      <c r="AR527" s="52"/>
      <c r="AS527" s="52"/>
    </row>
    <row r="528" spans="1:45" x14ac:dyDescent="0.2">
      <c r="A528" s="29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  <c r="AG528" s="45"/>
      <c r="AH528" s="45"/>
      <c r="AI528" s="45"/>
      <c r="AJ528" s="45"/>
      <c r="AK528" s="45"/>
      <c r="AL528" s="45"/>
      <c r="AM528" s="45"/>
      <c r="AN528" s="45"/>
      <c r="AO528" s="90"/>
      <c r="AP528" s="46"/>
      <c r="AQ528" s="52"/>
      <c r="AR528" s="52"/>
      <c r="AS528" s="52"/>
    </row>
    <row r="529" spans="1:45" x14ac:dyDescent="0.2">
      <c r="A529" s="29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  <c r="AG529" s="45"/>
      <c r="AH529" s="45"/>
      <c r="AI529" s="45"/>
      <c r="AJ529" s="45"/>
      <c r="AK529" s="45"/>
      <c r="AL529" s="45"/>
      <c r="AM529" s="45"/>
      <c r="AN529" s="45"/>
      <c r="AO529" s="90"/>
      <c r="AP529" s="46"/>
      <c r="AQ529" s="52"/>
      <c r="AR529" s="52"/>
      <c r="AS529" s="52"/>
    </row>
    <row r="530" spans="1:45" x14ac:dyDescent="0.2">
      <c r="A530" s="29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  <c r="AG530" s="45"/>
      <c r="AH530" s="45"/>
      <c r="AI530" s="45"/>
      <c r="AJ530" s="45"/>
      <c r="AK530" s="45"/>
      <c r="AL530" s="45"/>
      <c r="AM530" s="45"/>
      <c r="AN530" s="45"/>
      <c r="AO530" s="90"/>
      <c r="AP530" s="46"/>
      <c r="AQ530" s="52"/>
      <c r="AR530" s="52"/>
      <c r="AS530" s="52"/>
    </row>
    <row r="531" spans="1:45" x14ac:dyDescent="0.2">
      <c r="A531" s="29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  <c r="AG531" s="45"/>
      <c r="AH531" s="45"/>
      <c r="AI531" s="45"/>
      <c r="AJ531" s="45"/>
      <c r="AK531" s="45"/>
      <c r="AL531" s="45"/>
      <c r="AM531" s="45"/>
      <c r="AN531" s="45"/>
      <c r="AO531" s="90"/>
      <c r="AP531" s="46"/>
      <c r="AQ531" s="52"/>
      <c r="AR531" s="52"/>
      <c r="AS531" s="52"/>
    </row>
    <row r="532" spans="1:45" x14ac:dyDescent="0.2">
      <c r="A532" s="29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  <c r="AG532" s="45"/>
      <c r="AH532" s="45"/>
      <c r="AI532" s="45"/>
      <c r="AJ532" s="45"/>
      <c r="AK532" s="45"/>
      <c r="AL532" s="45"/>
      <c r="AM532" s="45"/>
      <c r="AN532" s="45"/>
      <c r="AO532" s="90"/>
      <c r="AP532" s="46"/>
      <c r="AQ532" s="52"/>
      <c r="AR532" s="52"/>
      <c r="AS532" s="52"/>
    </row>
    <row r="533" spans="1:45" x14ac:dyDescent="0.2">
      <c r="A533" s="29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  <c r="AG533" s="45"/>
      <c r="AH533" s="45"/>
      <c r="AI533" s="45"/>
      <c r="AJ533" s="45"/>
      <c r="AK533" s="45"/>
      <c r="AL533" s="45"/>
      <c r="AM533" s="45"/>
      <c r="AN533" s="45"/>
      <c r="AO533" s="90"/>
      <c r="AP533" s="46"/>
      <c r="AQ533" s="52"/>
      <c r="AR533" s="52"/>
      <c r="AS533" s="52"/>
    </row>
    <row r="534" spans="1:45" x14ac:dyDescent="0.2">
      <c r="A534" s="29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  <c r="AG534" s="45"/>
      <c r="AH534" s="45"/>
      <c r="AI534" s="45"/>
      <c r="AJ534" s="45"/>
      <c r="AK534" s="45"/>
      <c r="AL534" s="45"/>
      <c r="AM534" s="45"/>
      <c r="AN534" s="45"/>
      <c r="AO534" s="90"/>
      <c r="AP534" s="46"/>
      <c r="AQ534" s="52"/>
      <c r="AR534" s="52"/>
      <c r="AS534" s="52"/>
    </row>
    <row r="535" spans="1:45" x14ac:dyDescent="0.2">
      <c r="A535" s="29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  <c r="AG535" s="45"/>
      <c r="AH535" s="45"/>
      <c r="AI535" s="45"/>
      <c r="AJ535" s="45"/>
      <c r="AK535" s="45"/>
      <c r="AL535" s="45"/>
      <c r="AM535" s="45"/>
      <c r="AN535" s="45"/>
      <c r="AO535" s="90"/>
      <c r="AP535" s="46"/>
      <c r="AQ535" s="52"/>
      <c r="AR535" s="52"/>
      <c r="AS535" s="52"/>
    </row>
    <row r="536" spans="1:45" x14ac:dyDescent="0.2">
      <c r="A536" s="29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  <c r="AG536" s="45"/>
      <c r="AH536" s="45"/>
      <c r="AI536" s="45"/>
      <c r="AJ536" s="45"/>
      <c r="AK536" s="45"/>
      <c r="AL536" s="45"/>
      <c r="AM536" s="45"/>
      <c r="AN536" s="45"/>
      <c r="AO536" s="90"/>
      <c r="AP536" s="46"/>
      <c r="AQ536" s="52"/>
      <c r="AR536" s="52"/>
      <c r="AS536" s="52"/>
    </row>
    <row r="537" spans="1:45" x14ac:dyDescent="0.2">
      <c r="A537" s="29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  <c r="AG537" s="45"/>
      <c r="AH537" s="45"/>
      <c r="AI537" s="45"/>
      <c r="AJ537" s="45"/>
      <c r="AK537" s="45"/>
      <c r="AL537" s="45"/>
      <c r="AM537" s="45"/>
      <c r="AN537" s="45"/>
      <c r="AO537" s="90"/>
      <c r="AP537" s="46"/>
      <c r="AQ537" s="52"/>
      <c r="AR537" s="52"/>
      <c r="AS537" s="52"/>
    </row>
    <row r="538" spans="1:45" x14ac:dyDescent="0.2">
      <c r="A538" s="29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  <c r="AG538" s="45"/>
      <c r="AH538" s="45"/>
      <c r="AI538" s="45"/>
      <c r="AJ538" s="45"/>
      <c r="AK538" s="45"/>
      <c r="AL538" s="45"/>
      <c r="AM538" s="45"/>
      <c r="AN538" s="45"/>
      <c r="AO538" s="90"/>
      <c r="AP538" s="46"/>
      <c r="AQ538" s="52"/>
      <c r="AR538" s="52"/>
      <c r="AS538" s="52"/>
    </row>
    <row r="539" spans="1:45" x14ac:dyDescent="0.2">
      <c r="A539" s="29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  <c r="AG539" s="45"/>
      <c r="AH539" s="45"/>
      <c r="AI539" s="45"/>
      <c r="AJ539" s="45"/>
      <c r="AK539" s="45"/>
      <c r="AL539" s="45"/>
      <c r="AM539" s="45"/>
      <c r="AN539" s="45"/>
      <c r="AO539" s="90"/>
      <c r="AP539" s="46"/>
      <c r="AQ539" s="52"/>
      <c r="AR539" s="52"/>
      <c r="AS539" s="52"/>
    </row>
    <row r="540" spans="1:45" x14ac:dyDescent="0.2">
      <c r="A540" s="29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  <c r="AG540" s="45"/>
      <c r="AH540" s="45"/>
      <c r="AI540" s="45"/>
      <c r="AJ540" s="45"/>
      <c r="AK540" s="45"/>
      <c r="AL540" s="45"/>
      <c r="AM540" s="45"/>
      <c r="AN540" s="45"/>
      <c r="AO540" s="90"/>
      <c r="AP540" s="46"/>
      <c r="AQ540" s="52"/>
      <c r="AR540" s="52"/>
      <c r="AS540" s="52"/>
    </row>
    <row r="541" spans="1:45" x14ac:dyDescent="0.2">
      <c r="A541" s="29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  <c r="AG541" s="45"/>
      <c r="AH541" s="45"/>
      <c r="AI541" s="45"/>
      <c r="AJ541" s="45"/>
      <c r="AK541" s="45"/>
      <c r="AL541" s="45"/>
      <c r="AM541" s="45"/>
      <c r="AN541" s="45"/>
      <c r="AO541" s="90"/>
      <c r="AP541" s="46"/>
      <c r="AQ541" s="52"/>
      <c r="AR541" s="52"/>
      <c r="AS541" s="52"/>
    </row>
    <row r="542" spans="1:45" x14ac:dyDescent="0.2">
      <c r="A542" s="29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  <c r="AG542" s="45"/>
      <c r="AH542" s="45"/>
      <c r="AI542" s="45"/>
      <c r="AJ542" s="45"/>
      <c r="AK542" s="45"/>
      <c r="AL542" s="45"/>
      <c r="AM542" s="45"/>
      <c r="AN542" s="45"/>
      <c r="AO542" s="90"/>
      <c r="AP542" s="46"/>
      <c r="AQ542" s="52"/>
      <c r="AR542" s="52"/>
      <c r="AS542" s="52"/>
    </row>
    <row r="543" spans="1:45" x14ac:dyDescent="0.2">
      <c r="A543" s="29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  <c r="AG543" s="45"/>
      <c r="AH543" s="45"/>
      <c r="AI543" s="45"/>
      <c r="AJ543" s="45"/>
      <c r="AK543" s="45"/>
      <c r="AL543" s="45"/>
      <c r="AM543" s="45"/>
      <c r="AN543" s="45"/>
      <c r="AO543" s="90"/>
      <c r="AP543" s="46"/>
      <c r="AQ543" s="52"/>
      <c r="AR543" s="52"/>
      <c r="AS543" s="52"/>
    </row>
    <row r="544" spans="1:45" x14ac:dyDescent="0.2">
      <c r="A544" s="29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  <c r="AG544" s="45"/>
      <c r="AH544" s="45"/>
      <c r="AI544" s="45"/>
      <c r="AJ544" s="45"/>
      <c r="AK544" s="45"/>
      <c r="AL544" s="45"/>
      <c r="AM544" s="45"/>
      <c r="AN544" s="45"/>
      <c r="AO544" s="90"/>
      <c r="AP544" s="46"/>
      <c r="AQ544" s="52"/>
      <c r="AR544" s="52"/>
      <c r="AS544" s="52"/>
    </row>
    <row r="545" spans="1:45" x14ac:dyDescent="0.2">
      <c r="A545" s="29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  <c r="AG545" s="45"/>
      <c r="AH545" s="45"/>
      <c r="AI545" s="45"/>
      <c r="AJ545" s="45"/>
      <c r="AK545" s="45"/>
      <c r="AL545" s="45"/>
      <c r="AM545" s="45"/>
      <c r="AN545" s="45"/>
      <c r="AO545" s="90"/>
      <c r="AP545" s="46"/>
      <c r="AQ545" s="52"/>
      <c r="AR545" s="52"/>
      <c r="AS545" s="52"/>
    </row>
    <row r="546" spans="1:45" x14ac:dyDescent="0.2">
      <c r="A546" s="29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  <c r="AG546" s="45"/>
      <c r="AH546" s="45"/>
      <c r="AI546" s="45"/>
      <c r="AJ546" s="45"/>
      <c r="AK546" s="45"/>
      <c r="AL546" s="45"/>
      <c r="AM546" s="45"/>
      <c r="AN546" s="45"/>
      <c r="AO546" s="90"/>
      <c r="AP546" s="46"/>
      <c r="AQ546" s="52"/>
      <c r="AR546" s="52"/>
      <c r="AS546" s="52"/>
    </row>
    <row r="547" spans="1:45" x14ac:dyDescent="0.2">
      <c r="A547" s="29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  <c r="AG547" s="45"/>
      <c r="AH547" s="45"/>
      <c r="AI547" s="45"/>
      <c r="AJ547" s="45"/>
      <c r="AK547" s="45"/>
      <c r="AL547" s="45"/>
      <c r="AM547" s="45"/>
      <c r="AN547" s="45"/>
      <c r="AO547" s="90"/>
      <c r="AP547" s="46"/>
      <c r="AQ547" s="52"/>
      <c r="AR547" s="52"/>
      <c r="AS547" s="52"/>
    </row>
    <row r="548" spans="1:45" x14ac:dyDescent="0.2">
      <c r="A548" s="29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  <c r="AG548" s="45"/>
      <c r="AH548" s="45"/>
      <c r="AI548" s="45"/>
      <c r="AJ548" s="45"/>
      <c r="AK548" s="45"/>
      <c r="AL548" s="45"/>
      <c r="AM548" s="45"/>
      <c r="AN548" s="45"/>
      <c r="AO548" s="90"/>
      <c r="AP548" s="46"/>
      <c r="AQ548" s="52"/>
      <c r="AR548" s="52"/>
      <c r="AS548" s="52"/>
    </row>
    <row r="549" spans="1:45" x14ac:dyDescent="0.2">
      <c r="A549" s="29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  <c r="AG549" s="45"/>
      <c r="AH549" s="45"/>
      <c r="AI549" s="45"/>
      <c r="AJ549" s="45"/>
      <c r="AK549" s="45"/>
      <c r="AL549" s="45"/>
      <c r="AM549" s="45"/>
      <c r="AN549" s="45"/>
      <c r="AO549" s="90"/>
      <c r="AP549" s="46"/>
      <c r="AQ549" s="52"/>
      <c r="AR549" s="52"/>
      <c r="AS549" s="52"/>
    </row>
    <row r="550" spans="1:45" x14ac:dyDescent="0.2">
      <c r="A550" s="29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  <c r="AG550" s="45"/>
      <c r="AH550" s="45"/>
      <c r="AI550" s="45"/>
      <c r="AJ550" s="45"/>
      <c r="AK550" s="45"/>
      <c r="AL550" s="45"/>
      <c r="AM550" s="45"/>
      <c r="AN550" s="45"/>
      <c r="AO550" s="90"/>
      <c r="AP550" s="46"/>
      <c r="AQ550" s="52"/>
      <c r="AR550" s="52"/>
      <c r="AS550" s="52"/>
    </row>
    <row r="551" spans="1:45" x14ac:dyDescent="0.2">
      <c r="A551" s="29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  <c r="AG551" s="45"/>
      <c r="AH551" s="45"/>
      <c r="AI551" s="45"/>
      <c r="AJ551" s="45"/>
      <c r="AK551" s="45"/>
      <c r="AL551" s="45"/>
      <c r="AM551" s="45"/>
      <c r="AN551" s="45"/>
      <c r="AO551" s="90"/>
      <c r="AP551" s="46"/>
      <c r="AQ551" s="52"/>
      <c r="AR551" s="52"/>
      <c r="AS551" s="52"/>
    </row>
    <row r="552" spans="1:45" x14ac:dyDescent="0.2">
      <c r="A552" s="29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  <c r="AG552" s="45"/>
      <c r="AH552" s="45"/>
      <c r="AI552" s="45"/>
      <c r="AJ552" s="45"/>
      <c r="AK552" s="45"/>
      <c r="AL552" s="45"/>
      <c r="AM552" s="45"/>
      <c r="AN552" s="45"/>
      <c r="AO552" s="90"/>
      <c r="AP552" s="46"/>
      <c r="AQ552" s="52"/>
      <c r="AR552" s="52"/>
      <c r="AS552" s="52"/>
    </row>
    <row r="553" spans="1:45" x14ac:dyDescent="0.2">
      <c r="A553" s="29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  <c r="AG553" s="45"/>
      <c r="AH553" s="45"/>
      <c r="AI553" s="45"/>
      <c r="AJ553" s="45"/>
      <c r="AK553" s="45"/>
      <c r="AL553" s="45"/>
      <c r="AM553" s="45"/>
      <c r="AN553" s="45"/>
      <c r="AO553" s="90"/>
      <c r="AP553" s="46"/>
      <c r="AQ553" s="52"/>
      <c r="AR553" s="52"/>
      <c r="AS553" s="52"/>
    </row>
    <row r="554" spans="1:45" x14ac:dyDescent="0.2">
      <c r="A554" s="29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  <c r="AG554" s="45"/>
      <c r="AH554" s="45"/>
      <c r="AI554" s="45"/>
      <c r="AJ554" s="45"/>
      <c r="AK554" s="45"/>
      <c r="AL554" s="45"/>
      <c r="AM554" s="45"/>
      <c r="AN554" s="45"/>
      <c r="AO554" s="90"/>
      <c r="AP554" s="46"/>
      <c r="AQ554" s="52"/>
      <c r="AR554" s="52"/>
      <c r="AS554" s="52"/>
    </row>
    <row r="555" spans="1:45" x14ac:dyDescent="0.2">
      <c r="A555" s="29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  <c r="AG555" s="45"/>
      <c r="AH555" s="45"/>
      <c r="AI555" s="45"/>
      <c r="AJ555" s="45"/>
      <c r="AK555" s="45"/>
      <c r="AL555" s="45"/>
      <c r="AM555" s="45"/>
      <c r="AN555" s="45"/>
      <c r="AO555" s="90"/>
      <c r="AP555" s="46"/>
      <c r="AQ555" s="52"/>
      <c r="AR555" s="52"/>
      <c r="AS555" s="52"/>
    </row>
    <row r="556" spans="1:45" x14ac:dyDescent="0.2">
      <c r="A556" s="29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  <c r="AG556" s="45"/>
      <c r="AH556" s="45"/>
      <c r="AI556" s="45"/>
      <c r="AJ556" s="45"/>
      <c r="AK556" s="45"/>
      <c r="AL556" s="45"/>
      <c r="AM556" s="45"/>
      <c r="AN556" s="45"/>
      <c r="AO556" s="90"/>
      <c r="AP556" s="46"/>
      <c r="AQ556" s="52"/>
      <c r="AR556" s="52"/>
      <c r="AS556" s="52"/>
    </row>
    <row r="557" spans="1:45" x14ac:dyDescent="0.2">
      <c r="A557" s="29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  <c r="AG557" s="45"/>
      <c r="AH557" s="45"/>
      <c r="AI557" s="45"/>
      <c r="AJ557" s="45"/>
      <c r="AK557" s="45"/>
      <c r="AL557" s="45"/>
      <c r="AM557" s="45"/>
      <c r="AN557" s="45"/>
      <c r="AO557" s="90"/>
      <c r="AP557" s="46"/>
      <c r="AQ557" s="52"/>
      <c r="AR557" s="52"/>
      <c r="AS557" s="52"/>
    </row>
    <row r="558" spans="1:45" x14ac:dyDescent="0.2">
      <c r="A558" s="29"/>
      <c r="B558" s="45"/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  <c r="AG558" s="45"/>
      <c r="AH558" s="45"/>
      <c r="AI558" s="45"/>
      <c r="AJ558" s="45"/>
      <c r="AK558" s="45"/>
      <c r="AL558" s="45"/>
      <c r="AM558" s="45"/>
      <c r="AN558" s="45"/>
      <c r="AO558" s="90"/>
      <c r="AP558" s="46"/>
      <c r="AQ558" s="52"/>
      <c r="AR558" s="52"/>
      <c r="AS558" s="52"/>
    </row>
    <row r="559" spans="1:45" x14ac:dyDescent="0.2">
      <c r="A559" s="29"/>
      <c r="B559" s="45"/>
      <c r="C559" s="45"/>
      <c r="D559" s="45"/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  <c r="AG559" s="45"/>
      <c r="AH559" s="45"/>
      <c r="AI559" s="45"/>
      <c r="AJ559" s="45"/>
      <c r="AK559" s="45"/>
      <c r="AL559" s="45"/>
      <c r="AM559" s="45"/>
      <c r="AN559" s="45"/>
      <c r="AO559" s="90"/>
      <c r="AP559" s="46"/>
      <c r="AQ559" s="52"/>
      <c r="AR559" s="52"/>
      <c r="AS559" s="52"/>
    </row>
    <row r="560" spans="1:45" x14ac:dyDescent="0.2">
      <c r="A560" s="29"/>
      <c r="B560" s="45"/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  <c r="AG560" s="45"/>
      <c r="AH560" s="45"/>
      <c r="AI560" s="45"/>
      <c r="AJ560" s="45"/>
      <c r="AK560" s="45"/>
      <c r="AL560" s="45"/>
      <c r="AM560" s="45"/>
      <c r="AN560" s="45"/>
      <c r="AO560" s="90"/>
      <c r="AP560" s="46"/>
      <c r="AQ560" s="52"/>
      <c r="AR560" s="52"/>
      <c r="AS560" s="52"/>
    </row>
    <row r="561" spans="1:45" x14ac:dyDescent="0.2">
      <c r="A561" s="29"/>
      <c r="B561" s="45"/>
      <c r="C561" s="45"/>
      <c r="D561" s="45"/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  <c r="AG561" s="45"/>
      <c r="AH561" s="45"/>
      <c r="AI561" s="45"/>
      <c r="AJ561" s="45"/>
      <c r="AK561" s="45"/>
      <c r="AL561" s="45"/>
      <c r="AM561" s="45"/>
      <c r="AN561" s="45"/>
      <c r="AO561" s="90"/>
      <c r="AP561" s="46"/>
      <c r="AQ561" s="52"/>
      <c r="AR561" s="52"/>
      <c r="AS561" s="52"/>
    </row>
    <row r="562" spans="1:45" x14ac:dyDescent="0.2">
      <c r="A562" s="29"/>
      <c r="B562" s="45"/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  <c r="AG562" s="45"/>
      <c r="AH562" s="45"/>
      <c r="AI562" s="45"/>
      <c r="AJ562" s="45"/>
      <c r="AK562" s="45"/>
      <c r="AL562" s="45"/>
      <c r="AM562" s="45"/>
      <c r="AN562" s="45"/>
      <c r="AO562" s="90"/>
      <c r="AP562" s="46"/>
      <c r="AQ562" s="52"/>
      <c r="AR562" s="52"/>
      <c r="AS562" s="52"/>
    </row>
    <row r="563" spans="1:45" x14ac:dyDescent="0.2">
      <c r="A563" s="29"/>
      <c r="B563" s="45"/>
      <c r="C563" s="45"/>
      <c r="D563" s="45"/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  <c r="AG563" s="45"/>
      <c r="AH563" s="45"/>
      <c r="AI563" s="45"/>
      <c r="AJ563" s="45"/>
      <c r="AK563" s="45"/>
      <c r="AL563" s="45"/>
      <c r="AM563" s="45"/>
      <c r="AN563" s="45"/>
      <c r="AO563" s="90"/>
      <c r="AP563" s="46"/>
      <c r="AQ563" s="52"/>
      <c r="AR563" s="52"/>
      <c r="AS563" s="52"/>
    </row>
    <row r="564" spans="1:45" x14ac:dyDescent="0.2">
      <c r="A564" s="29"/>
      <c r="B564" s="45"/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  <c r="AG564" s="45"/>
      <c r="AH564" s="45"/>
      <c r="AI564" s="45"/>
      <c r="AJ564" s="45"/>
      <c r="AK564" s="45"/>
      <c r="AL564" s="45"/>
      <c r="AM564" s="45"/>
      <c r="AN564" s="45"/>
      <c r="AO564" s="90"/>
      <c r="AP564" s="46"/>
      <c r="AQ564" s="52"/>
      <c r="AR564" s="52"/>
      <c r="AS564" s="52"/>
    </row>
    <row r="565" spans="1:45" x14ac:dyDescent="0.2">
      <c r="A565" s="29"/>
      <c r="B565" s="45"/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  <c r="AG565" s="45"/>
      <c r="AH565" s="45"/>
      <c r="AI565" s="45"/>
      <c r="AJ565" s="45"/>
      <c r="AK565" s="45"/>
      <c r="AL565" s="45"/>
      <c r="AM565" s="45"/>
      <c r="AN565" s="45"/>
      <c r="AO565" s="90"/>
      <c r="AP565" s="46"/>
      <c r="AQ565" s="52"/>
      <c r="AR565" s="52"/>
      <c r="AS565" s="52"/>
    </row>
    <row r="566" spans="1:45" x14ac:dyDescent="0.2">
      <c r="A566" s="29"/>
      <c r="B566" s="45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  <c r="AG566" s="45"/>
      <c r="AH566" s="45"/>
      <c r="AI566" s="45"/>
      <c r="AJ566" s="45"/>
      <c r="AK566" s="45"/>
      <c r="AL566" s="45"/>
      <c r="AM566" s="45"/>
      <c r="AN566" s="45"/>
      <c r="AO566" s="90"/>
      <c r="AP566" s="46"/>
      <c r="AQ566" s="52"/>
      <c r="AR566" s="52"/>
      <c r="AS566" s="52"/>
    </row>
    <row r="567" spans="1:45" x14ac:dyDescent="0.2">
      <c r="A567" s="29"/>
      <c r="B567" s="45"/>
      <c r="C567" s="45"/>
      <c r="D567" s="45"/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  <c r="AG567" s="45"/>
      <c r="AH567" s="45"/>
      <c r="AI567" s="45"/>
      <c r="AJ567" s="45"/>
      <c r="AK567" s="45"/>
      <c r="AL567" s="45"/>
      <c r="AM567" s="45"/>
      <c r="AN567" s="45"/>
      <c r="AO567" s="90"/>
      <c r="AP567" s="46"/>
      <c r="AQ567" s="52"/>
      <c r="AR567" s="52"/>
      <c r="AS567" s="52"/>
    </row>
    <row r="568" spans="1:45" x14ac:dyDescent="0.2">
      <c r="A568" s="29"/>
      <c r="B568" s="45"/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  <c r="AG568" s="45"/>
      <c r="AH568" s="45"/>
      <c r="AI568" s="45"/>
      <c r="AJ568" s="45"/>
      <c r="AK568" s="45"/>
      <c r="AL568" s="45"/>
      <c r="AM568" s="45"/>
      <c r="AN568" s="45"/>
      <c r="AO568" s="90"/>
      <c r="AP568" s="46"/>
      <c r="AQ568" s="52"/>
      <c r="AR568" s="52"/>
      <c r="AS568" s="52"/>
    </row>
    <row r="569" spans="1:45" x14ac:dyDescent="0.2">
      <c r="A569" s="29"/>
      <c r="B569" s="45"/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  <c r="AG569" s="45"/>
      <c r="AH569" s="45"/>
      <c r="AI569" s="45"/>
      <c r="AJ569" s="45"/>
      <c r="AK569" s="45"/>
      <c r="AL569" s="45"/>
      <c r="AM569" s="45"/>
      <c r="AN569" s="45"/>
      <c r="AO569" s="90"/>
      <c r="AP569" s="46"/>
      <c r="AQ569" s="52"/>
      <c r="AR569" s="52"/>
      <c r="AS569" s="52"/>
    </row>
    <row r="570" spans="1:45" x14ac:dyDescent="0.2">
      <c r="A570" s="29"/>
      <c r="B570" s="45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  <c r="AG570" s="45"/>
      <c r="AH570" s="45"/>
      <c r="AI570" s="45"/>
      <c r="AJ570" s="45"/>
      <c r="AK570" s="45"/>
      <c r="AL570" s="45"/>
      <c r="AM570" s="45"/>
      <c r="AN570" s="45"/>
      <c r="AO570" s="90"/>
      <c r="AP570" s="46"/>
      <c r="AQ570" s="52"/>
      <c r="AR570" s="52"/>
      <c r="AS570" s="52"/>
    </row>
    <row r="571" spans="1:45" x14ac:dyDescent="0.2">
      <c r="A571" s="29"/>
      <c r="B571" s="45"/>
      <c r="C571" s="45"/>
      <c r="D571" s="45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  <c r="AG571" s="45"/>
      <c r="AH571" s="45"/>
      <c r="AI571" s="45"/>
      <c r="AJ571" s="45"/>
      <c r="AK571" s="45"/>
      <c r="AL571" s="45"/>
      <c r="AM571" s="45"/>
      <c r="AN571" s="45"/>
      <c r="AO571" s="90"/>
      <c r="AP571" s="46"/>
      <c r="AQ571" s="52"/>
      <c r="AR571" s="52"/>
      <c r="AS571" s="52"/>
    </row>
    <row r="572" spans="1:45" x14ac:dyDescent="0.2">
      <c r="A572" s="29"/>
      <c r="B572" s="45"/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  <c r="AG572" s="45"/>
      <c r="AH572" s="45"/>
      <c r="AI572" s="45"/>
      <c r="AJ572" s="45"/>
      <c r="AK572" s="45"/>
      <c r="AL572" s="45"/>
      <c r="AM572" s="45"/>
      <c r="AN572" s="45"/>
      <c r="AO572" s="90"/>
      <c r="AP572" s="46"/>
      <c r="AQ572" s="52"/>
      <c r="AR572" s="52"/>
      <c r="AS572" s="52"/>
    </row>
    <row r="573" spans="1:45" x14ac:dyDescent="0.2">
      <c r="A573" s="29"/>
      <c r="B573" s="45"/>
      <c r="C573" s="45"/>
      <c r="D573" s="45"/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  <c r="AG573" s="45"/>
      <c r="AH573" s="45"/>
      <c r="AI573" s="45"/>
      <c r="AJ573" s="45"/>
      <c r="AK573" s="45"/>
      <c r="AL573" s="45"/>
      <c r="AM573" s="45"/>
      <c r="AN573" s="45"/>
      <c r="AO573" s="90"/>
      <c r="AP573" s="46"/>
      <c r="AQ573" s="52"/>
      <c r="AR573" s="52"/>
      <c r="AS573" s="52"/>
    </row>
    <row r="574" spans="1:45" x14ac:dyDescent="0.2">
      <c r="A574" s="29"/>
      <c r="B574" s="45"/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  <c r="AG574" s="45"/>
      <c r="AH574" s="45"/>
      <c r="AI574" s="45"/>
      <c r="AJ574" s="45"/>
      <c r="AK574" s="45"/>
      <c r="AL574" s="45"/>
      <c r="AM574" s="45"/>
      <c r="AN574" s="45"/>
      <c r="AO574" s="90"/>
      <c r="AP574" s="46"/>
      <c r="AQ574" s="52"/>
      <c r="AR574" s="52"/>
      <c r="AS574" s="52"/>
    </row>
    <row r="575" spans="1:45" x14ac:dyDescent="0.2">
      <c r="A575" s="29"/>
      <c r="B575" s="45"/>
      <c r="C575" s="45"/>
      <c r="D575" s="45"/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  <c r="AG575" s="45"/>
      <c r="AH575" s="45"/>
      <c r="AI575" s="45"/>
      <c r="AJ575" s="45"/>
      <c r="AK575" s="45"/>
      <c r="AL575" s="45"/>
      <c r="AM575" s="45"/>
      <c r="AN575" s="45"/>
      <c r="AO575" s="90"/>
      <c r="AP575" s="46"/>
      <c r="AQ575" s="52"/>
      <c r="AR575" s="52"/>
      <c r="AS575" s="52"/>
    </row>
    <row r="576" spans="1:45" x14ac:dyDescent="0.2">
      <c r="A576" s="29"/>
      <c r="B576" s="45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  <c r="AG576" s="45"/>
      <c r="AH576" s="45"/>
      <c r="AI576" s="45"/>
      <c r="AJ576" s="45"/>
      <c r="AK576" s="45"/>
      <c r="AL576" s="45"/>
      <c r="AM576" s="45"/>
      <c r="AN576" s="45"/>
      <c r="AO576" s="90"/>
      <c r="AP576" s="46"/>
      <c r="AQ576" s="52"/>
      <c r="AR576" s="52"/>
      <c r="AS576" s="52"/>
    </row>
    <row r="577" spans="1:45" x14ac:dyDescent="0.2">
      <c r="A577" s="29"/>
      <c r="B577" s="45"/>
      <c r="C577" s="45"/>
      <c r="D577" s="45"/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  <c r="AG577" s="45"/>
      <c r="AH577" s="45"/>
      <c r="AI577" s="45"/>
      <c r="AJ577" s="45"/>
      <c r="AK577" s="45"/>
      <c r="AL577" s="45"/>
      <c r="AM577" s="45"/>
      <c r="AN577" s="45"/>
      <c r="AO577" s="90"/>
      <c r="AP577" s="46"/>
      <c r="AQ577" s="52"/>
      <c r="AR577" s="52"/>
      <c r="AS577" s="52"/>
    </row>
    <row r="578" spans="1:45" x14ac:dyDescent="0.2">
      <c r="A578" s="29"/>
      <c r="B578" s="45"/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  <c r="AG578" s="45"/>
      <c r="AH578" s="45"/>
      <c r="AI578" s="45"/>
      <c r="AJ578" s="45"/>
      <c r="AK578" s="45"/>
      <c r="AL578" s="45"/>
      <c r="AM578" s="45"/>
      <c r="AN578" s="45"/>
      <c r="AO578" s="90"/>
      <c r="AP578" s="46"/>
      <c r="AQ578" s="52"/>
      <c r="AR578" s="52"/>
      <c r="AS578" s="52"/>
    </row>
    <row r="579" spans="1:45" x14ac:dyDescent="0.2">
      <c r="A579" s="29"/>
      <c r="B579" s="45"/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  <c r="AG579" s="45"/>
      <c r="AH579" s="45"/>
      <c r="AI579" s="45"/>
      <c r="AJ579" s="45"/>
      <c r="AK579" s="45"/>
      <c r="AL579" s="45"/>
      <c r="AM579" s="45"/>
      <c r="AN579" s="45"/>
      <c r="AO579" s="90"/>
      <c r="AP579" s="46"/>
      <c r="AQ579" s="52"/>
      <c r="AR579" s="52"/>
      <c r="AS579" s="52"/>
    </row>
    <row r="580" spans="1:45" x14ac:dyDescent="0.2">
      <c r="A580" s="29"/>
      <c r="B580" s="45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  <c r="AG580" s="45"/>
      <c r="AH580" s="45"/>
      <c r="AI580" s="45"/>
      <c r="AJ580" s="45"/>
      <c r="AK580" s="45"/>
      <c r="AL580" s="45"/>
      <c r="AM580" s="45"/>
      <c r="AN580" s="45"/>
      <c r="AO580" s="90"/>
      <c r="AP580" s="46"/>
      <c r="AQ580" s="52"/>
      <c r="AR580" s="52"/>
      <c r="AS580" s="52"/>
    </row>
    <row r="581" spans="1:45" x14ac:dyDescent="0.2">
      <c r="A581" s="29"/>
      <c r="B581" s="45"/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  <c r="AG581" s="45"/>
      <c r="AH581" s="45"/>
      <c r="AI581" s="45"/>
      <c r="AJ581" s="45"/>
      <c r="AK581" s="45"/>
      <c r="AL581" s="45"/>
      <c r="AM581" s="45"/>
      <c r="AN581" s="45"/>
      <c r="AO581" s="90"/>
      <c r="AP581" s="46"/>
      <c r="AQ581" s="52"/>
      <c r="AR581" s="52"/>
      <c r="AS581" s="52"/>
    </row>
    <row r="582" spans="1:45" x14ac:dyDescent="0.2">
      <c r="A582" s="29"/>
      <c r="B582" s="45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  <c r="AG582" s="45"/>
      <c r="AH582" s="45"/>
      <c r="AI582" s="45"/>
      <c r="AJ582" s="45"/>
      <c r="AK582" s="45"/>
      <c r="AL582" s="45"/>
      <c r="AM582" s="45"/>
      <c r="AN582" s="45"/>
      <c r="AO582" s="90"/>
      <c r="AP582" s="46"/>
      <c r="AQ582" s="52"/>
      <c r="AR582" s="52"/>
      <c r="AS582" s="52"/>
    </row>
    <row r="583" spans="1:45" x14ac:dyDescent="0.2">
      <c r="A583" s="29"/>
      <c r="B583" s="45"/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  <c r="AG583" s="45"/>
      <c r="AH583" s="45"/>
      <c r="AI583" s="45"/>
      <c r="AJ583" s="45"/>
      <c r="AK583" s="45"/>
      <c r="AL583" s="45"/>
      <c r="AM583" s="45"/>
      <c r="AN583" s="45"/>
      <c r="AO583" s="90"/>
      <c r="AP583" s="46"/>
      <c r="AQ583" s="52"/>
      <c r="AR583" s="52"/>
      <c r="AS583" s="52"/>
    </row>
    <row r="584" spans="1:45" x14ac:dyDescent="0.2">
      <c r="A584" s="29"/>
      <c r="B584" s="45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  <c r="AG584" s="45"/>
      <c r="AH584" s="45"/>
      <c r="AI584" s="45"/>
      <c r="AJ584" s="45"/>
      <c r="AK584" s="45"/>
      <c r="AL584" s="45"/>
      <c r="AM584" s="45"/>
      <c r="AN584" s="45"/>
      <c r="AO584" s="90"/>
      <c r="AP584" s="46"/>
      <c r="AQ584" s="52"/>
      <c r="AR584" s="52"/>
      <c r="AS584" s="52"/>
    </row>
    <row r="585" spans="1:45" x14ac:dyDescent="0.2">
      <c r="A585" s="29"/>
      <c r="B585" s="45"/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  <c r="AG585" s="45"/>
      <c r="AH585" s="45"/>
      <c r="AI585" s="45"/>
      <c r="AJ585" s="45"/>
      <c r="AK585" s="45"/>
      <c r="AL585" s="45"/>
      <c r="AM585" s="45"/>
      <c r="AN585" s="45"/>
      <c r="AO585" s="90"/>
      <c r="AP585" s="46"/>
      <c r="AQ585" s="52"/>
      <c r="AR585" s="52"/>
      <c r="AS585" s="52"/>
    </row>
    <row r="586" spans="1:45" x14ac:dyDescent="0.2">
      <c r="A586" s="29"/>
      <c r="B586" s="45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  <c r="AG586" s="45"/>
      <c r="AH586" s="45"/>
      <c r="AI586" s="45"/>
      <c r="AJ586" s="45"/>
      <c r="AK586" s="45"/>
      <c r="AL586" s="45"/>
      <c r="AM586" s="45"/>
      <c r="AN586" s="45"/>
      <c r="AO586" s="90"/>
      <c r="AP586" s="46"/>
      <c r="AQ586" s="52"/>
      <c r="AR586" s="52"/>
      <c r="AS586" s="52"/>
    </row>
    <row r="587" spans="1:45" x14ac:dyDescent="0.2">
      <c r="A587" s="29"/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  <c r="AG587" s="45"/>
      <c r="AH587" s="45"/>
      <c r="AI587" s="45"/>
      <c r="AJ587" s="45"/>
      <c r="AK587" s="45"/>
      <c r="AL587" s="45"/>
      <c r="AM587" s="45"/>
      <c r="AN587" s="45"/>
      <c r="AO587" s="90"/>
      <c r="AP587" s="46"/>
      <c r="AQ587" s="52"/>
      <c r="AR587" s="52"/>
      <c r="AS587" s="52"/>
    </row>
    <row r="588" spans="1:45" x14ac:dyDescent="0.2">
      <c r="A588" s="29"/>
      <c r="B588" s="45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  <c r="AG588" s="45"/>
      <c r="AH588" s="45"/>
      <c r="AI588" s="45"/>
      <c r="AJ588" s="45"/>
      <c r="AK588" s="45"/>
      <c r="AL588" s="45"/>
      <c r="AM588" s="45"/>
      <c r="AN588" s="45"/>
      <c r="AO588" s="90"/>
      <c r="AP588" s="46"/>
      <c r="AQ588" s="52"/>
      <c r="AR588" s="52"/>
      <c r="AS588" s="52"/>
    </row>
    <row r="589" spans="1:45" x14ac:dyDescent="0.2">
      <c r="A589" s="29"/>
      <c r="B589" s="45"/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  <c r="AG589" s="45"/>
      <c r="AH589" s="45"/>
      <c r="AI589" s="45"/>
      <c r="AJ589" s="45"/>
      <c r="AK589" s="45"/>
      <c r="AL589" s="45"/>
      <c r="AM589" s="45"/>
      <c r="AN589" s="45"/>
      <c r="AO589" s="90"/>
      <c r="AP589" s="46"/>
      <c r="AQ589" s="52"/>
      <c r="AR589" s="52"/>
      <c r="AS589" s="52"/>
    </row>
    <row r="590" spans="1:45" x14ac:dyDescent="0.2">
      <c r="A590" s="29"/>
      <c r="B590" s="45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  <c r="AG590" s="45"/>
      <c r="AH590" s="45"/>
      <c r="AI590" s="45"/>
      <c r="AJ590" s="45"/>
      <c r="AK590" s="45"/>
      <c r="AL590" s="45"/>
      <c r="AM590" s="45"/>
      <c r="AN590" s="45"/>
      <c r="AO590" s="90"/>
      <c r="AP590" s="46"/>
      <c r="AQ590" s="52"/>
      <c r="AR590" s="52"/>
      <c r="AS590" s="52"/>
    </row>
    <row r="591" spans="1:45" x14ac:dyDescent="0.2">
      <c r="A591" s="29"/>
      <c r="B591" s="45"/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  <c r="AG591" s="45"/>
      <c r="AH591" s="45"/>
      <c r="AI591" s="45"/>
      <c r="AJ591" s="45"/>
      <c r="AK591" s="45"/>
      <c r="AL591" s="45"/>
      <c r="AM591" s="45"/>
      <c r="AN591" s="45"/>
      <c r="AO591" s="90"/>
      <c r="AP591" s="46"/>
      <c r="AQ591" s="52"/>
      <c r="AR591" s="52"/>
      <c r="AS591" s="52"/>
    </row>
    <row r="592" spans="1:45" x14ac:dyDescent="0.2">
      <c r="A592" s="29"/>
      <c r="B592" s="45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  <c r="AG592" s="45"/>
      <c r="AH592" s="45"/>
      <c r="AI592" s="45"/>
      <c r="AJ592" s="45"/>
      <c r="AK592" s="45"/>
      <c r="AL592" s="45"/>
      <c r="AM592" s="45"/>
      <c r="AN592" s="45"/>
      <c r="AO592" s="90"/>
      <c r="AP592" s="46"/>
      <c r="AQ592" s="52"/>
      <c r="AR592" s="52"/>
      <c r="AS592" s="52"/>
    </row>
    <row r="593" spans="1:45" x14ac:dyDescent="0.2">
      <c r="A593" s="29"/>
      <c r="B593" s="45"/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  <c r="AG593" s="45"/>
      <c r="AH593" s="45"/>
      <c r="AI593" s="45"/>
      <c r="AJ593" s="45"/>
      <c r="AK593" s="45"/>
      <c r="AL593" s="45"/>
      <c r="AM593" s="45"/>
      <c r="AN593" s="45"/>
      <c r="AO593" s="90"/>
      <c r="AP593" s="46"/>
      <c r="AQ593" s="52"/>
      <c r="AR593" s="52"/>
      <c r="AS593" s="52"/>
    </row>
    <row r="594" spans="1:45" x14ac:dyDescent="0.2">
      <c r="A594" s="29"/>
      <c r="B594" s="45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  <c r="AG594" s="45"/>
      <c r="AH594" s="45"/>
      <c r="AI594" s="45"/>
      <c r="AJ594" s="45"/>
      <c r="AK594" s="45"/>
      <c r="AL594" s="45"/>
      <c r="AM594" s="45"/>
      <c r="AN594" s="45"/>
      <c r="AO594" s="90"/>
      <c r="AP594" s="46"/>
      <c r="AQ594" s="52"/>
      <c r="AR594" s="52"/>
      <c r="AS594" s="52"/>
    </row>
    <row r="595" spans="1:45" x14ac:dyDescent="0.2">
      <c r="A595" s="29"/>
      <c r="B595" s="45"/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  <c r="AG595" s="45"/>
      <c r="AH595" s="45"/>
      <c r="AI595" s="45"/>
      <c r="AJ595" s="45"/>
      <c r="AK595" s="45"/>
      <c r="AL595" s="45"/>
      <c r="AM595" s="45"/>
      <c r="AN595" s="45"/>
      <c r="AO595" s="90"/>
      <c r="AP595" s="46"/>
      <c r="AQ595" s="52"/>
      <c r="AR595" s="52"/>
      <c r="AS595" s="52"/>
    </row>
    <row r="596" spans="1:45" x14ac:dyDescent="0.2">
      <c r="A596" s="29"/>
      <c r="B596" s="45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  <c r="AG596" s="45"/>
      <c r="AH596" s="45"/>
      <c r="AI596" s="45"/>
      <c r="AJ596" s="45"/>
      <c r="AK596" s="45"/>
      <c r="AL596" s="45"/>
      <c r="AM596" s="45"/>
      <c r="AN596" s="45"/>
      <c r="AO596" s="90"/>
      <c r="AP596" s="46"/>
      <c r="AQ596" s="52"/>
      <c r="AR596" s="52"/>
      <c r="AS596" s="52"/>
    </row>
    <row r="597" spans="1:45" x14ac:dyDescent="0.2">
      <c r="A597" s="29"/>
      <c r="B597" s="45"/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  <c r="AG597" s="45"/>
      <c r="AH597" s="45"/>
      <c r="AI597" s="45"/>
      <c r="AJ597" s="45"/>
      <c r="AK597" s="45"/>
      <c r="AL597" s="45"/>
      <c r="AM597" s="45"/>
      <c r="AN597" s="45"/>
      <c r="AO597" s="90"/>
      <c r="AP597" s="46"/>
      <c r="AQ597" s="52"/>
      <c r="AR597" s="52"/>
      <c r="AS597" s="52"/>
    </row>
    <row r="598" spans="1:45" x14ac:dyDescent="0.2">
      <c r="A598" s="29"/>
      <c r="B598" s="45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  <c r="AG598" s="45"/>
      <c r="AH598" s="45"/>
      <c r="AI598" s="45"/>
      <c r="AJ598" s="45"/>
      <c r="AK598" s="45"/>
      <c r="AL598" s="45"/>
      <c r="AM598" s="45"/>
      <c r="AN598" s="45"/>
      <c r="AO598" s="90"/>
      <c r="AP598" s="46"/>
      <c r="AQ598" s="52"/>
      <c r="AR598" s="52"/>
      <c r="AS598" s="52"/>
    </row>
    <row r="599" spans="1:45" x14ac:dyDescent="0.2">
      <c r="A599" s="29"/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  <c r="AG599" s="45"/>
      <c r="AH599" s="45"/>
      <c r="AI599" s="45"/>
      <c r="AJ599" s="45"/>
      <c r="AK599" s="45"/>
      <c r="AL599" s="45"/>
      <c r="AM599" s="45"/>
      <c r="AN599" s="45"/>
      <c r="AO599" s="90"/>
      <c r="AP599" s="46"/>
      <c r="AQ599" s="52"/>
      <c r="AR599" s="52"/>
      <c r="AS599" s="52"/>
    </row>
    <row r="600" spans="1:45" x14ac:dyDescent="0.2">
      <c r="A600" s="29"/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  <c r="AG600" s="45"/>
      <c r="AH600" s="45"/>
      <c r="AI600" s="45"/>
      <c r="AJ600" s="45"/>
      <c r="AK600" s="45"/>
      <c r="AL600" s="45"/>
      <c r="AM600" s="45"/>
      <c r="AN600" s="45"/>
      <c r="AO600" s="90"/>
      <c r="AP600" s="46"/>
      <c r="AQ600" s="52"/>
      <c r="AR600" s="52"/>
      <c r="AS600" s="52"/>
    </row>
    <row r="601" spans="1:45" x14ac:dyDescent="0.2">
      <c r="A601" s="29"/>
      <c r="B601" s="45"/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  <c r="AG601" s="45"/>
      <c r="AH601" s="45"/>
      <c r="AI601" s="45"/>
      <c r="AJ601" s="45"/>
      <c r="AK601" s="45"/>
      <c r="AL601" s="45"/>
      <c r="AM601" s="45"/>
      <c r="AN601" s="45"/>
      <c r="AO601" s="90"/>
      <c r="AP601" s="46"/>
      <c r="AQ601" s="52"/>
      <c r="AR601" s="52"/>
      <c r="AS601" s="52"/>
    </row>
    <row r="602" spans="1:45" x14ac:dyDescent="0.2">
      <c r="A602" s="29"/>
      <c r="B602" s="45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  <c r="AG602" s="45"/>
      <c r="AH602" s="45"/>
      <c r="AI602" s="45"/>
      <c r="AJ602" s="45"/>
      <c r="AK602" s="45"/>
      <c r="AL602" s="45"/>
      <c r="AM602" s="45"/>
      <c r="AN602" s="45"/>
      <c r="AO602" s="90"/>
      <c r="AP602" s="46"/>
      <c r="AQ602" s="52"/>
      <c r="AR602" s="52"/>
      <c r="AS602" s="52"/>
    </row>
    <row r="603" spans="1:45" x14ac:dyDescent="0.2">
      <c r="A603" s="29"/>
      <c r="B603" s="45"/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  <c r="AG603" s="45"/>
      <c r="AH603" s="45"/>
      <c r="AI603" s="45"/>
      <c r="AJ603" s="45"/>
      <c r="AK603" s="45"/>
      <c r="AL603" s="45"/>
      <c r="AM603" s="45"/>
      <c r="AN603" s="45"/>
      <c r="AO603" s="90"/>
      <c r="AP603" s="46"/>
      <c r="AQ603" s="52"/>
      <c r="AR603" s="52"/>
      <c r="AS603" s="52"/>
    </row>
    <row r="604" spans="1:45" x14ac:dyDescent="0.2">
      <c r="A604" s="29"/>
      <c r="B604" s="45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  <c r="AG604" s="45"/>
      <c r="AH604" s="45"/>
      <c r="AI604" s="45"/>
      <c r="AJ604" s="45"/>
      <c r="AK604" s="45"/>
      <c r="AL604" s="45"/>
      <c r="AM604" s="45"/>
      <c r="AN604" s="45"/>
      <c r="AO604" s="90"/>
      <c r="AP604" s="46"/>
      <c r="AQ604" s="52"/>
      <c r="AR604" s="52"/>
      <c r="AS604" s="52"/>
    </row>
    <row r="605" spans="1:45" x14ac:dyDescent="0.2">
      <c r="A605" s="29"/>
      <c r="B605" s="45"/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  <c r="AG605" s="45"/>
      <c r="AH605" s="45"/>
      <c r="AI605" s="45"/>
      <c r="AJ605" s="45"/>
      <c r="AK605" s="45"/>
      <c r="AL605" s="45"/>
      <c r="AM605" s="45"/>
      <c r="AN605" s="45"/>
      <c r="AO605" s="90"/>
      <c r="AP605" s="46"/>
      <c r="AQ605" s="52"/>
      <c r="AR605" s="52"/>
      <c r="AS605" s="52"/>
    </row>
    <row r="606" spans="1:45" x14ac:dyDescent="0.2">
      <c r="A606" s="29"/>
      <c r="B606" s="45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  <c r="AG606" s="45"/>
      <c r="AH606" s="45"/>
      <c r="AI606" s="45"/>
      <c r="AJ606" s="45"/>
      <c r="AK606" s="45"/>
      <c r="AL606" s="45"/>
      <c r="AM606" s="45"/>
      <c r="AN606" s="45"/>
      <c r="AO606" s="90"/>
      <c r="AP606" s="46"/>
      <c r="AQ606" s="52"/>
      <c r="AR606" s="52"/>
      <c r="AS606" s="52"/>
    </row>
    <row r="607" spans="1:45" x14ac:dyDescent="0.2">
      <c r="A607" s="29"/>
      <c r="B607" s="45"/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  <c r="AG607" s="45"/>
      <c r="AH607" s="45"/>
      <c r="AI607" s="45"/>
      <c r="AJ607" s="45"/>
      <c r="AK607" s="45"/>
      <c r="AL607" s="45"/>
      <c r="AM607" s="45"/>
      <c r="AN607" s="45"/>
      <c r="AO607" s="90"/>
      <c r="AP607" s="46"/>
      <c r="AQ607" s="52"/>
      <c r="AR607" s="52"/>
      <c r="AS607" s="52"/>
    </row>
    <row r="608" spans="1:45" x14ac:dyDescent="0.2">
      <c r="A608" s="29"/>
      <c r="B608" s="45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  <c r="AG608" s="45"/>
      <c r="AH608" s="45"/>
      <c r="AI608" s="45"/>
      <c r="AJ608" s="45"/>
      <c r="AK608" s="45"/>
      <c r="AL608" s="45"/>
      <c r="AM608" s="45"/>
      <c r="AN608" s="45"/>
      <c r="AO608" s="90"/>
      <c r="AP608" s="46"/>
      <c r="AQ608" s="52"/>
      <c r="AR608" s="52"/>
      <c r="AS608" s="52"/>
    </row>
    <row r="609" spans="1:45" x14ac:dyDescent="0.2">
      <c r="A609" s="29"/>
      <c r="B609" s="45"/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  <c r="AG609" s="45"/>
      <c r="AH609" s="45"/>
      <c r="AI609" s="45"/>
      <c r="AJ609" s="45"/>
      <c r="AK609" s="45"/>
      <c r="AL609" s="45"/>
      <c r="AM609" s="45"/>
      <c r="AN609" s="45"/>
      <c r="AO609" s="90"/>
      <c r="AP609" s="46"/>
      <c r="AQ609" s="52"/>
      <c r="AR609" s="52"/>
      <c r="AS609" s="52"/>
    </row>
    <row r="610" spans="1:45" x14ac:dyDescent="0.2">
      <c r="A610" s="29"/>
      <c r="B610" s="45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  <c r="AG610" s="45"/>
      <c r="AH610" s="45"/>
      <c r="AI610" s="45"/>
      <c r="AJ610" s="45"/>
      <c r="AK610" s="45"/>
      <c r="AL610" s="45"/>
      <c r="AM610" s="45"/>
      <c r="AN610" s="45"/>
      <c r="AO610" s="90"/>
      <c r="AP610" s="46"/>
      <c r="AQ610" s="52"/>
      <c r="AR610" s="52"/>
      <c r="AS610" s="52"/>
    </row>
    <row r="611" spans="1:45" x14ac:dyDescent="0.2">
      <c r="A611" s="29"/>
      <c r="B611" s="45"/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  <c r="AG611" s="45"/>
      <c r="AH611" s="45"/>
      <c r="AI611" s="45"/>
      <c r="AJ611" s="45"/>
      <c r="AK611" s="45"/>
      <c r="AL611" s="45"/>
      <c r="AM611" s="45"/>
      <c r="AN611" s="45"/>
      <c r="AO611" s="90"/>
      <c r="AP611" s="46"/>
      <c r="AQ611" s="52"/>
      <c r="AR611" s="52"/>
      <c r="AS611" s="52"/>
    </row>
    <row r="612" spans="1:45" x14ac:dyDescent="0.2">
      <c r="A612" s="29"/>
      <c r="B612" s="45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  <c r="AG612" s="45"/>
      <c r="AH612" s="45"/>
      <c r="AI612" s="45"/>
      <c r="AJ612" s="45"/>
      <c r="AK612" s="45"/>
      <c r="AL612" s="45"/>
      <c r="AM612" s="45"/>
      <c r="AN612" s="45"/>
      <c r="AO612" s="90"/>
      <c r="AP612" s="46"/>
      <c r="AQ612" s="52"/>
      <c r="AR612" s="52"/>
      <c r="AS612" s="52"/>
    </row>
    <row r="613" spans="1:45" x14ac:dyDescent="0.2">
      <c r="A613" s="29"/>
      <c r="B613" s="45"/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  <c r="AG613" s="45"/>
      <c r="AH613" s="45"/>
      <c r="AI613" s="45"/>
      <c r="AJ613" s="45"/>
      <c r="AK613" s="45"/>
      <c r="AL613" s="45"/>
      <c r="AM613" s="45"/>
      <c r="AN613" s="45"/>
      <c r="AO613" s="90"/>
      <c r="AP613" s="46"/>
      <c r="AQ613" s="52"/>
      <c r="AR613" s="52"/>
      <c r="AS613" s="52"/>
    </row>
    <row r="614" spans="1:45" x14ac:dyDescent="0.2">
      <c r="A614" s="29"/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  <c r="AG614" s="45"/>
      <c r="AH614" s="45"/>
      <c r="AI614" s="45"/>
      <c r="AJ614" s="45"/>
      <c r="AK614" s="45"/>
      <c r="AL614" s="45"/>
      <c r="AM614" s="45"/>
      <c r="AN614" s="45"/>
      <c r="AO614" s="90"/>
      <c r="AP614" s="46"/>
      <c r="AQ614" s="52"/>
      <c r="AR614" s="52"/>
      <c r="AS614" s="52"/>
    </row>
    <row r="615" spans="1:45" x14ac:dyDescent="0.2">
      <c r="A615" s="29"/>
      <c r="B615" s="45"/>
      <c r="C615" s="45"/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  <c r="AG615" s="45"/>
      <c r="AH615" s="45"/>
      <c r="AI615" s="45"/>
      <c r="AJ615" s="45"/>
      <c r="AK615" s="45"/>
      <c r="AL615" s="45"/>
      <c r="AM615" s="45"/>
      <c r="AN615" s="45"/>
      <c r="AO615" s="90"/>
      <c r="AP615" s="46"/>
      <c r="AQ615" s="52"/>
      <c r="AR615" s="52"/>
      <c r="AS615" s="52"/>
    </row>
    <row r="616" spans="1:45" x14ac:dyDescent="0.2">
      <c r="A616" s="29"/>
      <c r="B616" s="45"/>
      <c r="C616" s="45"/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  <c r="AG616" s="45"/>
      <c r="AH616" s="45"/>
      <c r="AI616" s="45"/>
      <c r="AJ616" s="45"/>
      <c r="AK616" s="45"/>
      <c r="AL616" s="45"/>
      <c r="AM616" s="45"/>
      <c r="AN616" s="45"/>
      <c r="AO616" s="90"/>
      <c r="AP616" s="46"/>
      <c r="AQ616" s="52"/>
      <c r="AR616" s="52"/>
      <c r="AS616" s="52"/>
    </row>
    <row r="617" spans="1:45" x14ac:dyDescent="0.2">
      <c r="A617" s="29"/>
      <c r="B617" s="45"/>
      <c r="C617" s="45"/>
      <c r="D617" s="45"/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  <c r="AG617" s="45"/>
      <c r="AH617" s="45"/>
      <c r="AI617" s="45"/>
      <c r="AJ617" s="45"/>
      <c r="AK617" s="45"/>
      <c r="AL617" s="45"/>
      <c r="AM617" s="45"/>
      <c r="AN617" s="45"/>
      <c r="AO617" s="90"/>
      <c r="AP617" s="46"/>
      <c r="AQ617" s="52"/>
      <c r="AR617" s="52"/>
      <c r="AS617" s="52"/>
    </row>
    <row r="618" spans="1:45" x14ac:dyDescent="0.2">
      <c r="A618" s="29"/>
      <c r="B618" s="45"/>
      <c r="C618" s="45"/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  <c r="AG618" s="45"/>
      <c r="AH618" s="45"/>
      <c r="AI618" s="45"/>
      <c r="AJ618" s="45"/>
      <c r="AK618" s="45"/>
      <c r="AL618" s="45"/>
      <c r="AM618" s="45"/>
      <c r="AN618" s="45"/>
      <c r="AO618" s="90"/>
      <c r="AP618" s="46"/>
      <c r="AQ618" s="52"/>
      <c r="AR618" s="52"/>
      <c r="AS618" s="52"/>
    </row>
    <row r="619" spans="1:45" x14ac:dyDescent="0.2">
      <c r="A619" s="29"/>
      <c r="B619" s="45"/>
      <c r="C619" s="45"/>
      <c r="D619" s="45"/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  <c r="AG619" s="45"/>
      <c r="AH619" s="45"/>
      <c r="AI619" s="45"/>
      <c r="AJ619" s="45"/>
      <c r="AK619" s="45"/>
      <c r="AL619" s="45"/>
      <c r="AM619" s="45"/>
      <c r="AN619" s="45"/>
      <c r="AO619" s="90"/>
      <c r="AP619" s="46"/>
      <c r="AQ619" s="52"/>
      <c r="AR619" s="52"/>
      <c r="AS619" s="52"/>
    </row>
    <row r="620" spans="1:45" x14ac:dyDescent="0.2">
      <c r="A620" s="29"/>
      <c r="B620" s="45"/>
      <c r="C620" s="45"/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  <c r="AG620" s="45"/>
      <c r="AH620" s="45"/>
      <c r="AI620" s="45"/>
      <c r="AJ620" s="45"/>
      <c r="AK620" s="45"/>
      <c r="AL620" s="45"/>
      <c r="AM620" s="45"/>
      <c r="AN620" s="45"/>
      <c r="AO620" s="90"/>
      <c r="AP620" s="46"/>
      <c r="AQ620" s="52"/>
      <c r="AR620" s="52"/>
      <c r="AS620" s="52"/>
    </row>
    <row r="621" spans="1:45" x14ac:dyDescent="0.2">
      <c r="A621" s="29"/>
      <c r="B621" s="45"/>
      <c r="C621" s="45"/>
      <c r="D621" s="45"/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  <c r="AG621" s="45"/>
      <c r="AH621" s="45"/>
      <c r="AI621" s="45"/>
      <c r="AJ621" s="45"/>
      <c r="AK621" s="45"/>
      <c r="AL621" s="45"/>
      <c r="AM621" s="45"/>
      <c r="AN621" s="45"/>
      <c r="AO621" s="90"/>
      <c r="AP621" s="46"/>
      <c r="AQ621" s="52"/>
      <c r="AR621" s="52"/>
      <c r="AS621" s="52"/>
    </row>
    <row r="622" spans="1:45" x14ac:dyDescent="0.2">
      <c r="A622" s="29"/>
      <c r="B622" s="45"/>
      <c r="C622" s="45"/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  <c r="AG622" s="45"/>
      <c r="AH622" s="45"/>
      <c r="AI622" s="45"/>
      <c r="AJ622" s="45"/>
      <c r="AK622" s="45"/>
      <c r="AL622" s="45"/>
      <c r="AM622" s="45"/>
      <c r="AN622" s="45"/>
      <c r="AO622" s="90"/>
      <c r="AP622" s="46"/>
      <c r="AQ622" s="52"/>
      <c r="AR622" s="52"/>
      <c r="AS622" s="52"/>
    </row>
    <row r="623" spans="1:45" x14ac:dyDescent="0.2">
      <c r="A623" s="29"/>
      <c r="B623" s="45"/>
      <c r="C623" s="45"/>
      <c r="D623" s="45"/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  <c r="AG623" s="45"/>
      <c r="AH623" s="45"/>
      <c r="AI623" s="45"/>
      <c r="AJ623" s="45"/>
      <c r="AK623" s="45"/>
      <c r="AL623" s="45"/>
      <c r="AM623" s="45"/>
      <c r="AN623" s="45"/>
      <c r="AO623" s="90"/>
      <c r="AP623" s="46"/>
      <c r="AQ623" s="52"/>
      <c r="AR623" s="52"/>
      <c r="AS623" s="52"/>
    </row>
    <row r="624" spans="1:45" x14ac:dyDescent="0.2">
      <c r="A624" s="29"/>
      <c r="B624" s="45"/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  <c r="AG624" s="45"/>
      <c r="AH624" s="45"/>
      <c r="AI624" s="45"/>
      <c r="AJ624" s="45"/>
      <c r="AK624" s="45"/>
      <c r="AL624" s="45"/>
      <c r="AM624" s="45"/>
      <c r="AN624" s="45"/>
      <c r="AO624" s="90"/>
      <c r="AP624" s="46"/>
      <c r="AQ624" s="52"/>
      <c r="AR624" s="52"/>
      <c r="AS624" s="52"/>
    </row>
    <row r="625" spans="1:45" x14ac:dyDescent="0.2">
      <c r="A625" s="29"/>
      <c r="B625" s="45"/>
      <c r="C625" s="45"/>
      <c r="D625" s="45"/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  <c r="AG625" s="45"/>
      <c r="AH625" s="45"/>
      <c r="AI625" s="45"/>
      <c r="AJ625" s="45"/>
      <c r="AK625" s="45"/>
      <c r="AL625" s="45"/>
      <c r="AM625" s="45"/>
      <c r="AN625" s="45"/>
      <c r="AO625" s="90"/>
      <c r="AP625" s="46"/>
      <c r="AQ625" s="52"/>
      <c r="AR625" s="52"/>
      <c r="AS625" s="52"/>
    </row>
    <row r="626" spans="1:45" x14ac:dyDescent="0.2">
      <c r="A626" s="29"/>
      <c r="B626" s="45"/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  <c r="AG626" s="45"/>
      <c r="AH626" s="45"/>
      <c r="AI626" s="45"/>
      <c r="AJ626" s="45"/>
      <c r="AK626" s="45"/>
      <c r="AL626" s="45"/>
      <c r="AM626" s="45"/>
      <c r="AN626" s="45"/>
      <c r="AO626" s="90"/>
      <c r="AP626" s="46"/>
      <c r="AQ626" s="52"/>
      <c r="AR626" s="52"/>
      <c r="AS626" s="52"/>
    </row>
    <row r="627" spans="1:45" x14ac:dyDescent="0.2">
      <c r="A627" s="29"/>
      <c r="B627" s="45"/>
      <c r="C627" s="45"/>
      <c r="D627" s="45"/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  <c r="AG627" s="45"/>
      <c r="AH627" s="45"/>
      <c r="AI627" s="45"/>
      <c r="AJ627" s="45"/>
      <c r="AK627" s="45"/>
      <c r="AL627" s="45"/>
      <c r="AM627" s="45"/>
      <c r="AN627" s="45"/>
      <c r="AO627" s="90"/>
      <c r="AP627" s="46"/>
      <c r="AQ627" s="52"/>
      <c r="AR627" s="52"/>
      <c r="AS627" s="52"/>
    </row>
    <row r="628" spans="1:45" x14ac:dyDescent="0.2">
      <c r="A628" s="29"/>
      <c r="B628" s="45"/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  <c r="AG628" s="45"/>
      <c r="AH628" s="45"/>
      <c r="AI628" s="45"/>
      <c r="AJ628" s="45"/>
      <c r="AK628" s="45"/>
      <c r="AL628" s="45"/>
      <c r="AM628" s="45"/>
      <c r="AN628" s="45"/>
      <c r="AO628" s="90"/>
      <c r="AP628" s="46"/>
      <c r="AQ628" s="52"/>
      <c r="AR628" s="52"/>
      <c r="AS628" s="52"/>
    </row>
    <row r="629" spans="1:45" x14ac:dyDescent="0.2">
      <c r="A629" s="29"/>
      <c r="B629" s="45"/>
      <c r="C629" s="45"/>
      <c r="D629" s="45"/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  <c r="AG629" s="45"/>
      <c r="AH629" s="45"/>
      <c r="AI629" s="45"/>
      <c r="AJ629" s="45"/>
      <c r="AK629" s="45"/>
      <c r="AL629" s="45"/>
      <c r="AM629" s="45"/>
      <c r="AN629" s="45"/>
      <c r="AO629" s="90"/>
      <c r="AP629" s="46"/>
      <c r="AQ629" s="52"/>
      <c r="AR629" s="52"/>
      <c r="AS629" s="52"/>
    </row>
    <row r="630" spans="1:45" x14ac:dyDescent="0.2">
      <c r="A630" s="29"/>
      <c r="B630" s="45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  <c r="AG630" s="45"/>
      <c r="AH630" s="45"/>
      <c r="AI630" s="45"/>
      <c r="AJ630" s="45"/>
      <c r="AK630" s="45"/>
      <c r="AL630" s="45"/>
      <c r="AM630" s="45"/>
      <c r="AN630" s="45"/>
      <c r="AO630" s="90"/>
      <c r="AP630" s="46"/>
      <c r="AQ630" s="52"/>
      <c r="AR630" s="52"/>
      <c r="AS630" s="52"/>
    </row>
    <row r="631" spans="1:45" x14ac:dyDescent="0.2">
      <c r="A631" s="29"/>
      <c r="B631" s="45"/>
      <c r="C631" s="45"/>
      <c r="D631" s="45"/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  <c r="AG631" s="45"/>
      <c r="AH631" s="45"/>
      <c r="AI631" s="45"/>
      <c r="AJ631" s="45"/>
      <c r="AK631" s="45"/>
      <c r="AL631" s="45"/>
      <c r="AM631" s="45"/>
      <c r="AN631" s="45"/>
      <c r="AO631" s="90"/>
      <c r="AP631" s="46"/>
      <c r="AQ631" s="52"/>
      <c r="AR631" s="52"/>
      <c r="AS631" s="52"/>
    </row>
    <row r="632" spans="1:45" x14ac:dyDescent="0.2">
      <c r="A632" s="29"/>
      <c r="B632" s="45"/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  <c r="AG632" s="45"/>
      <c r="AH632" s="45"/>
      <c r="AI632" s="45"/>
      <c r="AJ632" s="45"/>
      <c r="AK632" s="45"/>
      <c r="AL632" s="45"/>
      <c r="AM632" s="45"/>
      <c r="AN632" s="45"/>
      <c r="AO632" s="90"/>
      <c r="AP632" s="46"/>
      <c r="AQ632" s="52"/>
      <c r="AR632" s="52"/>
      <c r="AS632" s="52"/>
    </row>
    <row r="633" spans="1:45" x14ac:dyDescent="0.2">
      <c r="A633" s="29"/>
      <c r="B633" s="45"/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  <c r="AG633" s="45"/>
      <c r="AH633" s="45"/>
      <c r="AI633" s="45"/>
      <c r="AJ633" s="45"/>
      <c r="AK633" s="45"/>
      <c r="AL633" s="45"/>
      <c r="AM633" s="45"/>
      <c r="AN633" s="45"/>
      <c r="AO633" s="90"/>
      <c r="AP633" s="46"/>
      <c r="AQ633" s="52"/>
      <c r="AR633" s="52"/>
      <c r="AS633" s="52"/>
    </row>
    <row r="634" spans="1:45" x14ac:dyDescent="0.2">
      <c r="A634" s="29"/>
      <c r="B634" s="45"/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  <c r="AG634" s="45"/>
      <c r="AH634" s="45"/>
      <c r="AI634" s="45"/>
      <c r="AJ634" s="45"/>
      <c r="AK634" s="45"/>
      <c r="AL634" s="45"/>
      <c r="AM634" s="45"/>
      <c r="AN634" s="45"/>
      <c r="AO634" s="90"/>
      <c r="AP634" s="46"/>
      <c r="AQ634" s="52"/>
      <c r="AR634" s="52"/>
      <c r="AS634" s="52"/>
    </row>
    <row r="635" spans="1:45" x14ac:dyDescent="0.2">
      <c r="A635" s="29"/>
      <c r="B635" s="45"/>
      <c r="C635" s="45"/>
      <c r="D635" s="45"/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  <c r="AG635" s="45"/>
      <c r="AH635" s="45"/>
      <c r="AI635" s="45"/>
      <c r="AJ635" s="45"/>
      <c r="AK635" s="45"/>
      <c r="AL635" s="45"/>
      <c r="AM635" s="45"/>
      <c r="AN635" s="45"/>
      <c r="AO635" s="90"/>
      <c r="AP635" s="46"/>
      <c r="AQ635" s="52"/>
      <c r="AR635" s="52"/>
      <c r="AS635" s="52"/>
    </row>
    <row r="636" spans="1:45" x14ac:dyDescent="0.2">
      <c r="A636" s="29"/>
      <c r="B636" s="45"/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  <c r="AG636" s="45"/>
      <c r="AH636" s="45"/>
      <c r="AI636" s="45"/>
      <c r="AJ636" s="45"/>
      <c r="AK636" s="45"/>
      <c r="AL636" s="45"/>
      <c r="AM636" s="45"/>
      <c r="AN636" s="45"/>
      <c r="AO636" s="90"/>
      <c r="AP636" s="46"/>
      <c r="AQ636" s="52"/>
      <c r="AR636" s="52"/>
      <c r="AS636" s="52"/>
    </row>
    <row r="637" spans="1:45" x14ac:dyDescent="0.2">
      <c r="A637" s="29"/>
      <c r="B637" s="45"/>
      <c r="C637" s="45"/>
      <c r="D637" s="45"/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  <c r="AG637" s="45"/>
      <c r="AH637" s="45"/>
      <c r="AI637" s="45"/>
      <c r="AJ637" s="45"/>
      <c r="AK637" s="45"/>
      <c r="AL637" s="45"/>
      <c r="AM637" s="45"/>
      <c r="AN637" s="45"/>
      <c r="AO637" s="90"/>
      <c r="AP637" s="46"/>
      <c r="AQ637" s="52"/>
      <c r="AR637" s="52"/>
      <c r="AS637" s="52"/>
    </row>
    <row r="638" spans="1:45" x14ac:dyDescent="0.2">
      <c r="A638" s="29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  <c r="AG638" s="45"/>
      <c r="AH638" s="45"/>
      <c r="AI638" s="45"/>
      <c r="AJ638" s="45"/>
      <c r="AK638" s="45"/>
      <c r="AL638" s="45"/>
      <c r="AM638" s="45"/>
      <c r="AN638" s="45"/>
      <c r="AO638" s="90"/>
      <c r="AP638" s="46"/>
      <c r="AQ638" s="52"/>
      <c r="AR638" s="52"/>
      <c r="AS638" s="52"/>
    </row>
    <row r="639" spans="1:45" x14ac:dyDescent="0.2">
      <c r="A639" s="29"/>
      <c r="B639" s="45"/>
      <c r="C639" s="45"/>
      <c r="D639" s="45"/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  <c r="AG639" s="45"/>
      <c r="AH639" s="45"/>
      <c r="AI639" s="45"/>
      <c r="AJ639" s="45"/>
      <c r="AK639" s="45"/>
      <c r="AL639" s="45"/>
      <c r="AM639" s="45"/>
      <c r="AN639" s="45"/>
      <c r="AO639" s="90"/>
      <c r="AP639" s="46"/>
      <c r="AQ639" s="52"/>
      <c r="AR639" s="52"/>
      <c r="AS639" s="52"/>
    </row>
    <row r="640" spans="1:45" x14ac:dyDescent="0.2">
      <c r="A640" s="29"/>
      <c r="B640" s="45"/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  <c r="AG640" s="45"/>
      <c r="AH640" s="45"/>
      <c r="AI640" s="45"/>
      <c r="AJ640" s="45"/>
      <c r="AK640" s="45"/>
      <c r="AL640" s="45"/>
      <c r="AM640" s="45"/>
      <c r="AN640" s="45"/>
      <c r="AO640" s="90"/>
      <c r="AP640" s="46"/>
      <c r="AQ640" s="52"/>
      <c r="AR640" s="52"/>
      <c r="AS640" s="52"/>
    </row>
    <row r="641" spans="1:45" x14ac:dyDescent="0.2">
      <c r="A641" s="29"/>
      <c r="B641" s="45"/>
      <c r="C641" s="45"/>
      <c r="D641" s="45"/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  <c r="AG641" s="45"/>
      <c r="AH641" s="45"/>
      <c r="AI641" s="45"/>
      <c r="AJ641" s="45"/>
      <c r="AK641" s="45"/>
      <c r="AL641" s="45"/>
      <c r="AM641" s="45"/>
      <c r="AN641" s="45"/>
      <c r="AO641" s="90"/>
      <c r="AP641" s="46"/>
      <c r="AQ641" s="52"/>
      <c r="AR641" s="52"/>
      <c r="AS641" s="52"/>
    </row>
    <row r="642" spans="1:45" x14ac:dyDescent="0.2">
      <c r="A642" s="29"/>
      <c r="B642" s="45"/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  <c r="AG642" s="45"/>
      <c r="AH642" s="45"/>
      <c r="AI642" s="45"/>
      <c r="AJ642" s="45"/>
      <c r="AK642" s="45"/>
      <c r="AL642" s="45"/>
      <c r="AM642" s="45"/>
      <c r="AN642" s="45"/>
      <c r="AO642" s="90"/>
      <c r="AP642" s="46"/>
      <c r="AQ642" s="52"/>
      <c r="AR642" s="52"/>
      <c r="AS642" s="52"/>
    </row>
    <row r="643" spans="1:45" x14ac:dyDescent="0.2">
      <c r="A643" s="29"/>
      <c r="B643" s="45"/>
      <c r="C643" s="45"/>
      <c r="D643" s="45"/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  <c r="AG643" s="45"/>
      <c r="AH643" s="45"/>
      <c r="AI643" s="45"/>
      <c r="AJ643" s="45"/>
      <c r="AK643" s="45"/>
      <c r="AL643" s="45"/>
      <c r="AM643" s="45"/>
      <c r="AN643" s="45"/>
      <c r="AO643" s="90"/>
      <c r="AP643" s="46"/>
      <c r="AQ643" s="52"/>
      <c r="AR643" s="52"/>
      <c r="AS643" s="52"/>
    </row>
    <row r="644" spans="1:45" x14ac:dyDescent="0.2">
      <c r="A644" s="29"/>
      <c r="B644" s="45"/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  <c r="AG644" s="45"/>
      <c r="AH644" s="45"/>
      <c r="AI644" s="45"/>
      <c r="AJ644" s="45"/>
      <c r="AK644" s="45"/>
      <c r="AL644" s="45"/>
      <c r="AM644" s="45"/>
      <c r="AN644" s="45"/>
      <c r="AO644" s="90"/>
      <c r="AP644" s="46"/>
      <c r="AQ644" s="52"/>
      <c r="AR644" s="52"/>
      <c r="AS644" s="52"/>
    </row>
    <row r="645" spans="1:45" x14ac:dyDescent="0.2">
      <c r="A645" s="29"/>
      <c r="B645" s="45"/>
      <c r="C645" s="45"/>
      <c r="D645" s="45"/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  <c r="AG645" s="45"/>
      <c r="AH645" s="45"/>
      <c r="AI645" s="45"/>
      <c r="AJ645" s="45"/>
      <c r="AK645" s="45"/>
      <c r="AL645" s="45"/>
      <c r="AM645" s="45"/>
      <c r="AN645" s="45"/>
      <c r="AO645" s="90"/>
      <c r="AP645" s="46"/>
      <c r="AQ645" s="52"/>
      <c r="AR645" s="52"/>
      <c r="AS645" s="52"/>
    </row>
    <row r="646" spans="1:45" x14ac:dyDescent="0.2">
      <c r="A646" s="29"/>
      <c r="B646" s="45"/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  <c r="AG646" s="45"/>
      <c r="AH646" s="45"/>
      <c r="AI646" s="45"/>
      <c r="AJ646" s="45"/>
      <c r="AK646" s="45"/>
      <c r="AL646" s="45"/>
      <c r="AM646" s="45"/>
      <c r="AN646" s="45"/>
      <c r="AO646" s="90"/>
      <c r="AP646" s="46"/>
      <c r="AQ646" s="52"/>
      <c r="AR646" s="52"/>
      <c r="AS646" s="52"/>
    </row>
    <row r="647" spans="1:45" x14ac:dyDescent="0.2">
      <c r="A647" s="29"/>
      <c r="B647" s="45"/>
      <c r="C647" s="45"/>
      <c r="D647" s="45"/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  <c r="AG647" s="45"/>
      <c r="AH647" s="45"/>
      <c r="AI647" s="45"/>
      <c r="AJ647" s="45"/>
      <c r="AK647" s="45"/>
      <c r="AL647" s="45"/>
      <c r="AM647" s="45"/>
      <c r="AN647" s="45"/>
      <c r="AO647" s="90"/>
      <c r="AP647" s="46"/>
      <c r="AQ647" s="52"/>
      <c r="AR647" s="52"/>
      <c r="AS647" s="52"/>
    </row>
    <row r="648" spans="1:45" x14ac:dyDescent="0.2">
      <c r="A648" s="29"/>
      <c r="B648" s="45"/>
      <c r="C648" s="45"/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  <c r="AG648" s="45"/>
      <c r="AH648" s="45"/>
      <c r="AI648" s="45"/>
      <c r="AJ648" s="45"/>
      <c r="AK648" s="45"/>
      <c r="AL648" s="45"/>
      <c r="AM648" s="45"/>
      <c r="AN648" s="45"/>
      <c r="AO648" s="90"/>
      <c r="AP648" s="46"/>
      <c r="AQ648" s="52"/>
      <c r="AR648" s="52"/>
      <c r="AS648" s="52"/>
    </row>
    <row r="649" spans="1:45" x14ac:dyDescent="0.2">
      <c r="A649" s="29"/>
      <c r="B649" s="45"/>
      <c r="C649" s="45"/>
      <c r="D649" s="45"/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  <c r="AG649" s="45"/>
      <c r="AH649" s="45"/>
      <c r="AI649" s="45"/>
      <c r="AJ649" s="45"/>
      <c r="AK649" s="45"/>
      <c r="AL649" s="45"/>
      <c r="AM649" s="45"/>
      <c r="AN649" s="45"/>
      <c r="AO649" s="90"/>
      <c r="AP649" s="46"/>
      <c r="AQ649" s="52"/>
      <c r="AR649" s="52"/>
      <c r="AS649" s="52"/>
    </row>
    <row r="650" spans="1:45" x14ac:dyDescent="0.2">
      <c r="A650" s="29"/>
      <c r="B650" s="45"/>
      <c r="C650" s="45"/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  <c r="AG650" s="45"/>
      <c r="AH650" s="45"/>
      <c r="AI650" s="45"/>
      <c r="AJ650" s="45"/>
      <c r="AK650" s="45"/>
      <c r="AL650" s="45"/>
      <c r="AM650" s="45"/>
      <c r="AN650" s="45"/>
      <c r="AO650" s="90"/>
      <c r="AP650" s="46"/>
      <c r="AQ650" s="52"/>
      <c r="AR650" s="52"/>
      <c r="AS650" s="52"/>
    </row>
    <row r="651" spans="1:45" x14ac:dyDescent="0.2">
      <c r="A651" s="29"/>
      <c r="B651" s="45"/>
      <c r="C651" s="45"/>
      <c r="D651" s="45"/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  <c r="AG651" s="45"/>
      <c r="AH651" s="45"/>
      <c r="AI651" s="45"/>
      <c r="AJ651" s="45"/>
      <c r="AK651" s="45"/>
      <c r="AL651" s="45"/>
      <c r="AM651" s="45"/>
      <c r="AN651" s="45"/>
      <c r="AO651" s="90"/>
      <c r="AP651" s="46"/>
      <c r="AQ651" s="52"/>
      <c r="AR651" s="52"/>
      <c r="AS651" s="52"/>
    </row>
    <row r="652" spans="1:45" x14ac:dyDescent="0.2">
      <c r="A652" s="29"/>
      <c r="B652" s="45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  <c r="AG652" s="45"/>
      <c r="AH652" s="45"/>
      <c r="AI652" s="45"/>
      <c r="AJ652" s="45"/>
      <c r="AK652" s="45"/>
      <c r="AL652" s="45"/>
      <c r="AM652" s="45"/>
      <c r="AN652" s="45"/>
      <c r="AO652" s="90"/>
      <c r="AP652" s="46"/>
      <c r="AQ652" s="52"/>
      <c r="AR652" s="52"/>
      <c r="AS652" s="52"/>
    </row>
    <row r="653" spans="1:45" x14ac:dyDescent="0.2">
      <c r="A653" s="29"/>
      <c r="B653" s="45"/>
      <c r="C653" s="45"/>
      <c r="D653" s="45"/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  <c r="AG653" s="45"/>
      <c r="AH653" s="45"/>
      <c r="AI653" s="45"/>
      <c r="AJ653" s="45"/>
      <c r="AK653" s="45"/>
      <c r="AL653" s="45"/>
      <c r="AM653" s="45"/>
      <c r="AN653" s="45"/>
      <c r="AO653" s="90"/>
      <c r="AP653" s="46"/>
      <c r="AQ653" s="52"/>
      <c r="AR653" s="52"/>
      <c r="AS653" s="52"/>
    </row>
    <row r="654" spans="1:45" x14ac:dyDescent="0.2">
      <c r="A654" s="29"/>
      <c r="B654" s="45"/>
      <c r="C654" s="45"/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  <c r="AG654" s="45"/>
      <c r="AH654" s="45"/>
      <c r="AI654" s="45"/>
      <c r="AJ654" s="45"/>
      <c r="AK654" s="45"/>
      <c r="AL654" s="45"/>
      <c r="AM654" s="45"/>
      <c r="AN654" s="45"/>
      <c r="AO654" s="90"/>
      <c r="AP654" s="46"/>
      <c r="AQ654" s="52"/>
      <c r="AR654" s="52"/>
      <c r="AS654" s="52"/>
    </row>
    <row r="655" spans="1:45" x14ac:dyDescent="0.2">
      <c r="A655" s="29"/>
      <c r="B655" s="45"/>
      <c r="C655" s="45"/>
      <c r="D655" s="45"/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  <c r="AG655" s="45"/>
      <c r="AH655" s="45"/>
      <c r="AI655" s="45"/>
      <c r="AJ655" s="45"/>
      <c r="AK655" s="45"/>
      <c r="AL655" s="45"/>
      <c r="AM655" s="45"/>
      <c r="AN655" s="45"/>
      <c r="AO655" s="90"/>
      <c r="AP655" s="46"/>
      <c r="AQ655" s="52"/>
      <c r="AR655" s="52"/>
      <c r="AS655" s="52"/>
    </row>
    <row r="656" spans="1:45" x14ac:dyDescent="0.2">
      <c r="A656" s="29"/>
      <c r="B656" s="45"/>
      <c r="C656" s="45"/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  <c r="AG656" s="45"/>
      <c r="AH656" s="45"/>
      <c r="AI656" s="45"/>
      <c r="AJ656" s="45"/>
      <c r="AK656" s="45"/>
      <c r="AL656" s="45"/>
      <c r="AM656" s="45"/>
      <c r="AN656" s="45"/>
      <c r="AO656" s="90"/>
      <c r="AP656" s="46"/>
      <c r="AQ656" s="52"/>
      <c r="AR656" s="52"/>
      <c r="AS656" s="52"/>
    </row>
    <row r="657" spans="1:45" x14ac:dyDescent="0.2">
      <c r="A657" s="29"/>
      <c r="B657" s="45"/>
      <c r="C657" s="45"/>
      <c r="D657" s="45"/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  <c r="AG657" s="45"/>
      <c r="AH657" s="45"/>
      <c r="AI657" s="45"/>
      <c r="AJ657" s="45"/>
      <c r="AK657" s="45"/>
      <c r="AL657" s="45"/>
      <c r="AM657" s="45"/>
      <c r="AN657" s="45"/>
      <c r="AO657" s="90"/>
      <c r="AP657" s="46"/>
      <c r="AQ657" s="52"/>
      <c r="AR657" s="52"/>
      <c r="AS657" s="52"/>
    </row>
    <row r="658" spans="1:45" x14ac:dyDescent="0.2">
      <c r="A658" s="29"/>
      <c r="B658" s="45"/>
      <c r="C658" s="45"/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  <c r="AG658" s="45"/>
      <c r="AH658" s="45"/>
      <c r="AI658" s="45"/>
      <c r="AJ658" s="45"/>
      <c r="AK658" s="45"/>
      <c r="AL658" s="45"/>
      <c r="AM658" s="45"/>
      <c r="AN658" s="45"/>
      <c r="AO658" s="90"/>
      <c r="AP658" s="46"/>
      <c r="AQ658" s="52"/>
      <c r="AR658" s="52"/>
      <c r="AS658" s="52"/>
    </row>
    <row r="659" spans="1:45" x14ac:dyDescent="0.2">
      <c r="A659" s="29"/>
      <c r="B659" s="45"/>
      <c r="C659" s="45"/>
      <c r="D659" s="45"/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  <c r="AG659" s="45"/>
      <c r="AH659" s="45"/>
      <c r="AI659" s="45"/>
      <c r="AJ659" s="45"/>
      <c r="AK659" s="45"/>
      <c r="AL659" s="45"/>
      <c r="AM659" s="45"/>
      <c r="AN659" s="45"/>
      <c r="AO659" s="90"/>
      <c r="AP659" s="46"/>
      <c r="AQ659" s="52"/>
      <c r="AR659" s="52"/>
      <c r="AS659" s="52"/>
    </row>
    <row r="660" spans="1:45" x14ac:dyDescent="0.2">
      <c r="A660" s="29"/>
      <c r="B660" s="45"/>
      <c r="C660" s="45"/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  <c r="AG660" s="45"/>
      <c r="AH660" s="45"/>
      <c r="AI660" s="45"/>
      <c r="AJ660" s="45"/>
      <c r="AK660" s="45"/>
      <c r="AL660" s="45"/>
      <c r="AM660" s="45"/>
      <c r="AN660" s="45"/>
      <c r="AO660" s="90"/>
      <c r="AP660" s="46"/>
      <c r="AQ660" s="52"/>
      <c r="AR660" s="52"/>
      <c r="AS660" s="52"/>
    </row>
    <row r="661" spans="1:45" x14ac:dyDescent="0.2">
      <c r="A661" s="29"/>
      <c r="B661" s="45"/>
      <c r="C661" s="45"/>
      <c r="D661" s="45"/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  <c r="AG661" s="45"/>
      <c r="AH661" s="45"/>
      <c r="AI661" s="45"/>
      <c r="AJ661" s="45"/>
      <c r="AK661" s="45"/>
      <c r="AL661" s="45"/>
      <c r="AM661" s="45"/>
      <c r="AN661" s="45"/>
      <c r="AO661" s="90"/>
      <c r="AP661" s="46"/>
      <c r="AQ661" s="52"/>
      <c r="AR661" s="52"/>
      <c r="AS661" s="52"/>
    </row>
    <row r="662" spans="1:45" x14ac:dyDescent="0.2">
      <c r="A662" s="29"/>
      <c r="B662" s="45"/>
      <c r="C662" s="45"/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  <c r="AG662" s="45"/>
      <c r="AH662" s="45"/>
      <c r="AI662" s="45"/>
      <c r="AJ662" s="45"/>
      <c r="AK662" s="45"/>
      <c r="AL662" s="45"/>
      <c r="AM662" s="45"/>
      <c r="AN662" s="45"/>
      <c r="AO662" s="90"/>
      <c r="AP662" s="46"/>
      <c r="AQ662" s="52"/>
      <c r="AR662" s="52"/>
      <c r="AS662" s="52"/>
    </row>
    <row r="663" spans="1:45" x14ac:dyDescent="0.2">
      <c r="A663" s="29"/>
      <c r="B663" s="45"/>
      <c r="C663" s="45"/>
      <c r="D663" s="45"/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  <c r="AG663" s="45"/>
      <c r="AH663" s="45"/>
      <c r="AI663" s="45"/>
      <c r="AJ663" s="45"/>
      <c r="AK663" s="45"/>
      <c r="AL663" s="45"/>
      <c r="AM663" s="45"/>
      <c r="AN663" s="45"/>
      <c r="AO663" s="90"/>
      <c r="AP663" s="46"/>
      <c r="AQ663" s="52"/>
      <c r="AR663" s="52"/>
      <c r="AS663" s="52"/>
    </row>
    <row r="664" spans="1:45" x14ac:dyDescent="0.2">
      <c r="A664" s="29"/>
      <c r="B664" s="45"/>
      <c r="C664" s="45"/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  <c r="AG664" s="45"/>
      <c r="AH664" s="45"/>
      <c r="AI664" s="45"/>
      <c r="AJ664" s="45"/>
      <c r="AK664" s="45"/>
      <c r="AL664" s="45"/>
      <c r="AM664" s="45"/>
      <c r="AN664" s="45"/>
      <c r="AO664" s="90"/>
      <c r="AP664" s="46"/>
      <c r="AQ664" s="52"/>
      <c r="AR664" s="52"/>
      <c r="AS664" s="52"/>
    </row>
    <row r="665" spans="1:45" x14ac:dyDescent="0.2">
      <c r="A665" s="29"/>
      <c r="B665" s="45"/>
      <c r="C665" s="45"/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  <c r="AG665" s="45"/>
      <c r="AH665" s="45"/>
      <c r="AI665" s="45"/>
      <c r="AJ665" s="45"/>
      <c r="AK665" s="45"/>
      <c r="AL665" s="45"/>
      <c r="AM665" s="45"/>
      <c r="AN665" s="45"/>
      <c r="AO665" s="90"/>
      <c r="AP665" s="46"/>
      <c r="AQ665" s="52"/>
      <c r="AR665" s="52"/>
      <c r="AS665" s="52"/>
    </row>
    <row r="666" spans="1:45" x14ac:dyDescent="0.2">
      <c r="A666" s="29"/>
      <c r="B666" s="45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  <c r="AG666" s="45"/>
      <c r="AH666" s="45"/>
      <c r="AI666" s="45"/>
      <c r="AJ666" s="45"/>
      <c r="AK666" s="45"/>
      <c r="AL666" s="45"/>
      <c r="AM666" s="45"/>
      <c r="AN666" s="45"/>
      <c r="AO666" s="90"/>
      <c r="AP666" s="46"/>
      <c r="AQ666" s="52"/>
      <c r="AR666" s="52"/>
      <c r="AS666" s="52"/>
    </row>
    <row r="667" spans="1:45" x14ac:dyDescent="0.2">
      <c r="A667" s="29"/>
      <c r="B667" s="45"/>
      <c r="C667" s="45"/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  <c r="AG667" s="45"/>
      <c r="AH667" s="45"/>
      <c r="AI667" s="45"/>
      <c r="AJ667" s="45"/>
      <c r="AK667" s="45"/>
      <c r="AL667" s="45"/>
      <c r="AM667" s="45"/>
      <c r="AN667" s="45"/>
      <c r="AO667" s="90"/>
      <c r="AP667" s="46"/>
      <c r="AQ667" s="52"/>
      <c r="AR667" s="52"/>
      <c r="AS667" s="52"/>
    </row>
    <row r="668" spans="1:45" x14ac:dyDescent="0.2">
      <c r="A668" s="29"/>
      <c r="B668" s="45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  <c r="AG668" s="45"/>
      <c r="AH668" s="45"/>
      <c r="AI668" s="45"/>
      <c r="AJ668" s="45"/>
      <c r="AK668" s="45"/>
      <c r="AL668" s="45"/>
      <c r="AM668" s="45"/>
      <c r="AN668" s="45"/>
      <c r="AO668" s="90"/>
      <c r="AP668" s="46"/>
      <c r="AQ668" s="52"/>
      <c r="AR668" s="52"/>
      <c r="AS668" s="52"/>
    </row>
    <row r="669" spans="1:45" x14ac:dyDescent="0.2">
      <c r="A669" s="29"/>
      <c r="B669" s="45"/>
      <c r="C669" s="45"/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  <c r="AG669" s="45"/>
      <c r="AH669" s="45"/>
      <c r="AI669" s="45"/>
      <c r="AJ669" s="45"/>
      <c r="AK669" s="45"/>
      <c r="AL669" s="45"/>
      <c r="AM669" s="45"/>
      <c r="AN669" s="45"/>
      <c r="AO669" s="90"/>
      <c r="AP669" s="46"/>
      <c r="AQ669" s="52"/>
      <c r="AR669" s="52"/>
      <c r="AS669" s="52"/>
    </row>
    <row r="670" spans="1:45" x14ac:dyDescent="0.2">
      <c r="A670" s="29"/>
      <c r="B670" s="45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  <c r="AG670" s="45"/>
      <c r="AH670" s="45"/>
      <c r="AI670" s="45"/>
      <c r="AJ670" s="45"/>
      <c r="AK670" s="45"/>
      <c r="AL670" s="45"/>
      <c r="AM670" s="45"/>
      <c r="AN670" s="45"/>
      <c r="AO670" s="90"/>
      <c r="AP670" s="46"/>
      <c r="AQ670" s="52"/>
      <c r="AR670" s="52"/>
      <c r="AS670" s="52"/>
    </row>
    <row r="671" spans="1:45" x14ac:dyDescent="0.2">
      <c r="A671" s="29"/>
      <c r="B671" s="45"/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  <c r="AG671" s="45"/>
      <c r="AH671" s="45"/>
      <c r="AI671" s="45"/>
      <c r="AJ671" s="45"/>
      <c r="AK671" s="45"/>
      <c r="AL671" s="45"/>
      <c r="AM671" s="45"/>
      <c r="AN671" s="45"/>
      <c r="AO671" s="90"/>
      <c r="AP671" s="46"/>
      <c r="AQ671" s="52"/>
      <c r="AR671" s="52"/>
      <c r="AS671" s="52"/>
    </row>
    <row r="672" spans="1:45" x14ac:dyDescent="0.2">
      <c r="A672" s="29"/>
      <c r="B672" s="45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  <c r="AG672" s="45"/>
      <c r="AH672" s="45"/>
      <c r="AI672" s="45"/>
      <c r="AJ672" s="45"/>
      <c r="AK672" s="45"/>
      <c r="AL672" s="45"/>
      <c r="AM672" s="45"/>
      <c r="AN672" s="45"/>
      <c r="AO672" s="90"/>
      <c r="AP672" s="46"/>
      <c r="AQ672" s="52"/>
      <c r="AR672" s="52"/>
      <c r="AS672" s="52"/>
    </row>
    <row r="673" spans="1:45" x14ac:dyDescent="0.2">
      <c r="A673" s="29"/>
      <c r="B673" s="45"/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  <c r="AG673" s="45"/>
      <c r="AH673" s="45"/>
      <c r="AI673" s="45"/>
      <c r="AJ673" s="45"/>
      <c r="AK673" s="45"/>
      <c r="AL673" s="45"/>
      <c r="AM673" s="45"/>
      <c r="AN673" s="45"/>
      <c r="AO673" s="90"/>
      <c r="AP673" s="46"/>
      <c r="AQ673" s="52"/>
      <c r="AR673" s="52"/>
      <c r="AS673" s="52"/>
    </row>
    <row r="674" spans="1:45" x14ac:dyDescent="0.2">
      <c r="A674" s="29"/>
      <c r="B674" s="45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  <c r="AG674" s="45"/>
      <c r="AH674" s="45"/>
      <c r="AI674" s="45"/>
      <c r="AJ674" s="45"/>
      <c r="AK674" s="45"/>
      <c r="AL674" s="45"/>
      <c r="AM674" s="45"/>
      <c r="AN674" s="45"/>
      <c r="AO674" s="90"/>
      <c r="AP674" s="46"/>
      <c r="AQ674" s="52"/>
      <c r="AR674" s="52"/>
      <c r="AS674" s="52"/>
    </row>
    <row r="675" spans="1:45" x14ac:dyDescent="0.2">
      <c r="A675" s="29"/>
      <c r="B675" s="45"/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  <c r="AG675" s="45"/>
      <c r="AH675" s="45"/>
      <c r="AI675" s="45"/>
      <c r="AJ675" s="45"/>
      <c r="AK675" s="45"/>
      <c r="AL675" s="45"/>
      <c r="AM675" s="45"/>
      <c r="AN675" s="45"/>
      <c r="AO675" s="90"/>
      <c r="AP675" s="46"/>
      <c r="AQ675" s="52"/>
      <c r="AR675" s="52"/>
      <c r="AS675" s="52"/>
    </row>
    <row r="676" spans="1:45" x14ac:dyDescent="0.2">
      <c r="A676" s="29"/>
      <c r="B676" s="45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  <c r="AG676" s="45"/>
      <c r="AH676" s="45"/>
      <c r="AI676" s="45"/>
      <c r="AJ676" s="45"/>
      <c r="AK676" s="45"/>
      <c r="AL676" s="45"/>
      <c r="AM676" s="45"/>
      <c r="AN676" s="45"/>
      <c r="AO676" s="90"/>
      <c r="AP676" s="46"/>
      <c r="AQ676" s="52"/>
      <c r="AR676" s="52"/>
      <c r="AS676" s="52"/>
    </row>
    <row r="677" spans="1:45" x14ac:dyDescent="0.2">
      <c r="A677" s="29"/>
      <c r="B677" s="45"/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  <c r="AG677" s="45"/>
      <c r="AH677" s="45"/>
      <c r="AI677" s="45"/>
      <c r="AJ677" s="45"/>
      <c r="AK677" s="45"/>
      <c r="AL677" s="45"/>
      <c r="AM677" s="45"/>
      <c r="AN677" s="45"/>
      <c r="AO677" s="90"/>
      <c r="AP677" s="46"/>
      <c r="AQ677" s="52"/>
      <c r="AR677" s="52"/>
      <c r="AS677" s="52"/>
    </row>
    <row r="678" spans="1:45" x14ac:dyDescent="0.2">
      <c r="A678" s="29"/>
      <c r="B678" s="45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  <c r="AG678" s="45"/>
      <c r="AH678" s="45"/>
      <c r="AI678" s="45"/>
      <c r="AJ678" s="45"/>
      <c r="AK678" s="45"/>
      <c r="AL678" s="45"/>
      <c r="AM678" s="45"/>
      <c r="AN678" s="45"/>
      <c r="AO678" s="90"/>
      <c r="AP678" s="46"/>
      <c r="AQ678" s="52"/>
      <c r="AR678" s="52"/>
      <c r="AS678" s="52"/>
    </row>
    <row r="679" spans="1:45" x14ac:dyDescent="0.2">
      <c r="A679" s="29"/>
      <c r="B679" s="45"/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  <c r="AG679" s="45"/>
      <c r="AH679" s="45"/>
      <c r="AI679" s="45"/>
      <c r="AJ679" s="45"/>
      <c r="AK679" s="45"/>
      <c r="AL679" s="45"/>
      <c r="AM679" s="45"/>
      <c r="AN679" s="45"/>
      <c r="AO679" s="90"/>
      <c r="AP679" s="46"/>
      <c r="AQ679" s="52"/>
      <c r="AR679" s="52"/>
      <c r="AS679" s="52"/>
    </row>
    <row r="680" spans="1:45" x14ac:dyDescent="0.2">
      <c r="A680" s="29"/>
      <c r="B680" s="45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  <c r="AG680" s="45"/>
      <c r="AH680" s="45"/>
      <c r="AI680" s="45"/>
      <c r="AJ680" s="45"/>
      <c r="AK680" s="45"/>
      <c r="AL680" s="45"/>
      <c r="AM680" s="45"/>
      <c r="AN680" s="45"/>
      <c r="AO680" s="90"/>
      <c r="AP680" s="46"/>
      <c r="AQ680" s="52"/>
      <c r="AR680" s="52"/>
      <c r="AS680" s="52"/>
    </row>
    <row r="681" spans="1:45" x14ac:dyDescent="0.2">
      <c r="A681" s="29"/>
      <c r="B681" s="45"/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  <c r="AG681" s="45"/>
      <c r="AH681" s="45"/>
      <c r="AI681" s="45"/>
      <c r="AJ681" s="45"/>
      <c r="AK681" s="45"/>
      <c r="AL681" s="45"/>
      <c r="AM681" s="45"/>
      <c r="AN681" s="45"/>
      <c r="AO681" s="90"/>
      <c r="AP681" s="46"/>
      <c r="AQ681" s="52"/>
      <c r="AR681" s="52"/>
      <c r="AS681" s="52"/>
    </row>
    <row r="682" spans="1:45" x14ac:dyDescent="0.2">
      <c r="A682" s="29"/>
      <c r="B682" s="45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  <c r="AG682" s="45"/>
      <c r="AH682" s="45"/>
      <c r="AI682" s="45"/>
      <c r="AJ682" s="45"/>
      <c r="AK682" s="45"/>
      <c r="AL682" s="45"/>
      <c r="AM682" s="45"/>
      <c r="AN682" s="45"/>
      <c r="AO682" s="90"/>
      <c r="AP682" s="46"/>
      <c r="AQ682" s="52"/>
      <c r="AR682" s="52"/>
      <c r="AS682" s="52"/>
    </row>
    <row r="683" spans="1:45" x14ac:dyDescent="0.2">
      <c r="A683" s="29"/>
      <c r="B683" s="45"/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  <c r="AG683" s="45"/>
      <c r="AH683" s="45"/>
      <c r="AI683" s="45"/>
      <c r="AJ683" s="45"/>
      <c r="AK683" s="45"/>
      <c r="AL683" s="45"/>
      <c r="AM683" s="45"/>
      <c r="AN683" s="45"/>
      <c r="AO683" s="90"/>
      <c r="AP683" s="46"/>
      <c r="AQ683" s="52"/>
      <c r="AR683" s="52"/>
      <c r="AS683" s="52"/>
    </row>
    <row r="684" spans="1:45" x14ac:dyDescent="0.2">
      <c r="A684" s="29"/>
      <c r="B684" s="45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  <c r="AG684" s="45"/>
      <c r="AH684" s="45"/>
      <c r="AI684" s="45"/>
      <c r="AJ684" s="45"/>
      <c r="AK684" s="45"/>
      <c r="AL684" s="45"/>
      <c r="AM684" s="45"/>
      <c r="AN684" s="45"/>
      <c r="AO684" s="90"/>
      <c r="AP684" s="46"/>
      <c r="AQ684" s="52"/>
      <c r="AR684" s="52"/>
      <c r="AS684" s="52"/>
    </row>
    <row r="685" spans="1:45" x14ac:dyDescent="0.2">
      <c r="A685" s="29"/>
      <c r="B685" s="45"/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  <c r="AG685" s="45"/>
      <c r="AH685" s="45"/>
      <c r="AI685" s="45"/>
      <c r="AJ685" s="45"/>
      <c r="AK685" s="45"/>
      <c r="AL685" s="45"/>
      <c r="AM685" s="45"/>
      <c r="AN685" s="45"/>
      <c r="AO685" s="90"/>
      <c r="AP685" s="46"/>
      <c r="AQ685" s="52"/>
      <c r="AR685" s="52"/>
      <c r="AS685" s="52"/>
    </row>
    <row r="686" spans="1:45" x14ac:dyDescent="0.2">
      <c r="A686" s="29"/>
      <c r="B686" s="45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  <c r="AG686" s="45"/>
      <c r="AH686" s="45"/>
      <c r="AI686" s="45"/>
      <c r="AJ686" s="45"/>
      <c r="AK686" s="45"/>
      <c r="AL686" s="45"/>
      <c r="AM686" s="45"/>
      <c r="AN686" s="45"/>
      <c r="AO686" s="90"/>
      <c r="AP686" s="46"/>
      <c r="AQ686" s="52"/>
      <c r="AR686" s="52"/>
      <c r="AS686" s="52"/>
    </row>
    <row r="687" spans="1:45" x14ac:dyDescent="0.2">
      <c r="A687" s="29"/>
      <c r="B687" s="45"/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  <c r="AG687" s="45"/>
      <c r="AH687" s="45"/>
      <c r="AI687" s="45"/>
      <c r="AJ687" s="45"/>
      <c r="AK687" s="45"/>
      <c r="AL687" s="45"/>
      <c r="AM687" s="45"/>
      <c r="AN687" s="45"/>
      <c r="AO687" s="90"/>
      <c r="AP687" s="46"/>
      <c r="AQ687" s="52"/>
      <c r="AR687" s="52"/>
      <c r="AS687" s="52"/>
    </row>
    <row r="688" spans="1:45" x14ac:dyDescent="0.2">
      <c r="A688" s="29"/>
      <c r="B688" s="45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  <c r="AG688" s="45"/>
      <c r="AH688" s="45"/>
      <c r="AI688" s="45"/>
      <c r="AJ688" s="45"/>
      <c r="AK688" s="45"/>
      <c r="AL688" s="45"/>
      <c r="AM688" s="45"/>
      <c r="AN688" s="45"/>
      <c r="AO688" s="90"/>
      <c r="AP688" s="46"/>
      <c r="AQ688" s="52"/>
      <c r="AR688" s="52"/>
      <c r="AS688" s="52"/>
    </row>
    <row r="689" spans="1:45" x14ac:dyDescent="0.2">
      <c r="A689" s="29"/>
      <c r="B689" s="45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  <c r="AG689" s="45"/>
      <c r="AH689" s="45"/>
      <c r="AI689" s="45"/>
      <c r="AJ689" s="45"/>
      <c r="AK689" s="45"/>
      <c r="AL689" s="45"/>
      <c r="AM689" s="45"/>
      <c r="AN689" s="45"/>
      <c r="AO689" s="90"/>
      <c r="AP689" s="46"/>
      <c r="AQ689" s="52"/>
      <c r="AR689" s="52"/>
      <c r="AS689" s="52"/>
    </row>
    <row r="690" spans="1:45" x14ac:dyDescent="0.2">
      <c r="A690" s="29"/>
      <c r="B690" s="45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  <c r="AG690" s="45"/>
      <c r="AH690" s="45"/>
      <c r="AI690" s="45"/>
      <c r="AJ690" s="45"/>
      <c r="AK690" s="45"/>
      <c r="AL690" s="45"/>
      <c r="AM690" s="45"/>
      <c r="AN690" s="45"/>
      <c r="AO690" s="90"/>
      <c r="AP690" s="46"/>
      <c r="AQ690" s="52"/>
      <c r="AR690" s="52"/>
      <c r="AS690" s="52"/>
    </row>
    <row r="691" spans="1:45" x14ac:dyDescent="0.2">
      <c r="A691" s="29"/>
      <c r="B691" s="45"/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  <c r="AG691" s="45"/>
      <c r="AH691" s="45"/>
      <c r="AI691" s="45"/>
      <c r="AJ691" s="45"/>
      <c r="AK691" s="45"/>
      <c r="AL691" s="45"/>
      <c r="AM691" s="45"/>
      <c r="AN691" s="45"/>
      <c r="AO691" s="90"/>
      <c r="AP691" s="46"/>
      <c r="AQ691" s="52"/>
      <c r="AR691" s="52"/>
      <c r="AS691" s="52"/>
    </row>
    <row r="692" spans="1:45" x14ac:dyDescent="0.2">
      <c r="A692" s="29"/>
      <c r="B692" s="45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  <c r="AG692" s="45"/>
      <c r="AH692" s="45"/>
      <c r="AI692" s="45"/>
      <c r="AJ692" s="45"/>
      <c r="AK692" s="45"/>
      <c r="AL692" s="45"/>
      <c r="AM692" s="45"/>
      <c r="AN692" s="45"/>
      <c r="AO692" s="90"/>
      <c r="AP692" s="46"/>
      <c r="AQ692" s="52"/>
      <c r="AR692" s="52"/>
      <c r="AS692" s="52"/>
    </row>
    <row r="693" spans="1:45" x14ac:dyDescent="0.2">
      <c r="A693" s="29"/>
      <c r="B693" s="45"/>
      <c r="C693" s="45"/>
      <c r="D693" s="45"/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  <c r="AG693" s="45"/>
      <c r="AH693" s="45"/>
      <c r="AI693" s="45"/>
      <c r="AJ693" s="45"/>
      <c r="AK693" s="45"/>
      <c r="AL693" s="45"/>
      <c r="AM693" s="45"/>
      <c r="AN693" s="45"/>
      <c r="AO693" s="90"/>
      <c r="AP693" s="46"/>
      <c r="AQ693" s="52"/>
      <c r="AR693" s="52"/>
      <c r="AS693" s="52"/>
    </row>
    <row r="694" spans="1:45" x14ac:dyDescent="0.2">
      <c r="A694" s="29"/>
      <c r="B694" s="45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  <c r="AG694" s="45"/>
      <c r="AH694" s="45"/>
      <c r="AI694" s="45"/>
      <c r="AJ694" s="45"/>
      <c r="AK694" s="45"/>
      <c r="AL694" s="45"/>
      <c r="AM694" s="45"/>
      <c r="AN694" s="45"/>
      <c r="AO694" s="90"/>
      <c r="AP694" s="46"/>
      <c r="AQ694" s="52"/>
      <c r="AR694" s="52"/>
      <c r="AS694" s="52"/>
    </row>
    <row r="695" spans="1:45" x14ac:dyDescent="0.2">
      <c r="A695" s="29"/>
      <c r="B695" s="45"/>
      <c r="C695" s="45"/>
      <c r="D695" s="45"/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  <c r="AG695" s="45"/>
      <c r="AH695" s="45"/>
      <c r="AI695" s="45"/>
      <c r="AJ695" s="45"/>
      <c r="AK695" s="45"/>
      <c r="AL695" s="45"/>
      <c r="AM695" s="45"/>
      <c r="AN695" s="45"/>
      <c r="AO695" s="90"/>
      <c r="AP695" s="46"/>
      <c r="AQ695" s="52"/>
      <c r="AR695" s="52"/>
      <c r="AS695" s="52"/>
    </row>
    <row r="696" spans="1:45" x14ac:dyDescent="0.2">
      <c r="A696" s="29"/>
      <c r="B696" s="45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  <c r="AG696" s="45"/>
      <c r="AH696" s="45"/>
      <c r="AI696" s="45"/>
      <c r="AJ696" s="45"/>
      <c r="AK696" s="45"/>
      <c r="AL696" s="45"/>
      <c r="AM696" s="45"/>
      <c r="AN696" s="45"/>
      <c r="AO696" s="90"/>
      <c r="AP696" s="46"/>
      <c r="AQ696" s="52"/>
      <c r="AR696" s="52"/>
      <c r="AS696" s="52"/>
    </row>
    <row r="697" spans="1:45" x14ac:dyDescent="0.2">
      <c r="A697" s="29"/>
      <c r="B697" s="45"/>
      <c r="C697" s="45"/>
      <c r="D697" s="45"/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  <c r="AG697" s="45"/>
      <c r="AH697" s="45"/>
      <c r="AI697" s="45"/>
      <c r="AJ697" s="45"/>
      <c r="AK697" s="45"/>
      <c r="AL697" s="45"/>
      <c r="AM697" s="45"/>
      <c r="AN697" s="45"/>
      <c r="AO697" s="90"/>
      <c r="AP697" s="46"/>
      <c r="AQ697" s="52"/>
      <c r="AR697" s="52"/>
      <c r="AS697" s="52"/>
    </row>
    <row r="698" spans="1:45" x14ac:dyDescent="0.2">
      <c r="A698" s="29"/>
      <c r="B698" s="45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  <c r="AG698" s="45"/>
      <c r="AH698" s="45"/>
      <c r="AI698" s="45"/>
      <c r="AJ698" s="45"/>
      <c r="AK698" s="45"/>
      <c r="AL698" s="45"/>
      <c r="AM698" s="45"/>
      <c r="AN698" s="45"/>
      <c r="AO698" s="90"/>
      <c r="AP698" s="46"/>
      <c r="AQ698" s="52"/>
      <c r="AR698" s="52"/>
      <c r="AS698" s="52"/>
    </row>
    <row r="699" spans="1:45" x14ac:dyDescent="0.2">
      <c r="A699" s="29"/>
      <c r="B699" s="45"/>
      <c r="C699" s="45"/>
      <c r="D699" s="45"/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  <c r="AG699" s="45"/>
      <c r="AH699" s="45"/>
      <c r="AI699" s="45"/>
      <c r="AJ699" s="45"/>
      <c r="AK699" s="45"/>
      <c r="AL699" s="45"/>
      <c r="AM699" s="45"/>
      <c r="AN699" s="45"/>
      <c r="AO699" s="90"/>
      <c r="AP699" s="46"/>
      <c r="AQ699" s="52"/>
      <c r="AR699" s="52"/>
      <c r="AS699" s="52"/>
    </row>
    <row r="700" spans="1:45" x14ac:dyDescent="0.2">
      <c r="A700" s="29"/>
      <c r="B700" s="45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  <c r="AG700" s="45"/>
      <c r="AH700" s="45"/>
      <c r="AI700" s="45"/>
      <c r="AJ700" s="45"/>
      <c r="AK700" s="45"/>
      <c r="AL700" s="45"/>
      <c r="AM700" s="45"/>
      <c r="AN700" s="45"/>
      <c r="AO700" s="90"/>
      <c r="AP700" s="46"/>
      <c r="AQ700" s="52"/>
      <c r="AR700" s="52"/>
      <c r="AS700" s="52"/>
    </row>
    <row r="701" spans="1:45" x14ac:dyDescent="0.2">
      <c r="A701" s="29"/>
      <c r="B701" s="45"/>
      <c r="C701" s="45"/>
      <c r="D701" s="45"/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  <c r="AG701" s="45"/>
      <c r="AH701" s="45"/>
      <c r="AI701" s="45"/>
      <c r="AJ701" s="45"/>
      <c r="AK701" s="45"/>
      <c r="AL701" s="45"/>
      <c r="AM701" s="45"/>
      <c r="AN701" s="45"/>
      <c r="AO701" s="90"/>
      <c r="AP701" s="46"/>
      <c r="AQ701" s="52"/>
      <c r="AR701" s="52"/>
      <c r="AS701" s="52"/>
    </row>
    <row r="702" spans="1:45" x14ac:dyDescent="0.2">
      <c r="A702" s="29"/>
      <c r="B702" s="45"/>
      <c r="C702" s="45"/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  <c r="AG702" s="45"/>
      <c r="AH702" s="45"/>
      <c r="AI702" s="45"/>
      <c r="AJ702" s="45"/>
      <c r="AK702" s="45"/>
      <c r="AL702" s="45"/>
      <c r="AM702" s="45"/>
      <c r="AN702" s="45"/>
      <c r="AO702" s="90"/>
      <c r="AP702" s="46"/>
      <c r="AQ702" s="52"/>
      <c r="AR702" s="52"/>
      <c r="AS702" s="52"/>
    </row>
    <row r="703" spans="1:45" x14ac:dyDescent="0.2">
      <c r="A703" s="29"/>
      <c r="B703" s="45"/>
      <c r="C703" s="45"/>
      <c r="D703" s="45"/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  <c r="AG703" s="45"/>
      <c r="AH703" s="45"/>
      <c r="AI703" s="45"/>
      <c r="AJ703" s="45"/>
      <c r="AK703" s="45"/>
      <c r="AL703" s="45"/>
      <c r="AM703" s="45"/>
      <c r="AN703" s="45"/>
      <c r="AO703" s="90"/>
      <c r="AP703" s="46"/>
      <c r="AQ703" s="52"/>
      <c r="AR703" s="52"/>
      <c r="AS703" s="52"/>
    </row>
    <row r="704" spans="1:45" x14ac:dyDescent="0.2">
      <c r="A704" s="29"/>
      <c r="B704" s="45"/>
      <c r="C704" s="45"/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  <c r="AG704" s="45"/>
      <c r="AH704" s="45"/>
      <c r="AI704" s="45"/>
      <c r="AJ704" s="45"/>
      <c r="AK704" s="45"/>
      <c r="AL704" s="45"/>
      <c r="AM704" s="45"/>
      <c r="AN704" s="45"/>
      <c r="AO704" s="90"/>
      <c r="AP704" s="46"/>
      <c r="AQ704" s="52"/>
      <c r="AR704" s="52"/>
      <c r="AS704" s="52"/>
    </row>
    <row r="705" spans="1:45" x14ac:dyDescent="0.2">
      <c r="A705" s="29"/>
      <c r="B705" s="45"/>
      <c r="C705" s="45"/>
      <c r="D705" s="45"/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  <c r="AG705" s="45"/>
      <c r="AH705" s="45"/>
      <c r="AI705" s="45"/>
      <c r="AJ705" s="45"/>
      <c r="AK705" s="45"/>
      <c r="AL705" s="45"/>
      <c r="AM705" s="45"/>
      <c r="AN705" s="45"/>
      <c r="AO705" s="90"/>
      <c r="AP705" s="46"/>
      <c r="AQ705" s="52"/>
      <c r="AR705" s="52"/>
      <c r="AS705" s="52"/>
    </row>
    <row r="706" spans="1:45" x14ac:dyDescent="0.2">
      <c r="A706" s="29"/>
      <c r="B706" s="45"/>
      <c r="C706" s="45"/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  <c r="AG706" s="45"/>
      <c r="AH706" s="45"/>
      <c r="AI706" s="45"/>
      <c r="AJ706" s="45"/>
      <c r="AK706" s="45"/>
      <c r="AL706" s="45"/>
      <c r="AM706" s="45"/>
      <c r="AN706" s="45"/>
      <c r="AO706" s="90"/>
      <c r="AP706" s="46"/>
      <c r="AQ706" s="52"/>
      <c r="AR706" s="52"/>
      <c r="AS706" s="52"/>
    </row>
    <row r="707" spans="1:45" x14ac:dyDescent="0.2">
      <c r="A707" s="29"/>
      <c r="B707" s="45"/>
      <c r="C707" s="45"/>
      <c r="D707" s="45"/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  <c r="AG707" s="45"/>
      <c r="AH707" s="45"/>
      <c r="AI707" s="45"/>
      <c r="AJ707" s="45"/>
      <c r="AK707" s="45"/>
      <c r="AL707" s="45"/>
      <c r="AM707" s="45"/>
      <c r="AN707" s="45"/>
      <c r="AO707" s="90"/>
      <c r="AP707" s="46"/>
      <c r="AQ707" s="52"/>
      <c r="AR707" s="52"/>
      <c r="AS707" s="52"/>
    </row>
    <row r="708" spans="1:45" x14ac:dyDescent="0.2">
      <c r="A708" s="29"/>
      <c r="B708" s="45"/>
      <c r="C708" s="45"/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  <c r="AG708" s="45"/>
      <c r="AH708" s="45"/>
      <c r="AI708" s="45"/>
      <c r="AJ708" s="45"/>
      <c r="AK708" s="45"/>
      <c r="AL708" s="45"/>
      <c r="AM708" s="45"/>
      <c r="AN708" s="45"/>
      <c r="AO708" s="90"/>
      <c r="AP708" s="46"/>
      <c r="AQ708" s="52"/>
      <c r="AR708" s="52"/>
      <c r="AS708" s="52"/>
    </row>
    <row r="709" spans="1:45" x14ac:dyDescent="0.2">
      <c r="A709" s="29"/>
      <c r="B709" s="45"/>
      <c r="C709" s="45"/>
      <c r="D709" s="45"/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  <c r="AG709" s="45"/>
      <c r="AH709" s="45"/>
      <c r="AI709" s="45"/>
      <c r="AJ709" s="45"/>
      <c r="AK709" s="45"/>
      <c r="AL709" s="45"/>
      <c r="AM709" s="45"/>
      <c r="AN709" s="45"/>
      <c r="AO709" s="90"/>
      <c r="AP709" s="46"/>
      <c r="AQ709" s="52"/>
      <c r="AR709" s="52"/>
      <c r="AS709" s="52"/>
    </row>
    <row r="710" spans="1:45" x14ac:dyDescent="0.2">
      <c r="A710" s="29"/>
      <c r="B710" s="45"/>
      <c r="C710" s="45"/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  <c r="AG710" s="45"/>
      <c r="AH710" s="45"/>
      <c r="AI710" s="45"/>
      <c r="AJ710" s="45"/>
      <c r="AK710" s="45"/>
      <c r="AL710" s="45"/>
      <c r="AM710" s="45"/>
      <c r="AN710" s="45"/>
      <c r="AO710" s="90"/>
      <c r="AP710" s="46"/>
      <c r="AQ710" s="52"/>
      <c r="AR710" s="52"/>
      <c r="AS710" s="52"/>
    </row>
    <row r="711" spans="1:45" x14ac:dyDescent="0.2">
      <c r="A711" s="29"/>
      <c r="B711" s="45"/>
      <c r="C711" s="45"/>
      <c r="D711" s="45"/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  <c r="AG711" s="45"/>
      <c r="AH711" s="45"/>
      <c r="AI711" s="45"/>
      <c r="AJ711" s="45"/>
      <c r="AK711" s="45"/>
      <c r="AL711" s="45"/>
      <c r="AM711" s="45"/>
      <c r="AN711" s="45"/>
      <c r="AO711" s="90"/>
      <c r="AP711" s="46"/>
      <c r="AQ711" s="52"/>
      <c r="AR711" s="52"/>
      <c r="AS711" s="52"/>
    </row>
    <row r="712" spans="1:45" x14ac:dyDescent="0.2">
      <c r="A712" s="29"/>
      <c r="B712" s="45"/>
      <c r="C712" s="45"/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  <c r="AG712" s="45"/>
      <c r="AH712" s="45"/>
      <c r="AI712" s="45"/>
      <c r="AJ712" s="45"/>
      <c r="AK712" s="45"/>
      <c r="AL712" s="45"/>
      <c r="AM712" s="45"/>
      <c r="AN712" s="45"/>
      <c r="AO712" s="90"/>
      <c r="AP712" s="46"/>
      <c r="AQ712" s="52"/>
      <c r="AR712" s="52"/>
      <c r="AS712" s="52"/>
    </row>
    <row r="713" spans="1:45" x14ac:dyDescent="0.2">
      <c r="A713" s="29"/>
      <c r="B713" s="45"/>
      <c r="C713" s="45"/>
      <c r="D713" s="45"/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  <c r="AG713" s="45"/>
      <c r="AH713" s="45"/>
      <c r="AI713" s="45"/>
      <c r="AJ713" s="45"/>
      <c r="AK713" s="45"/>
      <c r="AL713" s="45"/>
      <c r="AM713" s="45"/>
      <c r="AN713" s="45"/>
      <c r="AO713" s="90"/>
      <c r="AP713" s="46"/>
      <c r="AQ713" s="52"/>
      <c r="AR713" s="52"/>
      <c r="AS713" s="52"/>
    </row>
    <row r="714" spans="1:45" x14ac:dyDescent="0.2">
      <c r="A714" s="29"/>
      <c r="B714" s="45"/>
      <c r="C714" s="45"/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  <c r="AG714" s="45"/>
      <c r="AH714" s="45"/>
      <c r="AI714" s="45"/>
      <c r="AJ714" s="45"/>
      <c r="AK714" s="45"/>
      <c r="AL714" s="45"/>
      <c r="AM714" s="45"/>
      <c r="AN714" s="45"/>
      <c r="AO714" s="90"/>
      <c r="AP714" s="46"/>
      <c r="AQ714" s="52"/>
      <c r="AR714" s="52"/>
      <c r="AS714" s="52"/>
    </row>
    <row r="715" spans="1:45" x14ac:dyDescent="0.2">
      <c r="A715" s="29"/>
      <c r="B715" s="45"/>
      <c r="C715" s="45"/>
      <c r="D715" s="45"/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  <c r="AG715" s="45"/>
      <c r="AH715" s="45"/>
      <c r="AI715" s="45"/>
      <c r="AJ715" s="45"/>
      <c r="AK715" s="45"/>
      <c r="AL715" s="45"/>
      <c r="AM715" s="45"/>
      <c r="AN715" s="45"/>
      <c r="AO715" s="90"/>
      <c r="AP715" s="46"/>
      <c r="AQ715" s="52"/>
      <c r="AR715" s="52"/>
      <c r="AS715" s="52"/>
    </row>
    <row r="716" spans="1:45" x14ac:dyDescent="0.2">
      <c r="A716" s="29"/>
      <c r="B716" s="45"/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  <c r="AG716" s="45"/>
      <c r="AH716" s="45"/>
      <c r="AI716" s="45"/>
      <c r="AJ716" s="45"/>
      <c r="AK716" s="45"/>
      <c r="AL716" s="45"/>
      <c r="AM716" s="45"/>
      <c r="AN716" s="45"/>
      <c r="AO716" s="90"/>
      <c r="AP716" s="46"/>
      <c r="AQ716" s="52"/>
      <c r="AR716" s="52"/>
      <c r="AS716" s="52"/>
    </row>
    <row r="717" spans="1:45" x14ac:dyDescent="0.2">
      <c r="A717" s="29"/>
      <c r="B717" s="45"/>
      <c r="C717" s="45"/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  <c r="AG717" s="45"/>
      <c r="AH717" s="45"/>
      <c r="AI717" s="45"/>
      <c r="AJ717" s="45"/>
      <c r="AK717" s="45"/>
      <c r="AL717" s="45"/>
      <c r="AM717" s="45"/>
      <c r="AN717" s="45"/>
      <c r="AO717" s="90"/>
      <c r="AP717" s="46"/>
      <c r="AQ717" s="52"/>
      <c r="AR717" s="52"/>
      <c r="AS717" s="52"/>
    </row>
    <row r="718" spans="1:45" x14ac:dyDescent="0.2">
      <c r="A718" s="29"/>
      <c r="B718" s="45"/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  <c r="AG718" s="45"/>
      <c r="AH718" s="45"/>
      <c r="AI718" s="45"/>
      <c r="AJ718" s="45"/>
      <c r="AK718" s="45"/>
      <c r="AL718" s="45"/>
      <c r="AM718" s="45"/>
      <c r="AN718" s="45"/>
      <c r="AO718" s="90"/>
      <c r="AP718" s="46"/>
      <c r="AQ718" s="52"/>
      <c r="AR718" s="52"/>
      <c r="AS718" s="52"/>
    </row>
    <row r="719" spans="1:45" x14ac:dyDescent="0.2">
      <c r="A719" s="29"/>
      <c r="B719" s="45"/>
      <c r="C719" s="45"/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  <c r="AG719" s="45"/>
      <c r="AH719" s="45"/>
      <c r="AI719" s="45"/>
      <c r="AJ719" s="45"/>
      <c r="AK719" s="45"/>
      <c r="AL719" s="45"/>
      <c r="AM719" s="45"/>
      <c r="AN719" s="45"/>
      <c r="AO719" s="90"/>
      <c r="AP719" s="46"/>
      <c r="AQ719" s="52"/>
      <c r="AR719" s="52"/>
      <c r="AS719" s="52"/>
    </row>
    <row r="720" spans="1:45" x14ac:dyDescent="0.2">
      <c r="A720" s="29"/>
      <c r="B720" s="45"/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  <c r="AG720" s="45"/>
      <c r="AH720" s="45"/>
      <c r="AI720" s="45"/>
      <c r="AJ720" s="45"/>
      <c r="AK720" s="45"/>
      <c r="AL720" s="45"/>
      <c r="AM720" s="45"/>
      <c r="AN720" s="45"/>
      <c r="AO720" s="90"/>
      <c r="AP720" s="46"/>
      <c r="AQ720" s="52"/>
      <c r="AR720" s="52"/>
      <c r="AS720" s="52"/>
    </row>
    <row r="721" spans="1:45" x14ac:dyDescent="0.2">
      <c r="A721" s="29"/>
      <c r="B721" s="45"/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  <c r="AG721" s="45"/>
      <c r="AH721" s="45"/>
      <c r="AI721" s="45"/>
      <c r="AJ721" s="45"/>
      <c r="AK721" s="45"/>
      <c r="AL721" s="45"/>
      <c r="AM721" s="45"/>
      <c r="AN721" s="45"/>
      <c r="AO721" s="90"/>
      <c r="AP721" s="46"/>
      <c r="AQ721" s="52"/>
      <c r="AR721" s="52"/>
      <c r="AS721" s="52"/>
    </row>
    <row r="722" spans="1:45" x14ac:dyDescent="0.2">
      <c r="A722" s="29"/>
      <c r="B722" s="45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  <c r="AG722" s="45"/>
      <c r="AH722" s="45"/>
      <c r="AI722" s="45"/>
      <c r="AJ722" s="45"/>
      <c r="AK722" s="45"/>
      <c r="AL722" s="45"/>
      <c r="AM722" s="45"/>
      <c r="AN722" s="45"/>
      <c r="AO722" s="90"/>
      <c r="AP722" s="46"/>
      <c r="AQ722" s="52"/>
      <c r="AR722" s="52"/>
      <c r="AS722" s="52"/>
    </row>
    <row r="723" spans="1:45" x14ac:dyDescent="0.2">
      <c r="A723" s="29"/>
      <c r="B723" s="45"/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  <c r="AG723" s="45"/>
      <c r="AH723" s="45"/>
      <c r="AI723" s="45"/>
      <c r="AJ723" s="45"/>
      <c r="AK723" s="45"/>
      <c r="AL723" s="45"/>
      <c r="AM723" s="45"/>
      <c r="AN723" s="45"/>
      <c r="AO723" s="90"/>
      <c r="AP723" s="46"/>
      <c r="AQ723" s="52"/>
      <c r="AR723" s="52"/>
      <c r="AS723" s="52"/>
    </row>
    <row r="724" spans="1:45" x14ac:dyDescent="0.2">
      <c r="A724" s="29"/>
      <c r="B724" s="45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  <c r="AG724" s="45"/>
      <c r="AH724" s="45"/>
      <c r="AI724" s="45"/>
      <c r="AJ724" s="45"/>
      <c r="AK724" s="45"/>
      <c r="AL724" s="45"/>
      <c r="AM724" s="45"/>
      <c r="AN724" s="45"/>
      <c r="AO724" s="90"/>
      <c r="AP724" s="46"/>
      <c r="AQ724" s="52"/>
      <c r="AR724" s="52"/>
      <c r="AS724" s="52"/>
    </row>
    <row r="725" spans="1:45" x14ac:dyDescent="0.2">
      <c r="A725" s="29"/>
      <c r="B725" s="45"/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  <c r="AG725" s="45"/>
      <c r="AH725" s="45"/>
      <c r="AI725" s="45"/>
      <c r="AJ725" s="45"/>
      <c r="AK725" s="45"/>
      <c r="AL725" s="45"/>
      <c r="AM725" s="45"/>
      <c r="AN725" s="45"/>
      <c r="AO725" s="90"/>
      <c r="AP725" s="46"/>
      <c r="AQ725" s="52"/>
      <c r="AR725" s="52"/>
      <c r="AS725" s="52"/>
    </row>
    <row r="726" spans="1:45" x14ac:dyDescent="0.2">
      <c r="A726" s="29"/>
      <c r="B726" s="45"/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  <c r="AG726" s="45"/>
      <c r="AH726" s="45"/>
      <c r="AI726" s="45"/>
      <c r="AJ726" s="45"/>
      <c r="AK726" s="45"/>
      <c r="AL726" s="45"/>
      <c r="AM726" s="45"/>
      <c r="AN726" s="45"/>
      <c r="AO726" s="90"/>
      <c r="AP726" s="46"/>
      <c r="AQ726" s="52"/>
      <c r="AR726" s="52"/>
      <c r="AS726" s="52"/>
    </row>
    <row r="727" spans="1:45" x14ac:dyDescent="0.2">
      <c r="A727" s="29"/>
      <c r="B727" s="45"/>
      <c r="C727" s="45"/>
      <c r="D727" s="45"/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  <c r="AG727" s="45"/>
      <c r="AH727" s="45"/>
      <c r="AI727" s="45"/>
      <c r="AJ727" s="45"/>
      <c r="AK727" s="45"/>
      <c r="AL727" s="45"/>
      <c r="AM727" s="45"/>
      <c r="AN727" s="45"/>
      <c r="AO727" s="90"/>
      <c r="AP727" s="46"/>
      <c r="AQ727" s="52"/>
      <c r="AR727" s="52"/>
      <c r="AS727" s="52"/>
    </row>
    <row r="728" spans="1:45" x14ac:dyDescent="0.2">
      <c r="A728" s="29"/>
      <c r="B728" s="45"/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  <c r="AG728" s="45"/>
      <c r="AH728" s="45"/>
      <c r="AI728" s="45"/>
      <c r="AJ728" s="45"/>
      <c r="AK728" s="45"/>
      <c r="AL728" s="45"/>
      <c r="AM728" s="45"/>
      <c r="AN728" s="45"/>
      <c r="AO728" s="90"/>
      <c r="AP728" s="46"/>
      <c r="AQ728" s="52"/>
      <c r="AR728" s="52"/>
      <c r="AS728" s="52"/>
    </row>
    <row r="729" spans="1:45" x14ac:dyDescent="0.2">
      <c r="A729" s="29"/>
      <c r="B729" s="45"/>
      <c r="C729" s="45"/>
      <c r="D729" s="45"/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  <c r="AG729" s="45"/>
      <c r="AH729" s="45"/>
      <c r="AI729" s="45"/>
      <c r="AJ729" s="45"/>
      <c r="AK729" s="45"/>
      <c r="AL729" s="45"/>
      <c r="AM729" s="45"/>
      <c r="AN729" s="45"/>
      <c r="AO729" s="90"/>
      <c r="AP729" s="46"/>
      <c r="AQ729" s="52"/>
      <c r="AR729" s="52"/>
      <c r="AS729" s="52"/>
    </row>
    <row r="730" spans="1:45" x14ac:dyDescent="0.2">
      <c r="A730" s="29"/>
      <c r="B730" s="45"/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  <c r="AG730" s="45"/>
      <c r="AH730" s="45"/>
      <c r="AI730" s="45"/>
      <c r="AJ730" s="45"/>
      <c r="AK730" s="45"/>
      <c r="AL730" s="45"/>
      <c r="AM730" s="45"/>
      <c r="AN730" s="45"/>
      <c r="AO730" s="90"/>
      <c r="AP730" s="46"/>
      <c r="AQ730" s="52"/>
      <c r="AR730" s="52"/>
      <c r="AS730" s="52"/>
    </row>
    <row r="731" spans="1:45" x14ac:dyDescent="0.2">
      <c r="A731" s="29"/>
      <c r="B731" s="45"/>
      <c r="C731" s="45"/>
      <c r="D731" s="45"/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  <c r="AG731" s="45"/>
      <c r="AH731" s="45"/>
      <c r="AI731" s="45"/>
      <c r="AJ731" s="45"/>
      <c r="AK731" s="45"/>
      <c r="AL731" s="45"/>
      <c r="AM731" s="45"/>
      <c r="AN731" s="45"/>
      <c r="AO731" s="90"/>
      <c r="AP731" s="46"/>
      <c r="AQ731" s="52"/>
      <c r="AR731" s="52"/>
      <c r="AS731" s="52"/>
    </row>
    <row r="732" spans="1:45" x14ac:dyDescent="0.2">
      <c r="A732" s="29"/>
      <c r="B732" s="45"/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  <c r="AG732" s="45"/>
      <c r="AH732" s="45"/>
      <c r="AI732" s="45"/>
      <c r="AJ732" s="45"/>
      <c r="AK732" s="45"/>
      <c r="AL732" s="45"/>
      <c r="AM732" s="45"/>
      <c r="AN732" s="45"/>
      <c r="AO732" s="90"/>
      <c r="AP732" s="46"/>
      <c r="AQ732" s="52"/>
      <c r="AR732" s="52"/>
      <c r="AS732" s="52"/>
    </row>
    <row r="733" spans="1:45" x14ac:dyDescent="0.2">
      <c r="A733" s="29"/>
      <c r="B733" s="45"/>
      <c r="C733" s="45"/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  <c r="AG733" s="45"/>
      <c r="AH733" s="45"/>
      <c r="AI733" s="45"/>
      <c r="AJ733" s="45"/>
      <c r="AK733" s="45"/>
      <c r="AL733" s="45"/>
      <c r="AM733" s="45"/>
      <c r="AN733" s="45"/>
      <c r="AO733" s="90"/>
      <c r="AP733" s="46"/>
      <c r="AQ733" s="52"/>
      <c r="AR733" s="52"/>
      <c r="AS733" s="52"/>
    </row>
    <row r="734" spans="1:45" x14ac:dyDescent="0.2">
      <c r="A734" s="29"/>
      <c r="B734" s="45"/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  <c r="AG734" s="45"/>
      <c r="AH734" s="45"/>
      <c r="AI734" s="45"/>
      <c r="AJ734" s="45"/>
      <c r="AK734" s="45"/>
      <c r="AL734" s="45"/>
      <c r="AM734" s="45"/>
      <c r="AN734" s="45"/>
      <c r="AO734" s="90"/>
      <c r="AP734" s="46"/>
      <c r="AQ734" s="52"/>
      <c r="AR734" s="52"/>
      <c r="AS734" s="52"/>
    </row>
    <row r="735" spans="1:45" x14ac:dyDescent="0.2">
      <c r="A735" s="29"/>
      <c r="B735" s="45"/>
      <c r="C735" s="45"/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  <c r="AG735" s="45"/>
      <c r="AH735" s="45"/>
      <c r="AI735" s="45"/>
      <c r="AJ735" s="45"/>
      <c r="AK735" s="45"/>
      <c r="AL735" s="45"/>
      <c r="AM735" s="45"/>
      <c r="AN735" s="45"/>
      <c r="AO735" s="90"/>
      <c r="AP735" s="46"/>
      <c r="AQ735" s="52"/>
      <c r="AR735" s="52"/>
      <c r="AS735" s="52"/>
    </row>
    <row r="736" spans="1:45" x14ac:dyDescent="0.2">
      <c r="A736" s="29"/>
      <c r="B736" s="45"/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  <c r="AG736" s="45"/>
      <c r="AH736" s="45"/>
      <c r="AI736" s="45"/>
      <c r="AJ736" s="45"/>
      <c r="AK736" s="45"/>
      <c r="AL736" s="45"/>
      <c r="AM736" s="45"/>
      <c r="AN736" s="45"/>
      <c r="AO736" s="90"/>
      <c r="AP736" s="46"/>
      <c r="AQ736" s="52"/>
      <c r="AR736" s="52"/>
      <c r="AS736" s="52"/>
    </row>
    <row r="737" spans="1:45" x14ac:dyDescent="0.2">
      <c r="A737" s="29"/>
      <c r="B737" s="45"/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  <c r="AG737" s="45"/>
      <c r="AH737" s="45"/>
      <c r="AI737" s="45"/>
      <c r="AJ737" s="45"/>
      <c r="AK737" s="45"/>
      <c r="AL737" s="45"/>
      <c r="AM737" s="45"/>
      <c r="AN737" s="45"/>
      <c r="AO737" s="90"/>
      <c r="AP737" s="46"/>
      <c r="AQ737" s="52"/>
      <c r="AR737" s="52"/>
      <c r="AS737" s="52"/>
    </row>
    <row r="738" spans="1:45" x14ac:dyDescent="0.2">
      <c r="A738" s="29"/>
      <c r="B738" s="45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  <c r="AG738" s="45"/>
      <c r="AH738" s="45"/>
      <c r="AI738" s="45"/>
      <c r="AJ738" s="45"/>
      <c r="AK738" s="45"/>
      <c r="AL738" s="45"/>
      <c r="AM738" s="45"/>
      <c r="AN738" s="45"/>
      <c r="AO738" s="90"/>
      <c r="AP738" s="46"/>
      <c r="AQ738" s="52"/>
      <c r="AR738" s="52"/>
      <c r="AS738" s="52"/>
    </row>
    <row r="739" spans="1:45" x14ac:dyDescent="0.2">
      <c r="A739" s="29"/>
      <c r="B739" s="45"/>
      <c r="C739" s="45"/>
      <c r="D739" s="45"/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  <c r="AG739" s="45"/>
      <c r="AH739" s="45"/>
      <c r="AI739" s="45"/>
      <c r="AJ739" s="45"/>
      <c r="AK739" s="45"/>
      <c r="AL739" s="45"/>
      <c r="AM739" s="45"/>
      <c r="AN739" s="45"/>
      <c r="AO739" s="90"/>
      <c r="AP739" s="46"/>
      <c r="AQ739" s="52"/>
      <c r="AR739" s="52"/>
      <c r="AS739" s="52"/>
    </row>
    <row r="740" spans="1:45" x14ac:dyDescent="0.2">
      <c r="A740" s="29"/>
      <c r="B740" s="45"/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  <c r="AG740" s="45"/>
      <c r="AH740" s="45"/>
      <c r="AI740" s="45"/>
      <c r="AJ740" s="45"/>
      <c r="AK740" s="45"/>
      <c r="AL740" s="45"/>
      <c r="AM740" s="45"/>
      <c r="AN740" s="45"/>
      <c r="AO740" s="90"/>
      <c r="AP740" s="46"/>
      <c r="AQ740" s="52"/>
      <c r="AR740" s="52"/>
      <c r="AS740" s="52"/>
    </row>
    <row r="741" spans="1:45" x14ac:dyDescent="0.2">
      <c r="A741" s="29"/>
      <c r="B741" s="45"/>
      <c r="C741" s="45"/>
      <c r="D741" s="45"/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  <c r="AG741" s="45"/>
      <c r="AH741" s="45"/>
      <c r="AI741" s="45"/>
      <c r="AJ741" s="45"/>
      <c r="AK741" s="45"/>
      <c r="AL741" s="45"/>
      <c r="AM741" s="45"/>
      <c r="AN741" s="45"/>
      <c r="AO741" s="90"/>
      <c r="AP741" s="46"/>
      <c r="AQ741" s="52"/>
      <c r="AR741" s="52"/>
      <c r="AS741" s="52"/>
    </row>
    <row r="742" spans="1:45" x14ac:dyDescent="0.2">
      <c r="A742" s="29"/>
      <c r="B742" s="45"/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  <c r="AG742" s="45"/>
      <c r="AH742" s="45"/>
      <c r="AI742" s="45"/>
      <c r="AJ742" s="45"/>
      <c r="AK742" s="45"/>
      <c r="AL742" s="45"/>
      <c r="AM742" s="45"/>
      <c r="AN742" s="45"/>
      <c r="AO742" s="90"/>
      <c r="AP742" s="46"/>
      <c r="AQ742" s="52"/>
      <c r="AR742" s="52"/>
      <c r="AS742" s="52"/>
    </row>
    <row r="743" spans="1:45" x14ac:dyDescent="0.2">
      <c r="A743" s="29"/>
      <c r="B743" s="45"/>
      <c r="C743" s="45"/>
      <c r="D743" s="45"/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  <c r="AG743" s="45"/>
      <c r="AH743" s="45"/>
      <c r="AI743" s="45"/>
      <c r="AJ743" s="45"/>
      <c r="AK743" s="45"/>
      <c r="AL743" s="45"/>
      <c r="AM743" s="45"/>
      <c r="AN743" s="45"/>
      <c r="AO743" s="90"/>
      <c r="AP743" s="46"/>
      <c r="AQ743" s="52"/>
      <c r="AR743" s="52"/>
      <c r="AS743" s="52"/>
    </row>
    <row r="744" spans="1:45" x14ac:dyDescent="0.2">
      <c r="A744" s="29"/>
      <c r="B744" s="45"/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  <c r="AG744" s="45"/>
      <c r="AH744" s="45"/>
      <c r="AI744" s="45"/>
      <c r="AJ744" s="45"/>
      <c r="AK744" s="45"/>
      <c r="AL744" s="45"/>
      <c r="AM744" s="45"/>
      <c r="AN744" s="45"/>
      <c r="AO744" s="90"/>
      <c r="AP744" s="46"/>
      <c r="AQ744" s="52"/>
      <c r="AR744" s="52"/>
      <c r="AS744" s="52"/>
    </row>
    <row r="745" spans="1:45" x14ac:dyDescent="0.2">
      <c r="A745" s="29"/>
      <c r="B745" s="45"/>
      <c r="C745" s="45"/>
      <c r="D745" s="45"/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  <c r="AG745" s="45"/>
      <c r="AH745" s="45"/>
      <c r="AI745" s="45"/>
      <c r="AJ745" s="45"/>
      <c r="AK745" s="45"/>
      <c r="AL745" s="45"/>
      <c r="AM745" s="45"/>
      <c r="AN745" s="45"/>
      <c r="AO745" s="90"/>
      <c r="AP745" s="46"/>
      <c r="AQ745" s="52"/>
      <c r="AR745" s="52"/>
      <c r="AS745" s="52"/>
    </row>
    <row r="746" spans="1:45" x14ac:dyDescent="0.2">
      <c r="A746" s="29"/>
      <c r="B746" s="45"/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  <c r="AG746" s="45"/>
      <c r="AH746" s="45"/>
      <c r="AI746" s="45"/>
      <c r="AJ746" s="45"/>
      <c r="AK746" s="45"/>
      <c r="AL746" s="45"/>
      <c r="AM746" s="45"/>
      <c r="AN746" s="45"/>
      <c r="AO746" s="90"/>
      <c r="AP746" s="46"/>
      <c r="AQ746" s="52"/>
      <c r="AR746" s="52"/>
      <c r="AS746" s="52"/>
    </row>
    <row r="747" spans="1:45" x14ac:dyDescent="0.2">
      <c r="A747" s="29"/>
      <c r="B747" s="45"/>
      <c r="C747" s="45"/>
      <c r="D747" s="45"/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  <c r="AG747" s="45"/>
      <c r="AH747" s="45"/>
      <c r="AI747" s="45"/>
      <c r="AJ747" s="45"/>
      <c r="AK747" s="45"/>
      <c r="AL747" s="45"/>
      <c r="AM747" s="45"/>
      <c r="AN747" s="45"/>
      <c r="AO747" s="90"/>
      <c r="AP747" s="46"/>
      <c r="AQ747" s="52"/>
      <c r="AR747" s="52"/>
      <c r="AS747" s="52"/>
    </row>
    <row r="748" spans="1:45" x14ac:dyDescent="0.2">
      <c r="A748" s="29"/>
      <c r="B748" s="45"/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  <c r="AG748" s="45"/>
      <c r="AH748" s="45"/>
      <c r="AI748" s="45"/>
      <c r="AJ748" s="45"/>
      <c r="AK748" s="45"/>
      <c r="AL748" s="45"/>
      <c r="AM748" s="45"/>
      <c r="AN748" s="45"/>
      <c r="AO748" s="90"/>
      <c r="AP748" s="46"/>
      <c r="AQ748" s="52"/>
      <c r="AR748" s="52"/>
      <c r="AS748" s="52"/>
    </row>
    <row r="749" spans="1:45" x14ac:dyDescent="0.2">
      <c r="A749" s="29"/>
      <c r="B749" s="45"/>
      <c r="C749" s="45"/>
      <c r="D749" s="45"/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  <c r="AG749" s="45"/>
      <c r="AH749" s="45"/>
      <c r="AI749" s="45"/>
      <c r="AJ749" s="45"/>
      <c r="AK749" s="45"/>
      <c r="AL749" s="45"/>
      <c r="AM749" s="45"/>
      <c r="AN749" s="45"/>
      <c r="AO749" s="90"/>
      <c r="AP749" s="46"/>
      <c r="AQ749" s="52"/>
      <c r="AR749" s="52"/>
      <c r="AS749" s="52"/>
    </row>
    <row r="750" spans="1:45" x14ac:dyDescent="0.2">
      <c r="A750" s="29"/>
      <c r="B750" s="45"/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  <c r="AG750" s="45"/>
      <c r="AH750" s="45"/>
      <c r="AI750" s="45"/>
      <c r="AJ750" s="45"/>
      <c r="AK750" s="45"/>
      <c r="AL750" s="45"/>
      <c r="AM750" s="45"/>
      <c r="AN750" s="45"/>
      <c r="AO750" s="90"/>
      <c r="AP750" s="46"/>
      <c r="AQ750" s="52"/>
      <c r="AR750" s="52"/>
      <c r="AS750" s="52"/>
    </row>
    <row r="751" spans="1:45" x14ac:dyDescent="0.2">
      <c r="A751" s="29"/>
      <c r="B751" s="45"/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  <c r="AG751" s="45"/>
      <c r="AH751" s="45"/>
      <c r="AI751" s="45"/>
      <c r="AJ751" s="45"/>
      <c r="AK751" s="45"/>
      <c r="AL751" s="45"/>
      <c r="AM751" s="45"/>
      <c r="AN751" s="45"/>
      <c r="AO751" s="90"/>
      <c r="AP751" s="46"/>
      <c r="AQ751" s="52"/>
      <c r="AR751" s="52"/>
      <c r="AS751" s="52"/>
    </row>
    <row r="752" spans="1:45" x14ac:dyDescent="0.2">
      <c r="A752" s="29"/>
      <c r="B752" s="45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  <c r="AG752" s="45"/>
      <c r="AH752" s="45"/>
      <c r="AI752" s="45"/>
      <c r="AJ752" s="45"/>
      <c r="AK752" s="45"/>
      <c r="AL752" s="45"/>
      <c r="AM752" s="45"/>
      <c r="AN752" s="45"/>
      <c r="AO752" s="90"/>
      <c r="AP752" s="46"/>
      <c r="AQ752" s="52"/>
      <c r="AR752" s="52"/>
      <c r="AS752" s="52"/>
    </row>
    <row r="753" spans="1:45" x14ac:dyDescent="0.2">
      <c r="A753" s="29"/>
      <c r="B753" s="45"/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  <c r="AG753" s="45"/>
      <c r="AH753" s="45"/>
      <c r="AI753" s="45"/>
      <c r="AJ753" s="45"/>
      <c r="AK753" s="45"/>
      <c r="AL753" s="45"/>
      <c r="AM753" s="45"/>
      <c r="AN753" s="45"/>
      <c r="AO753" s="90"/>
      <c r="AP753" s="46"/>
      <c r="AQ753" s="52"/>
      <c r="AR753" s="52"/>
      <c r="AS753" s="52"/>
    </row>
    <row r="754" spans="1:45" x14ac:dyDescent="0.2">
      <c r="A754" s="29"/>
      <c r="B754" s="45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  <c r="AG754" s="45"/>
      <c r="AH754" s="45"/>
      <c r="AI754" s="45"/>
      <c r="AJ754" s="45"/>
      <c r="AK754" s="45"/>
      <c r="AL754" s="45"/>
      <c r="AM754" s="45"/>
      <c r="AN754" s="45"/>
      <c r="AO754" s="90"/>
      <c r="AP754" s="46"/>
      <c r="AQ754" s="52"/>
      <c r="AR754" s="52"/>
      <c r="AS754" s="52"/>
    </row>
    <row r="755" spans="1:45" x14ac:dyDescent="0.2">
      <c r="A755" s="29"/>
      <c r="B755" s="45"/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  <c r="AG755" s="45"/>
      <c r="AH755" s="45"/>
      <c r="AI755" s="45"/>
      <c r="AJ755" s="45"/>
      <c r="AK755" s="45"/>
      <c r="AL755" s="45"/>
      <c r="AM755" s="45"/>
      <c r="AN755" s="45"/>
      <c r="AO755" s="90"/>
      <c r="AP755" s="46"/>
      <c r="AQ755" s="52"/>
      <c r="AR755" s="52"/>
      <c r="AS755" s="52"/>
    </row>
    <row r="756" spans="1:45" x14ac:dyDescent="0.2">
      <c r="A756" s="29"/>
      <c r="B756" s="45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  <c r="AG756" s="45"/>
      <c r="AH756" s="45"/>
      <c r="AI756" s="45"/>
      <c r="AJ756" s="45"/>
      <c r="AK756" s="45"/>
      <c r="AL756" s="45"/>
      <c r="AM756" s="45"/>
      <c r="AN756" s="45"/>
      <c r="AO756" s="90"/>
      <c r="AP756" s="46"/>
      <c r="AQ756" s="52"/>
      <c r="AR756" s="52"/>
      <c r="AS756" s="52"/>
    </row>
    <row r="757" spans="1:45" x14ac:dyDescent="0.2">
      <c r="A757" s="29"/>
      <c r="B757" s="45"/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  <c r="AG757" s="45"/>
      <c r="AH757" s="45"/>
      <c r="AI757" s="45"/>
      <c r="AJ757" s="45"/>
      <c r="AK757" s="45"/>
      <c r="AL757" s="45"/>
      <c r="AM757" s="45"/>
      <c r="AN757" s="45"/>
      <c r="AO757" s="90"/>
      <c r="AP757" s="46"/>
      <c r="AQ757" s="52"/>
      <c r="AR757" s="52"/>
      <c r="AS757" s="52"/>
    </row>
    <row r="758" spans="1:45" x14ac:dyDescent="0.2">
      <c r="A758" s="29"/>
      <c r="B758" s="45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  <c r="AG758" s="45"/>
      <c r="AH758" s="45"/>
      <c r="AI758" s="45"/>
      <c r="AJ758" s="45"/>
      <c r="AK758" s="45"/>
      <c r="AL758" s="45"/>
      <c r="AM758" s="45"/>
      <c r="AN758" s="45"/>
      <c r="AO758" s="90"/>
      <c r="AP758" s="46"/>
      <c r="AQ758" s="52"/>
      <c r="AR758" s="52"/>
      <c r="AS758" s="52"/>
    </row>
    <row r="759" spans="1:45" x14ac:dyDescent="0.2">
      <c r="A759" s="29"/>
      <c r="B759" s="45"/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  <c r="AG759" s="45"/>
      <c r="AH759" s="45"/>
      <c r="AI759" s="45"/>
      <c r="AJ759" s="45"/>
      <c r="AK759" s="45"/>
      <c r="AL759" s="45"/>
      <c r="AM759" s="45"/>
      <c r="AN759" s="45"/>
      <c r="AO759" s="90"/>
      <c r="AP759" s="46"/>
      <c r="AQ759" s="52"/>
      <c r="AR759" s="52"/>
      <c r="AS759" s="52"/>
    </row>
    <row r="760" spans="1:45" x14ac:dyDescent="0.2">
      <c r="A760" s="29"/>
      <c r="B760" s="45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  <c r="AG760" s="45"/>
      <c r="AH760" s="45"/>
      <c r="AI760" s="45"/>
      <c r="AJ760" s="45"/>
      <c r="AK760" s="45"/>
      <c r="AL760" s="45"/>
      <c r="AM760" s="45"/>
      <c r="AN760" s="45"/>
      <c r="AO760" s="90"/>
      <c r="AP760" s="46"/>
      <c r="AQ760" s="52"/>
      <c r="AR760" s="52"/>
      <c r="AS760" s="52"/>
    </row>
    <row r="761" spans="1:45" x14ac:dyDescent="0.2">
      <c r="A761" s="29"/>
      <c r="B761" s="45"/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  <c r="AG761" s="45"/>
      <c r="AH761" s="45"/>
      <c r="AI761" s="45"/>
      <c r="AJ761" s="45"/>
      <c r="AK761" s="45"/>
      <c r="AL761" s="45"/>
      <c r="AM761" s="45"/>
      <c r="AN761" s="45"/>
      <c r="AO761" s="90"/>
      <c r="AP761" s="46"/>
      <c r="AQ761" s="52"/>
      <c r="AR761" s="52"/>
      <c r="AS761" s="52"/>
    </row>
    <row r="762" spans="1:45" x14ac:dyDescent="0.2">
      <c r="A762" s="29"/>
      <c r="B762" s="45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  <c r="AG762" s="45"/>
      <c r="AH762" s="45"/>
      <c r="AI762" s="45"/>
      <c r="AJ762" s="45"/>
      <c r="AK762" s="45"/>
      <c r="AL762" s="45"/>
      <c r="AM762" s="45"/>
      <c r="AN762" s="45"/>
      <c r="AO762" s="90"/>
      <c r="AP762" s="46"/>
      <c r="AQ762" s="52"/>
      <c r="AR762" s="52"/>
      <c r="AS762" s="52"/>
    </row>
    <row r="763" spans="1:45" x14ac:dyDescent="0.2">
      <c r="A763" s="29"/>
      <c r="B763" s="45"/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  <c r="AG763" s="45"/>
      <c r="AH763" s="45"/>
      <c r="AI763" s="45"/>
      <c r="AJ763" s="45"/>
      <c r="AK763" s="45"/>
      <c r="AL763" s="45"/>
      <c r="AM763" s="45"/>
      <c r="AN763" s="45"/>
      <c r="AO763" s="90"/>
      <c r="AP763" s="46"/>
      <c r="AQ763" s="52"/>
      <c r="AR763" s="52"/>
      <c r="AS763" s="52"/>
    </row>
    <row r="764" spans="1:45" x14ac:dyDescent="0.2">
      <c r="A764" s="29"/>
      <c r="B764" s="45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  <c r="AG764" s="45"/>
      <c r="AH764" s="45"/>
      <c r="AI764" s="45"/>
      <c r="AJ764" s="45"/>
      <c r="AK764" s="45"/>
      <c r="AL764" s="45"/>
      <c r="AM764" s="45"/>
      <c r="AN764" s="45"/>
      <c r="AO764" s="90"/>
      <c r="AP764" s="46"/>
      <c r="AQ764" s="52"/>
      <c r="AR764" s="52"/>
      <c r="AS764" s="52"/>
    </row>
    <row r="765" spans="1:45" x14ac:dyDescent="0.2">
      <c r="A765" s="29"/>
      <c r="B765" s="45"/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  <c r="AG765" s="45"/>
      <c r="AH765" s="45"/>
      <c r="AI765" s="45"/>
      <c r="AJ765" s="45"/>
      <c r="AK765" s="45"/>
      <c r="AL765" s="45"/>
      <c r="AM765" s="45"/>
      <c r="AN765" s="45"/>
      <c r="AO765" s="90"/>
      <c r="AP765" s="46"/>
      <c r="AQ765" s="52"/>
      <c r="AR765" s="52"/>
      <c r="AS765" s="52"/>
    </row>
    <row r="766" spans="1:45" x14ac:dyDescent="0.2">
      <c r="A766" s="29"/>
      <c r="B766" s="45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  <c r="AG766" s="45"/>
      <c r="AH766" s="45"/>
      <c r="AI766" s="45"/>
      <c r="AJ766" s="45"/>
      <c r="AK766" s="45"/>
      <c r="AL766" s="45"/>
      <c r="AM766" s="45"/>
      <c r="AN766" s="45"/>
      <c r="AO766" s="90"/>
      <c r="AP766" s="46"/>
      <c r="AQ766" s="52"/>
      <c r="AR766" s="52"/>
      <c r="AS766" s="52"/>
    </row>
    <row r="767" spans="1:45" x14ac:dyDescent="0.2">
      <c r="A767" s="29"/>
      <c r="B767" s="45"/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  <c r="AG767" s="45"/>
      <c r="AH767" s="45"/>
      <c r="AI767" s="45"/>
      <c r="AJ767" s="45"/>
      <c r="AK767" s="45"/>
      <c r="AL767" s="45"/>
      <c r="AM767" s="45"/>
      <c r="AN767" s="45"/>
      <c r="AO767" s="90"/>
      <c r="AP767" s="46"/>
      <c r="AQ767" s="52"/>
      <c r="AR767" s="52"/>
      <c r="AS767" s="52"/>
    </row>
    <row r="768" spans="1:45" x14ac:dyDescent="0.2">
      <c r="A768" s="29"/>
      <c r="B768" s="45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  <c r="AG768" s="45"/>
      <c r="AH768" s="45"/>
      <c r="AI768" s="45"/>
      <c r="AJ768" s="45"/>
      <c r="AK768" s="45"/>
      <c r="AL768" s="45"/>
      <c r="AM768" s="45"/>
      <c r="AN768" s="45"/>
      <c r="AO768" s="90"/>
      <c r="AP768" s="46"/>
      <c r="AQ768" s="52"/>
      <c r="AR768" s="52"/>
      <c r="AS768" s="52"/>
    </row>
    <row r="769" spans="1:45" x14ac:dyDescent="0.2">
      <c r="A769" s="29"/>
      <c r="B769" s="45"/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  <c r="AG769" s="45"/>
      <c r="AH769" s="45"/>
      <c r="AI769" s="45"/>
      <c r="AJ769" s="45"/>
      <c r="AK769" s="45"/>
      <c r="AL769" s="45"/>
      <c r="AM769" s="45"/>
      <c r="AN769" s="45"/>
      <c r="AO769" s="90"/>
      <c r="AP769" s="46"/>
      <c r="AQ769" s="52"/>
      <c r="AR769" s="52"/>
      <c r="AS769" s="52"/>
    </row>
    <row r="770" spans="1:45" x14ac:dyDescent="0.2">
      <c r="A770" s="29"/>
      <c r="B770" s="45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  <c r="AG770" s="45"/>
      <c r="AH770" s="45"/>
      <c r="AI770" s="45"/>
      <c r="AJ770" s="45"/>
      <c r="AK770" s="45"/>
      <c r="AL770" s="45"/>
      <c r="AM770" s="45"/>
      <c r="AN770" s="45"/>
      <c r="AO770" s="90"/>
      <c r="AP770" s="46"/>
      <c r="AQ770" s="52"/>
      <c r="AR770" s="52"/>
      <c r="AS770" s="52"/>
    </row>
    <row r="771" spans="1:45" x14ac:dyDescent="0.2">
      <c r="A771" s="29"/>
      <c r="B771" s="45"/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  <c r="AG771" s="45"/>
      <c r="AH771" s="45"/>
      <c r="AI771" s="45"/>
      <c r="AJ771" s="45"/>
      <c r="AK771" s="45"/>
      <c r="AL771" s="45"/>
      <c r="AM771" s="45"/>
      <c r="AN771" s="45"/>
      <c r="AO771" s="90"/>
      <c r="AP771" s="46"/>
      <c r="AQ771" s="52"/>
      <c r="AR771" s="52"/>
      <c r="AS771" s="52"/>
    </row>
    <row r="772" spans="1:45" x14ac:dyDescent="0.2">
      <c r="A772" s="29"/>
      <c r="B772" s="45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  <c r="AG772" s="45"/>
      <c r="AH772" s="45"/>
      <c r="AI772" s="45"/>
      <c r="AJ772" s="45"/>
      <c r="AK772" s="45"/>
      <c r="AL772" s="45"/>
      <c r="AM772" s="45"/>
      <c r="AN772" s="45"/>
      <c r="AO772" s="90"/>
      <c r="AP772" s="46"/>
      <c r="AQ772" s="52"/>
      <c r="AR772" s="52"/>
      <c r="AS772" s="52"/>
    </row>
    <row r="773" spans="1:45" x14ac:dyDescent="0.2">
      <c r="A773" s="29"/>
      <c r="B773" s="45"/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  <c r="AG773" s="45"/>
      <c r="AH773" s="45"/>
      <c r="AI773" s="45"/>
      <c r="AJ773" s="45"/>
      <c r="AK773" s="45"/>
      <c r="AL773" s="45"/>
      <c r="AM773" s="45"/>
      <c r="AN773" s="45"/>
      <c r="AO773" s="90"/>
      <c r="AP773" s="46"/>
      <c r="AQ773" s="52"/>
      <c r="AR773" s="52"/>
      <c r="AS773" s="52"/>
    </row>
    <row r="774" spans="1:45" x14ac:dyDescent="0.2">
      <c r="A774" s="29"/>
      <c r="B774" s="45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  <c r="AG774" s="45"/>
      <c r="AH774" s="45"/>
      <c r="AI774" s="45"/>
      <c r="AJ774" s="45"/>
      <c r="AK774" s="45"/>
      <c r="AL774" s="45"/>
      <c r="AM774" s="45"/>
      <c r="AN774" s="45"/>
      <c r="AO774" s="90"/>
      <c r="AP774" s="46"/>
      <c r="AQ774" s="52"/>
      <c r="AR774" s="52"/>
      <c r="AS774" s="52"/>
    </row>
    <row r="775" spans="1:45" x14ac:dyDescent="0.2">
      <c r="A775" s="29"/>
      <c r="B775" s="45"/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  <c r="AG775" s="45"/>
      <c r="AH775" s="45"/>
      <c r="AI775" s="45"/>
      <c r="AJ775" s="45"/>
      <c r="AK775" s="45"/>
      <c r="AL775" s="45"/>
      <c r="AM775" s="45"/>
      <c r="AN775" s="45"/>
      <c r="AO775" s="90"/>
      <c r="AP775" s="46"/>
      <c r="AQ775" s="52"/>
      <c r="AR775" s="52"/>
      <c r="AS775" s="52"/>
    </row>
    <row r="776" spans="1:45" x14ac:dyDescent="0.2">
      <c r="A776" s="29"/>
      <c r="B776" s="45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  <c r="AG776" s="45"/>
      <c r="AH776" s="45"/>
      <c r="AI776" s="45"/>
      <c r="AJ776" s="45"/>
      <c r="AK776" s="45"/>
      <c r="AL776" s="45"/>
      <c r="AM776" s="45"/>
      <c r="AN776" s="45"/>
      <c r="AO776" s="90"/>
      <c r="AP776" s="46"/>
      <c r="AQ776" s="52"/>
      <c r="AR776" s="52"/>
      <c r="AS776" s="52"/>
    </row>
    <row r="777" spans="1:45" x14ac:dyDescent="0.2">
      <c r="A777" s="29"/>
      <c r="B777" s="45"/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  <c r="AG777" s="45"/>
      <c r="AH777" s="45"/>
      <c r="AI777" s="45"/>
      <c r="AJ777" s="45"/>
      <c r="AK777" s="45"/>
      <c r="AL777" s="45"/>
      <c r="AM777" s="45"/>
      <c r="AN777" s="45"/>
      <c r="AO777" s="90"/>
      <c r="AP777" s="46"/>
      <c r="AQ777" s="52"/>
      <c r="AR777" s="52"/>
      <c r="AS777" s="52"/>
    </row>
    <row r="778" spans="1:45" x14ac:dyDescent="0.2">
      <c r="A778" s="29"/>
      <c r="B778" s="45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  <c r="AG778" s="45"/>
      <c r="AH778" s="45"/>
      <c r="AI778" s="45"/>
      <c r="AJ778" s="45"/>
      <c r="AK778" s="45"/>
      <c r="AL778" s="45"/>
      <c r="AM778" s="45"/>
      <c r="AN778" s="45"/>
      <c r="AO778" s="90"/>
      <c r="AP778" s="46"/>
      <c r="AQ778" s="52"/>
      <c r="AR778" s="52"/>
      <c r="AS778" s="52"/>
    </row>
    <row r="779" spans="1:45" x14ac:dyDescent="0.2">
      <c r="A779" s="29"/>
      <c r="B779" s="45"/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  <c r="AG779" s="45"/>
      <c r="AH779" s="45"/>
      <c r="AI779" s="45"/>
      <c r="AJ779" s="45"/>
      <c r="AK779" s="45"/>
      <c r="AL779" s="45"/>
      <c r="AM779" s="45"/>
      <c r="AN779" s="45"/>
      <c r="AO779" s="90"/>
      <c r="AP779" s="46"/>
      <c r="AQ779" s="52"/>
      <c r="AR779" s="52"/>
      <c r="AS779" s="52"/>
    </row>
    <row r="780" spans="1:45" x14ac:dyDescent="0.2">
      <c r="A780" s="29"/>
      <c r="B780" s="45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  <c r="AG780" s="45"/>
      <c r="AH780" s="45"/>
      <c r="AI780" s="45"/>
      <c r="AJ780" s="45"/>
      <c r="AK780" s="45"/>
      <c r="AL780" s="45"/>
      <c r="AM780" s="45"/>
      <c r="AN780" s="45"/>
      <c r="AO780" s="90"/>
      <c r="AP780" s="46"/>
      <c r="AQ780" s="52"/>
      <c r="AR780" s="52"/>
      <c r="AS780" s="52"/>
    </row>
    <row r="781" spans="1:45" x14ac:dyDescent="0.2">
      <c r="A781" s="29"/>
      <c r="B781" s="45"/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  <c r="AG781" s="45"/>
      <c r="AH781" s="45"/>
      <c r="AI781" s="45"/>
      <c r="AJ781" s="45"/>
      <c r="AK781" s="45"/>
      <c r="AL781" s="45"/>
      <c r="AM781" s="45"/>
      <c r="AN781" s="45"/>
      <c r="AO781" s="90"/>
      <c r="AP781" s="46"/>
      <c r="AQ781" s="52"/>
      <c r="AR781" s="52"/>
      <c r="AS781" s="52"/>
    </row>
    <row r="782" spans="1:45" x14ac:dyDescent="0.2">
      <c r="A782" s="29"/>
      <c r="B782" s="45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  <c r="AG782" s="45"/>
      <c r="AH782" s="45"/>
      <c r="AI782" s="45"/>
      <c r="AJ782" s="45"/>
      <c r="AK782" s="45"/>
      <c r="AL782" s="45"/>
      <c r="AM782" s="45"/>
      <c r="AN782" s="45"/>
      <c r="AO782" s="90"/>
      <c r="AP782" s="46"/>
      <c r="AQ782" s="52"/>
      <c r="AR782" s="52"/>
      <c r="AS782" s="52"/>
    </row>
    <row r="783" spans="1:45" x14ac:dyDescent="0.2">
      <c r="A783" s="29"/>
      <c r="B783" s="45"/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  <c r="AG783" s="45"/>
      <c r="AH783" s="45"/>
      <c r="AI783" s="45"/>
      <c r="AJ783" s="45"/>
      <c r="AK783" s="45"/>
      <c r="AL783" s="45"/>
      <c r="AM783" s="45"/>
      <c r="AN783" s="45"/>
      <c r="AO783" s="90"/>
      <c r="AP783" s="46"/>
      <c r="AQ783" s="52"/>
      <c r="AR783" s="52"/>
      <c r="AS783" s="52"/>
    </row>
    <row r="784" spans="1:45" x14ac:dyDescent="0.2">
      <c r="A784" s="29"/>
      <c r="B784" s="45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  <c r="AG784" s="45"/>
      <c r="AH784" s="45"/>
      <c r="AI784" s="45"/>
      <c r="AJ784" s="45"/>
      <c r="AK784" s="45"/>
      <c r="AL784" s="45"/>
      <c r="AM784" s="45"/>
      <c r="AN784" s="45"/>
      <c r="AO784" s="90"/>
      <c r="AP784" s="46"/>
      <c r="AQ784" s="52"/>
      <c r="AR784" s="52"/>
      <c r="AS784" s="52"/>
    </row>
    <row r="785" spans="1:45" x14ac:dyDescent="0.2">
      <c r="A785" s="29"/>
      <c r="B785" s="45"/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  <c r="AG785" s="45"/>
      <c r="AH785" s="45"/>
      <c r="AI785" s="45"/>
      <c r="AJ785" s="45"/>
      <c r="AK785" s="45"/>
      <c r="AL785" s="45"/>
      <c r="AM785" s="45"/>
      <c r="AN785" s="45"/>
      <c r="AO785" s="90"/>
      <c r="AP785" s="46"/>
      <c r="AQ785" s="52"/>
      <c r="AR785" s="52"/>
      <c r="AS785" s="52"/>
    </row>
    <row r="786" spans="1:45" x14ac:dyDescent="0.2">
      <c r="A786" s="29"/>
      <c r="B786" s="45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  <c r="AG786" s="45"/>
      <c r="AH786" s="45"/>
      <c r="AI786" s="45"/>
      <c r="AJ786" s="45"/>
      <c r="AK786" s="45"/>
      <c r="AL786" s="45"/>
      <c r="AM786" s="45"/>
      <c r="AN786" s="45"/>
      <c r="AO786" s="90"/>
      <c r="AP786" s="46"/>
      <c r="AQ786" s="52"/>
      <c r="AR786" s="52"/>
      <c r="AS786" s="52"/>
    </row>
    <row r="787" spans="1:45" x14ac:dyDescent="0.2">
      <c r="A787" s="29"/>
      <c r="B787" s="45"/>
      <c r="C787" s="45"/>
      <c r="D787" s="45"/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  <c r="AG787" s="45"/>
      <c r="AH787" s="45"/>
      <c r="AI787" s="45"/>
      <c r="AJ787" s="45"/>
      <c r="AK787" s="45"/>
      <c r="AL787" s="45"/>
      <c r="AM787" s="45"/>
      <c r="AN787" s="45"/>
      <c r="AO787" s="90"/>
      <c r="AP787" s="46"/>
      <c r="AQ787" s="52"/>
      <c r="AR787" s="52"/>
      <c r="AS787" s="52"/>
    </row>
    <row r="788" spans="1:45" x14ac:dyDescent="0.2">
      <c r="A788" s="29"/>
      <c r="B788" s="45"/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  <c r="AG788" s="45"/>
      <c r="AH788" s="45"/>
      <c r="AI788" s="45"/>
      <c r="AJ788" s="45"/>
      <c r="AK788" s="45"/>
      <c r="AL788" s="45"/>
      <c r="AM788" s="45"/>
      <c r="AN788" s="45"/>
      <c r="AO788" s="90"/>
      <c r="AP788" s="46"/>
      <c r="AQ788" s="52"/>
      <c r="AR788" s="52"/>
      <c r="AS788" s="52"/>
    </row>
    <row r="789" spans="1:45" x14ac:dyDescent="0.2">
      <c r="A789" s="29"/>
      <c r="B789" s="45"/>
      <c r="C789" s="45"/>
      <c r="D789" s="45"/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  <c r="AG789" s="45"/>
      <c r="AH789" s="45"/>
      <c r="AI789" s="45"/>
      <c r="AJ789" s="45"/>
      <c r="AK789" s="45"/>
      <c r="AL789" s="45"/>
      <c r="AM789" s="45"/>
      <c r="AN789" s="45"/>
      <c r="AO789" s="90"/>
      <c r="AP789" s="46"/>
      <c r="AQ789" s="52"/>
      <c r="AR789" s="52"/>
      <c r="AS789" s="52"/>
    </row>
    <row r="790" spans="1:45" x14ac:dyDescent="0.2">
      <c r="A790" s="29"/>
      <c r="B790" s="45"/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  <c r="AG790" s="45"/>
      <c r="AH790" s="45"/>
      <c r="AI790" s="45"/>
      <c r="AJ790" s="45"/>
      <c r="AK790" s="45"/>
      <c r="AL790" s="45"/>
      <c r="AM790" s="45"/>
      <c r="AN790" s="45"/>
      <c r="AO790" s="90"/>
      <c r="AP790" s="46"/>
      <c r="AQ790" s="52"/>
      <c r="AR790" s="52"/>
      <c r="AS790" s="52"/>
    </row>
    <row r="791" spans="1:45" x14ac:dyDescent="0.2">
      <c r="A791" s="29"/>
      <c r="B791" s="45"/>
      <c r="C791" s="45"/>
      <c r="D791" s="45"/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  <c r="AG791" s="45"/>
      <c r="AH791" s="45"/>
      <c r="AI791" s="45"/>
      <c r="AJ791" s="45"/>
      <c r="AK791" s="45"/>
      <c r="AL791" s="45"/>
      <c r="AM791" s="45"/>
      <c r="AN791" s="45"/>
      <c r="AO791" s="90"/>
      <c r="AP791" s="46"/>
      <c r="AQ791" s="52"/>
      <c r="AR791" s="52"/>
      <c r="AS791" s="52"/>
    </row>
    <row r="792" spans="1:45" x14ac:dyDescent="0.2">
      <c r="A792" s="29"/>
      <c r="B792" s="45"/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  <c r="AG792" s="45"/>
      <c r="AH792" s="45"/>
      <c r="AI792" s="45"/>
      <c r="AJ792" s="45"/>
      <c r="AK792" s="45"/>
      <c r="AL792" s="45"/>
      <c r="AM792" s="45"/>
      <c r="AN792" s="45"/>
      <c r="AO792" s="90"/>
      <c r="AP792" s="46"/>
      <c r="AQ792" s="52"/>
      <c r="AR792" s="52"/>
      <c r="AS792" s="52"/>
    </row>
    <row r="793" spans="1:45" x14ac:dyDescent="0.2">
      <c r="A793" s="29"/>
      <c r="B793" s="45"/>
      <c r="C793" s="45"/>
      <c r="D793" s="45"/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  <c r="AG793" s="45"/>
      <c r="AH793" s="45"/>
      <c r="AI793" s="45"/>
      <c r="AJ793" s="45"/>
      <c r="AK793" s="45"/>
      <c r="AL793" s="45"/>
      <c r="AM793" s="45"/>
      <c r="AN793" s="45"/>
      <c r="AO793" s="90"/>
      <c r="AP793" s="46"/>
      <c r="AQ793" s="52"/>
      <c r="AR793" s="52"/>
      <c r="AS793" s="52"/>
    </row>
    <row r="794" spans="1:45" x14ac:dyDescent="0.2">
      <c r="A794" s="29"/>
      <c r="B794" s="45"/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  <c r="AG794" s="45"/>
      <c r="AH794" s="45"/>
      <c r="AI794" s="45"/>
      <c r="AJ794" s="45"/>
      <c r="AK794" s="45"/>
      <c r="AL794" s="45"/>
      <c r="AM794" s="45"/>
      <c r="AN794" s="45"/>
      <c r="AO794" s="90"/>
      <c r="AP794" s="46"/>
      <c r="AQ794" s="52"/>
      <c r="AR794" s="52"/>
      <c r="AS794" s="52"/>
    </row>
    <row r="795" spans="1:45" x14ac:dyDescent="0.2">
      <c r="A795" s="29"/>
      <c r="B795" s="45"/>
      <c r="C795" s="45"/>
      <c r="D795" s="45"/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  <c r="AG795" s="45"/>
      <c r="AH795" s="45"/>
      <c r="AI795" s="45"/>
      <c r="AJ795" s="45"/>
      <c r="AK795" s="45"/>
      <c r="AL795" s="45"/>
      <c r="AM795" s="45"/>
      <c r="AN795" s="45"/>
      <c r="AO795" s="90"/>
      <c r="AP795" s="46"/>
      <c r="AQ795" s="52"/>
      <c r="AR795" s="52"/>
      <c r="AS795" s="52"/>
    </row>
    <row r="796" spans="1:45" x14ac:dyDescent="0.2">
      <c r="A796" s="29"/>
      <c r="B796" s="45"/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  <c r="AG796" s="45"/>
      <c r="AH796" s="45"/>
      <c r="AI796" s="45"/>
      <c r="AJ796" s="45"/>
      <c r="AK796" s="45"/>
      <c r="AL796" s="45"/>
      <c r="AM796" s="45"/>
      <c r="AN796" s="45"/>
      <c r="AO796" s="90"/>
      <c r="AP796" s="46"/>
      <c r="AQ796" s="52"/>
      <c r="AR796" s="52"/>
      <c r="AS796" s="52"/>
    </row>
    <row r="797" spans="1:45" x14ac:dyDescent="0.2">
      <c r="A797" s="29"/>
      <c r="B797" s="45"/>
      <c r="C797" s="45"/>
      <c r="D797" s="45"/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  <c r="AG797" s="45"/>
      <c r="AH797" s="45"/>
      <c r="AI797" s="45"/>
      <c r="AJ797" s="45"/>
      <c r="AK797" s="45"/>
      <c r="AL797" s="45"/>
      <c r="AM797" s="45"/>
      <c r="AN797" s="45"/>
      <c r="AO797" s="90"/>
      <c r="AP797" s="46"/>
      <c r="AQ797" s="52"/>
      <c r="AR797" s="52"/>
      <c r="AS797" s="52"/>
    </row>
    <row r="798" spans="1:45" x14ac:dyDescent="0.2">
      <c r="A798" s="29"/>
      <c r="B798" s="45"/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  <c r="AG798" s="45"/>
      <c r="AH798" s="45"/>
      <c r="AI798" s="45"/>
      <c r="AJ798" s="45"/>
      <c r="AK798" s="45"/>
      <c r="AL798" s="45"/>
      <c r="AM798" s="45"/>
      <c r="AN798" s="45"/>
      <c r="AO798" s="90"/>
      <c r="AP798" s="46"/>
      <c r="AQ798" s="52"/>
      <c r="AR798" s="52"/>
      <c r="AS798" s="52"/>
    </row>
    <row r="799" spans="1:45" x14ac:dyDescent="0.2">
      <c r="A799" s="29"/>
      <c r="B799" s="45"/>
      <c r="C799" s="45"/>
      <c r="D799" s="45"/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  <c r="AG799" s="45"/>
      <c r="AH799" s="45"/>
      <c r="AI799" s="45"/>
      <c r="AJ799" s="45"/>
      <c r="AK799" s="45"/>
      <c r="AL799" s="45"/>
      <c r="AM799" s="45"/>
      <c r="AN799" s="45"/>
      <c r="AO799" s="90"/>
      <c r="AP799" s="46"/>
      <c r="AQ799" s="52"/>
      <c r="AR799" s="52"/>
      <c r="AS799" s="52"/>
    </row>
    <row r="800" spans="1:45" x14ac:dyDescent="0.2">
      <c r="A800" s="29"/>
      <c r="B800" s="45"/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  <c r="AG800" s="45"/>
      <c r="AH800" s="45"/>
      <c r="AI800" s="45"/>
      <c r="AJ800" s="45"/>
      <c r="AK800" s="45"/>
      <c r="AL800" s="45"/>
      <c r="AM800" s="45"/>
      <c r="AN800" s="45"/>
      <c r="AO800" s="90"/>
      <c r="AP800" s="46"/>
      <c r="AQ800" s="52"/>
      <c r="AR800" s="52"/>
      <c r="AS800" s="52"/>
    </row>
    <row r="801" spans="1:45" x14ac:dyDescent="0.2">
      <c r="A801" s="29"/>
      <c r="B801" s="45"/>
      <c r="C801" s="45"/>
      <c r="D801" s="45"/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  <c r="AG801" s="45"/>
      <c r="AH801" s="45"/>
      <c r="AI801" s="45"/>
      <c r="AJ801" s="45"/>
      <c r="AK801" s="45"/>
      <c r="AL801" s="45"/>
      <c r="AM801" s="45"/>
      <c r="AN801" s="45"/>
      <c r="AO801" s="90"/>
      <c r="AP801" s="46"/>
      <c r="AQ801" s="52"/>
      <c r="AR801" s="52"/>
      <c r="AS801" s="52"/>
    </row>
    <row r="802" spans="1:45" x14ac:dyDescent="0.2">
      <c r="A802" s="29"/>
      <c r="B802" s="45"/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  <c r="AG802" s="45"/>
      <c r="AH802" s="45"/>
      <c r="AI802" s="45"/>
      <c r="AJ802" s="45"/>
      <c r="AK802" s="45"/>
      <c r="AL802" s="45"/>
      <c r="AM802" s="45"/>
      <c r="AN802" s="45"/>
      <c r="AO802" s="90"/>
      <c r="AP802" s="46"/>
      <c r="AQ802" s="52"/>
      <c r="AR802" s="52"/>
      <c r="AS802" s="52"/>
    </row>
    <row r="803" spans="1:45" x14ac:dyDescent="0.2">
      <c r="A803" s="29"/>
      <c r="B803" s="45"/>
      <c r="C803" s="45"/>
      <c r="D803" s="45"/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  <c r="AG803" s="45"/>
      <c r="AH803" s="45"/>
      <c r="AI803" s="45"/>
      <c r="AJ803" s="45"/>
      <c r="AK803" s="45"/>
      <c r="AL803" s="45"/>
      <c r="AM803" s="45"/>
      <c r="AN803" s="45"/>
      <c r="AO803" s="90"/>
      <c r="AP803" s="46"/>
      <c r="AQ803" s="52"/>
      <c r="AR803" s="52"/>
      <c r="AS803" s="52"/>
    </row>
    <row r="804" spans="1:45" x14ac:dyDescent="0.2">
      <c r="A804" s="29"/>
      <c r="B804" s="45"/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  <c r="AG804" s="45"/>
      <c r="AH804" s="45"/>
      <c r="AI804" s="45"/>
      <c r="AJ804" s="45"/>
      <c r="AK804" s="45"/>
      <c r="AL804" s="45"/>
      <c r="AM804" s="45"/>
      <c r="AN804" s="45"/>
      <c r="AO804" s="90"/>
      <c r="AP804" s="46"/>
      <c r="AQ804" s="52"/>
      <c r="AR804" s="52"/>
      <c r="AS804" s="52"/>
    </row>
    <row r="805" spans="1:45" x14ac:dyDescent="0.2">
      <c r="A805" s="29"/>
      <c r="B805" s="45"/>
      <c r="C805" s="45"/>
      <c r="D805" s="45"/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  <c r="AG805" s="45"/>
      <c r="AH805" s="45"/>
      <c r="AI805" s="45"/>
      <c r="AJ805" s="45"/>
      <c r="AK805" s="45"/>
      <c r="AL805" s="45"/>
      <c r="AM805" s="45"/>
      <c r="AN805" s="45"/>
      <c r="AO805" s="90"/>
      <c r="AP805" s="46"/>
      <c r="AQ805" s="52"/>
      <c r="AR805" s="52"/>
      <c r="AS805" s="52"/>
    </row>
    <row r="806" spans="1:45" x14ac:dyDescent="0.2">
      <c r="A806" s="29"/>
      <c r="B806" s="45"/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  <c r="AG806" s="45"/>
      <c r="AH806" s="45"/>
      <c r="AI806" s="45"/>
      <c r="AJ806" s="45"/>
      <c r="AK806" s="45"/>
      <c r="AL806" s="45"/>
      <c r="AM806" s="45"/>
      <c r="AN806" s="45"/>
      <c r="AO806" s="90"/>
      <c r="AP806" s="46"/>
      <c r="AQ806" s="52"/>
      <c r="AR806" s="52"/>
      <c r="AS806" s="52"/>
    </row>
    <row r="807" spans="1:45" x14ac:dyDescent="0.2">
      <c r="A807" s="29"/>
      <c r="B807" s="45"/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  <c r="AG807" s="45"/>
      <c r="AH807" s="45"/>
      <c r="AI807" s="45"/>
      <c r="AJ807" s="45"/>
      <c r="AK807" s="45"/>
      <c r="AL807" s="45"/>
      <c r="AM807" s="45"/>
      <c r="AN807" s="45"/>
      <c r="AO807" s="90"/>
      <c r="AP807" s="46"/>
      <c r="AQ807" s="52"/>
      <c r="AR807" s="52"/>
      <c r="AS807" s="52"/>
    </row>
    <row r="808" spans="1:45" x14ac:dyDescent="0.2">
      <c r="A808" s="29"/>
      <c r="B808" s="45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  <c r="AG808" s="45"/>
      <c r="AH808" s="45"/>
      <c r="AI808" s="45"/>
      <c r="AJ808" s="45"/>
      <c r="AK808" s="45"/>
      <c r="AL808" s="45"/>
      <c r="AM808" s="45"/>
      <c r="AN808" s="45"/>
      <c r="AO808" s="90"/>
      <c r="AP808" s="46"/>
      <c r="AQ808" s="52"/>
      <c r="AR808" s="52"/>
      <c r="AS808" s="52"/>
    </row>
    <row r="809" spans="1:45" x14ac:dyDescent="0.2">
      <c r="A809" s="29"/>
      <c r="B809" s="45"/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  <c r="AG809" s="45"/>
      <c r="AH809" s="45"/>
      <c r="AI809" s="45"/>
      <c r="AJ809" s="45"/>
      <c r="AK809" s="45"/>
      <c r="AL809" s="45"/>
      <c r="AM809" s="45"/>
      <c r="AN809" s="45"/>
      <c r="AO809" s="90"/>
      <c r="AP809" s="46"/>
      <c r="AQ809" s="52"/>
      <c r="AR809" s="52"/>
      <c r="AS809" s="52"/>
    </row>
    <row r="810" spans="1:45" x14ac:dyDescent="0.2">
      <c r="A810" s="29"/>
      <c r="B810" s="45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  <c r="AG810" s="45"/>
      <c r="AH810" s="45"/>
      <c r="AI810" s="45"/>
      <c r="AJ810" s="45"/>
      <c r="AK810" s="45"/>
      <c r="AL810" s="45"/>
      <c r="AM810" s="45"/>
      <c r="AN810" s="45"/>
      <c r="AO810" s="90"/>
      <c r="AP810" s="46"/>
      <c r="AQ810" s="52"/>
      <c r="AR810" s="52"/>
      <c r="AS810" s="52"/>
    </row>
    <row r="811" spans="1:45" x14ac:dyDescent="0.2">
      <c r="A811" s="29"/>
      <c r="B811" s="45"/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  <c r="AG811" s="45"/>
      <c r="AH811" s="45"/>
      <c r="AI811" s="45"/>
      <c r="AJ811" s="45"/>
      <c r="AK811" s="45"/>
      <c r="AL811" s="45"/>
      <c r="AM811" s="45"/>
      <c r="AN811" s="45"/>
      <c r="AO811" s="90"/>
      <c r="AP811" s="46"/>
      <c r="AQ811" s="52"/>
      <c r="AR811" s="52"/>
      <c r="AS811" s="52"/>
    </row>
    <row r="812" spans="1:45" x14ac:dyDescent="0.2">
      <c r="A812" s="29"/>
      <c r="B812" s="45"/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  <c r="AG812" s="45"/>
      <c r="AH812" s="45"/>
      <c r="AI812" s="45"/>
      <c r="AJ812" s="45"/>
      <c r="AK812" s="45"/>
      <c r="AL812" s="45"/>
      <c r="AM812" s="45"/>
      <c r="AN812" s="45"/>
      <c r="AO812" s="90"/>
      <c r="AP812" s="46"/>
      <c r="AQ812" s="52"/>
      <c r="AR812" s="52"/>
      <c r="AS812" s="52"/>
    </row>
    <row r="813" spans="1:45" x14ac:dyDescent="0.2">
      <c r="A813" s="29"/>
      <c r="B813" s="45"/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  <c r="AG813" s="45"/>
      <c r="AH813" s="45"/>
      <c r="AI813" s="45"/>
      <c r="AJ813" s="45"/>
      <c r="AK813" s="45"/>
      <c r="AL813" s="45"/>
      <c r="AM813" s="45"/>
      <c r="AN813" s="45"/>
      <c r="AO813" s="90"/>
      <c r="AP813" s="46"/>
      <c r="AQ813" s="52"/>
      <c r="AR813" s="52"/>
      <c r="AS813" s="52"/>
    </row>
    <row r="814" spans="1:45" x14ac:dyDescent="0.2">
      <c r="A814" s="29"/>
      <c r="B814" s="45"/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  <c r="AG814" s="45"/>
      <c r="AH814" s="45"/>
      <c r="AI814" s="45"/>
      <c r="AJ814" s="45"/>
      <c r="AK814" s="45"/>
      <c r="AL814" s="45"/>
      <c r="AM814" s="45"/>
      <c r="AN814" s="45"/>
      <c r="AO814" s="90"/>
      <c r="AP814" s="46"/>
      <c r="AQ814" s="52"/>
      <c r="AR814" s="52"/>
      <c r="AS814" s="52"/>
    </row>
    <row r="815" spans="1:45" x14ac:dyDescent="0.2">
      <c r="A815" s="29"/>
      <c r="B815" s="45"/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  <c r="AG815" s="45"/>
      <c r="AH815" s="45"/>
      <c r="AI815" s="45"/>
      <c r="AJ815" s="45"/>
      <c r="AK815" s="45"/>
      <c r="AL815" s="45"/>
      <c r="AM815" s="45"/>
      <c r="AN815" s="45"/>
      <c r="AO815" s="90"/>
      <c r="AP815" s="46"/>
      <c r="AQ815" s="52"/>
      <c r="AR815" s="52"/>
      <c r="AS815" s="52"/>
    </row>
    <row r="816" spans="1:45" x14ac:dyDescent="0.2">
      <c r="A816" s="29"/>
      <c r="B816" s="45"/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  <c r="AG816" s="45"/>
      <c r="AH816" s="45"/>
      <c r="AI816" s="45"/>
      <c r="AJ816" s="45"/>
      <c r="AK816" s="45"/>
      <c r="AL816" s="45"/>
      <c r="AM816" s="45"/>
      <c r="AN816" s="45"/>
      <c r="AO816" s="90"/>
      <c r="AP816" s="46"/>
      <c r="AQ816" s="52"/>
      <c r="AR816" s="52"/>
      <c r="AS816" s="52"/>
    </row>
    <row r="817" spans="1:45" x14ac:dyDescent="0.2">
      <c r="A817" s="29"/>
      <c r="B817" s="45"/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  <c r="AG817" s="45"/>
      <c r="AH817" s="45"/>
      <c r="AI817" s="45"/>
      <c r="AJ817" s="45"/>
      <c r="AK817" s="45"/>
      <c r="AL817" s="45"/>
      <c r="AM817" s="45"/>
      <c r="AN817" s="45"/>
      <c r="AO817" s="90"/>
      <c r="AP817" s="46"/>
      <c r="AQ817" s="52"/>
      <c r="AR817" s="52"/>
      <c r="AS817" s="52"/>
    </row>
    <row r="818" spans="1:45" x14ac:dyDescent="0.2">
      <c r="A818" s="29"/>
      <c r="B818" s="45"/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  <c r="AG818" s="45"/>
      <c r="AH818" s="45"/>
      <c r="AI818" s="45"/>
      <c r="AJ818" s="45"/>
      <c r="AK818" s="45"/>
      <c r="AL818" s="45"/>
      <c r="AM818" s="45"/>
      <c r="AN818" s="45"/>
      <c r="AO818" s="90"/>
      <c r="AP818" s="46"/>
      <c r="AQ818" s="52"/>
      <c r="AR818" s="52"/>
      <c r="AS818" s="52"/>
    </row>
    <row r="819" spans="1:45" x14ac:dyDescent="0.2">
      <c r="A819" s="29"/>
      <c r="B819" s="45"/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  <c r="AG819" s="45"/>
      <c r="AH819" s="45"/>
      <c r="AI819" s="45"/>
      <c r="AJ819" s="45"/>
      <c r="AK819" s="45"/>
      <c r="AL819" s="45"/>
      <c r="AM819" s="45"/>
      <c r="AN819" s="45"/>
      <c r="AO819" s="90"/>
      <c r="AP819" s="46"/>
      <c r="AQ819" s="52"/>
      <c r="AR819" s="52"/>
      <c r="AS819" s="52"/>
    </row>
    <row r="820" spans="1:45" x14ac:dyDescent="0.2">
      <c r="A820" s="29"/>
      <c r="B820" s="45"/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  <c r="AG820" s="45"/>
      <c r="AH820" s="45"/>
      <c r="AI820" s="45"/>
      <c r="AJ820" s="45"/>
      <c r="AK820" s="45"/>
      <c r="AL820" s="45"/>
      <c r="AM820" s="45"/>
      <c r="AN820" s="45"/>
      <c r="AO820" s="90"/>
      <c r="AP820" s="46"/>
      <c r="AQ820" s="52"/>
      <c r="AR820" s="52"/>
      <c r="AS820" s="52"/>
    </row>
    <row r="821" spans="1:45" x14ac:dyDescent="0.2">
      <c r="A821" s="29"/>
      <c r="B821" s="45"/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  <c r="AG821" s="45"/>
      <c r="AH821" s="45"/>
      <c r="AI821" s="45"/>
      <c r="AJ821" s="45"/>
      <c r="AK821" s="45"/>
      <c r="AL821" s="45"/>
      <c r="AM821" s="45"/>
      <c r="AN821" s="45"/>
      <c r="AO821" s="90"/>
      <c r="AP821" s="46"/>
      <c r="AQ821" s="52"/>
      <c r="AR821" s="52"/>
      <c r="AS821" s="52"/>
    </row>
    <row r="822" spans="1:45" x14ac:dyDescent="0.2">
      <c r="A822" s="29"/>
      <c r="B822" s="45"/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  <c r="AG822" s="45"/>
      <c r="AH822" s="45"/>
      <c r="AI822" s="45"/>
      <c r="AJ822" s="45"/>
      <c r="AK822" s="45"/>
      <c r="AL822" s="45"/>
      <c r="AM822" s="45"/>
      <c r="AN822" s="45"/>
      <c r="AO822" s="90"/>
      <c r="AP822" s="46"/>
      <c r="AQ822" s="52"/>
      <c r="AR822" s="52"/>
      <c r="AS822" s="52"/>
    </row>
    <row r="823" spans="1:45" x14ac:dyDescent="0.2">
      <c r="A823" s="29"/>
      <c r="B823" s="45"/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  <c r="AG823" s="45"/>
      <c r="AH823" s="45"/>
      <c r="AI823" s="45"/>
      <c r="AJ823" s="45"/>
      <c r="AK823" s="45"/>
      <c r="AL823" s="45"/>
      <c r="AM823" s="45"/>
      <c r="AN823" s="45"/>
      <c r="AO823" s="90"/>
      <c r="AP823" s="46"/>
      <c r="AQ823" s="52"/>
      <c r="AR823" s="52"/>
      <c r="AS823" s="52"/>
    </row>
    <row r="824" spans="1:45" x14ac:dyDescent="0.2">
      <c r="A824" s="29"/>
      <c r="B824" s="45"/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  <c r="AG824" s="45"/>
      <c r="AH824" s="45"/>
      <c r="AI824" s="45"/>
      <c r="AJ824" s="45"/>
      <c r="AK824" s="45"/>
      <c r="AL824" s="45"/>
      <c r="AM824" s="45"/>
      <c r="AN824" s="45"/>
      <c r="AO824" s="90"/>
      <c r="AP824" s="46"/>
      <c r="AQ824" s="52"/>
      <c r="AR824" s="52"/>
      <c r="AS824" s="52"/>
    </row>
    <row r="825" spans="1:45" x14ac:dyDescent="0.2">
      <c r="A825" s="29"/>
      <c r="B825" s="45"/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  <c r="AG825" s="45"/>
      <c r="AH825" s="45"/>
      <c r="AI825" s="45"/>
      <c r="AJ825" s="45"/>
      <c r="AK825" s="45"/>
      <c r="AL825" s="45"/>
      <c r="AM825" s="45"/>
      <c r="AN825" s="45"/>
      <c r="AO825" s="90"/>
      <c r="AP825" s="46"/>
      <c r="AQ825" s="52"/>
      <c r="AR825" s="52"/>
      <c r="AS825" s="52"/>
    </row>
    <row r="826" spans="1:45" x14ac:dyDescent="0.2">
      <c r="A826" s="29"/>
      <c r="B826" s="45"/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  <c r="AG826" s="45"/>
      <c r="AH826" s="45"/>
      <c r="AI826" s="45"/>
      <c r="AJ826" s="45"/>
      <c r="AK826" s="45"/>
      <c r="AL826" s="45"/>
      <c r="AM826" s="45"/>
      <c r="AN826" s="45"/>
      <c r="AO826" s="90"/>
      <c r="AP826" s="46"/>
      <c r="AQ826" s="52"/>
      <c r="AR826" s="52"/>
      <c r="AS826" s="52"/>
    </row>
    <row r="827" spans="1:45" x14ac:dyDescent="0.2">
      <c r="A827" s="29"/>
      <c r="B827" s="45"/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  <c r="AG827" s="45"/>
      <c r="AH827" s="45"/>
      <c r="AI827" s="45"/>
      <c r="AJ827" s="45"/>
      <c r="AK827" s="45"/>
      <c r="AL827" s="45"/>
      <c r="AM827" s="45"/>
      <c r="AN827" s="45"/>
      <c r="AO827" s="90"/>
      <c r="AP827" s="46"/>
      <c r="AQ827" s="52"/>
      <c r="AR827" s="52"/>
      <c r="AS827" s="52"/>
    </row>
    <row r="828" spans="1:45" x14ac:dyDescent="0.2">
      <c r="A828" s="29"/>
      <c r="B828" s="45"/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  <c r="AG828" s="45"/>
      <c r="AH828" s="45"/>
      <c r="AI828" s="45"/>
      <c r="AJ828" s="45"/>
      <c r="AK828" s="45"/>
      <c r="AL828" s="45"/>
      <c r="AM828" s="45"/>
      <c r="AN828" s="45"/>
      <c r="AO828" s="90"/>
      <c r="AP828" s="46"/>
      <c r="AQ828" s="52"/>
      <c r="AR828" s="52"/>
      <c r="AS828" s="52"/>
    </row>
    <row r="829" spans="1:45" x14ac:dyDescent="0.2">
      <c r="A829" s="29"/>
      <c r="B829" s="45"/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  <c r="AG829" s="45"/>
      <c r="AH829" s="45"/>
      <c r="AI829" s="45"/>
      <c r="AJ829" s="45"/>
      <c r="AK829" s="45"/>
      <c r="AL829" s="45"/>
      <c r="AM829" s="45"/>
      <c r="AN829" s="45"/>
      <c r="AO829" s="90"/>
      <c r="AP829" s="46"/>
      <c r="AQ829" s="52"/>
      <c r="AR829" s="52"/>
      <c r="AS829" s="52"/>
    </row>
    <row r="830" spans="1:45" x14ac:dyDescent="0.2">
      <c r="A830" s="29"/>
      <c r="B830" s="45"/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  <c r="AG830" s="45"/>
      <c r="AH830" s="45"/>
      <c r="AI830" s="45"/>
      <c r="AJ830" s="45"/>
      <c r="AK830" s="45"/>
      <c r="AL830" s="45"/>
      <c r="AM830" s="45"/>
      <c r="AN830" s="45"/>
      <c r="AO830" s="90"/>
      <c r="AP830" s="46"/>
      <c r="AQ830" s="52"/>
      <c r="AR830" s="52"/>
      <c r="AS830" s="52"/>
    </row>
    <row r="831" spans="1:45" x14ac:dyDescent="0.2">
      <c r="A831" s="29"/>
      <c r="B831" s="45"/>
      <c r="C831" s="45"/>
      <c r="D831" s="45"/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  <c r="AG831" s="45"/>
      <c r="AH831" s="45"/>
      <c r="AI831" s="45"/>
      <c r="AJ831" s="45"/>
      <c r="AK831" s="45"/>
      <c r="AL831" s="45"/>
      <c r="AM831" s="45"/>
      <c r="AN831" s="45"/>
      <c r="AO831" s="90"/>
      <c r="AP831" s="46"/>
      <c r="AQ831" s="52"/>
      <c r="AR831" s="52"/>
      <c r="AS831" s="52"/>
    </row>
    <row r="832" spans="1:45" x14ac:dyDescent="0.2">
      <c r="A832" s="29"/>
      <c r="B832" s="45"/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  <c r="AG832" s="45"/>
      <c r="AH832" s="45"/>
      <c r="AI832" s="45"/>
      <c r="AJ832" s="45"/>
      <c r="AK832" s="45"/>
      <c r="AL832" s="45"/>
      <c r="AM832" s="45"/>
      <c r="AN832" s="45"/>
      <c r="AO832" s="90"/>
      <c r="AP832" s="46"/>
      <c r="AQ832" s="52"/>
      <c r="AR832" s="52"/>
      <c r="AS832" s="52"/>
    </row>
    <row r="833" spans="1:45" x14ac:dyDescent="0.2">
      <c r="A833" s="29"/>
      <c r="B833" s="45"/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  <c r="AG833" s="45"/>
      <c r="AH833" s="45"/>
      <c r="AI833" s="45"/>
      <c r="AJ833" s="45"/>
      <c r="AK833" s="45"/>
      <c r="AL833" s="45"/>
      <c r="AM833" s="45"/>
      <c r="AN833" s="45"/>
      <c r="AO833" s="90"/>
      <c r="AP833" s="46"/>
      <c r="AQ833" s="52"/>
      <c r="AR833" s="52"/>
      <c r="AS833" s="52"/>
    </row>
    <row r="834" spans="1:45" x14ac:dyDescent="0.2">
      <c r="A834" s="29"/>
      <c r="B834" s="45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  <c r="AG834" s="45"/>
      <c r="AH834" s="45"/>
      <c r="AI834" s="45"/>
      <c r="AJ834" s="45"/>
      <c r="AK834" s="45"/>
      <c r="AL834" s="45"/>
      <c r="AM834" s="45"/>
      <c r="AN834" s="45"/>
      <c r="AO834" s="90"/>
      <c r="AP834" s="46"/>
      <c r="AQ834" s="52"/>
      <c r="AR834" s="52"/>
      <c r="AS834" s="52"/>
    </row>
    <row r="835" spans="1:45" x14ac:dyDescent="0.2">
      <c r="A835" s="29"/>
      <c r="B835" s="45"/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  <c r="AG835" s="45"/>
      <c r="AH835" s="45"/>
      <c r="AI835" s="45"/>
      <c r="AJ835" s="45"/>
      <c r="AK835" s="45"/>
      <c r="AL835" s="45"/>
      <c r="AM835" s="45"/>
      <c r="AN835" s="45"/>
      <c r="AO835" s="90"/>
      <c r="AP835" s="46"/>
      <c r="AQ835" s="52"/>
      <c r="AR835" s="52"/>
      <c r="AS835" s="52"/>
    </row>
    <row r="836" spans="1:45" x14ac:dyDescent="0.2">
      <c r="A836" s="29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  <c r="AG836" s="45"/>
      <c r="AH836" s="45"/>
      <c r="AI836" s="45"/>
      <c r="AJ836" s="45"/>
      <c r="AK836" s="45"/>
      <c r="AL836" s="45"/>
      <c r="AM836" s="45"/>
      <c r="AN836" s="45"/>
      <c r="AO836" s="90"/>
      <c r="AP836" s="46"/>
      <c r="AQ836" s="52"/>
      <c r="AR836" s="52"/>
      <c r="AS836" s="52"/>
    </row>
    <row r="837" spans="1:45" x14ac:dyDescent="0.2">
      <c r="A837" s="29"/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  <c r="AG837" s="45"/>
      <c r="AH837" s="45"/>
      <c r="AI837" s="45"/>
      <c r="AJ837" s="45"/>
      <c r="AK837" s="45"/>
      <c r="AL837" s="45"/>
      <c r="AM837" s="45"/>
      <c r="AN837" s="45"/>
      <c r="AO837" s="90"/>
      <c r="AP837" s="46"/>
      <c r="AQ837" s="52"/>
      <c r="AR837" s="52"/>
      <c r="AS837" s="52"/>
    </row>
    <row r="838" spans="1:45" x14ac:dyDescent="0.2">
      <c r="A838" s="29"/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  <c r="AG838" s="45"/>
      <c r="AH838" s="45"/>
      <c r="AI838" s="45"/>
      <c r="AJ838" s="45"/>
      <c r="AK838" s="45"/>
      <c r="AL838" s="45"/>
      <c r="AM838" s="45"/>
      <c r="AN838" s="45"/>
      <c r="AO838" s="90"/>
      <c r="AP838" s="46"/>
      <c r="AQ838" s="52"/>
      <c r="AR838" s="52"/>
      <c r="AS838" s="52"/>
    </row>
    <row r="839" spans="1:45" x14ac:dyDescent="0.2">
      <c r="A839" s="29"/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  <c r="AG839" s="45"/>
      <c r="AH839" s="45"/>
      <c r="AI839" s="45"/>
      <c r="AJ839" s="45"/>
      <c r="AK839" s="45"/>
      <c r="AL839" s="45"/>
      <c r="AM839" s="45"/>
      <c r="AN839" s="45"/>
      <c r="AO839" s="90"/>
      <c r="AP839" s="46"/>
      <c r="AQ839" s="52"/>
      <c r="AR839" s="52"/>
      <c r="AS839" s="52"/>
    </row>
    <row r="840" spans="1:45" x14ac:dyDescent="0.2">
      <c r="A840" s="29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  <c r="AG840" s="45"/>
      <c r="AH840" s="45"/>
      <c r="AI840" s="45"/>
      <c r="AJ840" s="45"/>
      <c r="AK840" s="45"/>
      <c r="AL840" s="45"/>
      <c r="AM840" s="45"/>
      <c r="AN840" s="45"/>
      <c r="AO840" s="90"/>
      <c r="AP840" s="46"/>
      <c r="AQ840" s="52"/>
      <c r="AR840" s="52"/>
      <c r="AS840" s="52"/>
    </row>
    <row r="841" spans="1:45" x14ac:dyDescent="0.2">
      <c r="A841" s="29"/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  <c r="AG841" s="45"/>
      <c r="AH841" s="45"/>
      <c r="AI841" s="45"/>
      <c r="AJ841" s="45"/>
      <c r="AK841" s="45"/>
      <c r="AL841" s="45"/>
      <c r="AM841" s="45"/>
      <c r="AN841" s="45"/>
      <c r="AO841" s="90"/>
      <c r="AP841" s="46"/>
      <c r="AQ841" s="52"/>
      <c r="AR841" s="52"/>
      <c r="AS841" s="52"/>
    </row>
    <row r="842" spans="1:45" x14ac:dyDescent="0.2">
      <c r="A842" s="29"/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  <c r="AG842" s="45"/>
      <c r="AH842" s="45"/>
      <c r="AI842" s="45"/>
      <c r="AJ842" s="45"/>
      <c r="AK842" s="45"/>
      <c r="AL842" s="45"/>
      <c r="AM842" s="45"/>
      <c r="AN842" s="45"/>
      <c r="AO842" s="90"/>
      <c r="AP842" s="46"/>
      <c r="AQ842" s="52"/>
      <c r="AR842" s="52"/>
      <c r="AS842" s="52"/>
    </row>
    <row r="843" spans="1:45" x14ac:dyDescent="0.2">
      <c r="A843" s="29"/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  <c r="AG843" s="45"/>
      <c r="AH843" s="45"/>
      <c r="AI843" s="45"/>
      <c r="AJ843" s="45"/>
      <c r="AK843" s="45"/>
      <c r="AL843" s="45"/>
      <c r="AM843" s="45"/>
      <c r="AN843" s="45"/>
      <c r="AO843" s="90"/>
      <c r="AP843" s="46"/>
      <c r="AQ843" s="52"/>
      <c r="AR843" s="52"/>
      <c r="AS843" s="52"/>
    </row>
    <row r="844" spans="1:45" x14ac:dyDescent="0.2">
      <c r="A844" s="29"/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  <c r="AG844" s="45"/>
      <c r="AH844" s="45"/>
      <c r="AI844" s="45"/>
      <c r="AJ844" s="45"/>
      <c r="AK844" s="45"/>
      <c r="AL844" s="45"/>
      <c r="AM844" s="45"/>
      <c r="AN844" s="45"/>
      <c r="AO844" s="90"/>
      <c r="AP844" s="46"/>
      <c r="AQ844" s="52"/>
      <c r="AR844" s="52"/>
      <c r="AS844" s="52"/>
    </row>
    <row r="845" spans="1:45" x14ac:dyDescent="0.2">
      <c r="A845" s="29"/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  <c r="AG845" s="45"/>
      <c r="AH845" s="45"/>
      <c r="AI845" s="45"/>
      <c r="AJ845" s="45"/>
      <c r="AK845" s="45"/>
      <c r="AL845" s="45"/>
      <c r="AM845" s="45"/>
      <c r="AN845" s="45"/>
      <c r="AO845" s="90"/>
      <c r="AP845" s="46"/>
      <c r="AQ845" s="52"/>
      <c r="AR845" s="52"/>
      <c r="AS845" s="52"/>
    </row>
    <row r="846" spans="1:45" x14ac:dyDescent="0.2">
      <c r="A846" s="29"/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  <c r="AG846" s="45"/>
      <c r="AH846" s="45"/>
      <c r="AI846" s="45"/>
      <c r="AJ846" s="45"/>
      <c r="AK846" s="45"/>
      <c r="AL846" s="45"/>
      <c r="AM846" s="45"/>
      <c r="AN846" s="45"/>
      <c r="AO846" s="90"/>
      <c r="AP846" s="46"/>
      <c r="AQ846" s="52"/>
      <c r="AR846" s="52"/>
      <c r="AS846" s="52"/>
    </row>
    <row r="847" spans="1:45" x14ac:dyDescent="0.2">
      <c r="A847" s="29"/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  <c r="AG847" s="45"/>
      <c r="AH847" s="45"/>
      <c r="AI847" s="45"/>
      <c r="AJ847" s="45"/>
      <c r="AK847" s="45"/>
      <c r="AL847" s="45"/>
      <c r="AM847" s="45"/>
      <c r="AN847" s="45"/>
      <c r="AO847" s="90"/>
      <c r="AP847" s="46"/>
      <c r="AQ847" s="52"/>
      <c r="AR847" s="52"/>
      <c r="AS847" s="52"/>
    </row>
    <row r="848" spans="1:45" x14ac:dyDescent="0.2">
      <c r="A848" s="29"/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  <c r="AG848" s="45"/>
      <c r="AH848" s="45"/>
      <c r="AI848" s="45"/>
      <c r="AJ848" s="45"/>
      <c r="AK848" s="45"/>
      <c r="AL848" s="45"/>
      <c r="AM848" s="45"/>
      <c r="AN848" s="45"/>
      <c r="AO848" s="90"/>
      <c r="AP848" s="46"/>
      <c r="AQ848" s="52"/>
      <c r="AR848" s="52"/>
      <c r="AS848" s="52"/>
    </row>
    <row r="849" spans="1:45" x14ac:dyDescent="0.2">
      <c r="A849" s="29"/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  <c r="AG849" s="45"/>
      <c r="AH849" s="45"/>
      <c r="AI849" s="45"/>
      <c r="AJ849" s="45"/>
      <c r="AK849" s="45"/>
      <c r="AL849" s="45"/>
      <c r="AM849" s="45"/>
      <c r="AN849" s="45"/>
      <c r="AO849" s="90"/>
      <c r="AP849" s="46"/>
      <c r="AQ849" s="52"/>
      <c r="AR849" s="52"/>
      <c r="AS849" s="52"/>
    </row>
    <row r="850" spans="1:45" x14ac:dyDescent="0.2">
      <c r="A850" s="29"/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  <c r="AG850" s="45"/>
      <c r="AH850" s="45"/>
      <c r="AI850" s="45"/>
      <c r="AJ850" s="45"/>
      <c r="AK850" s="45"/>
      <c r="AL850" s="45"/>
      <c r="AM850" s="45"/>
      <c r="AN850" s="45"/>
      <c r="AO850" s="90"/>
      <c r="AP850" s="46"/>
      <c r="AQ850" s="52"/>
      <c r="AR850" s="52"/>
      <c r="AS850" s="52"/>
    </row>
    <row r="851" spans="1:45" x14ac:dyDescent="0.2">
      <c r="A851" s="29"/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  <c r="AG851" s="45"/>
      <c r="AH851" s="45"/>
      <c r="AI851" s="45"/>
      <c r="AJ851" s="45"/>
      <c r="AK851" s="45"/>
      <c r="AL851" s="45"/>
      <c r="AM851" s="45"/>
      <c r="AN851" s="45"/>
      <c r="AO851" s="90"/>
      <c r="AP851" s="46"/>
      <c r="AQ851" s="52"/>
      <c r="AR851" s="52"/>
      <c r="AS851" s="52"/>
    </row>
    <row r="852" spans="1:45" x14ac:dyDescent="0.2">
      <c r="A852" s="29"/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  <c r="AG852" s="45"/>
      <c r="AH852" s="45"/>
      <c r="AI852" s="45"/>
      <c r="AJ852" s="45"/>
      <c r="AK852" s="45"/>
      <c r="AL852" s="45"/>
      <c r="AM852" s="45"/>
      <c r="AN852" s="45"/>
      <c r="AO852" s="90"/>
      <c r="AP852" s="46"/>
      <c r="AQ852" s="52"/>
      <c r="AR852" s="52"/>
      <c r="AS852" s="52"/>
    </row>
    <row r="853" spans="1:45" x14ac:dyDescent="0.2">
      <c r="A853" s="29"/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  <c r="AG853" s="45"/>
      <c r="AH853" s="45"/>
      <c r="AI853" s="45"/>
      <c r="AJ853" s="45"/>
      <c r="AK853" s="45"/>
      <c r="AL853" s="45"/>
      <c r="AM853" s="45"/>
      <c r="AN853" s="45"/>
      <c r="AO853" s="90"/>
      <c r="AP853" s="46"/>
      <c r="AQ853" s="52"/>
      <c r="AR853" s="52"/>
      <c r="AS853" s="52"/>
    </row>
    <row r="854" spans="1:45" x14ac:dyDescent="0.2">
      <c r="A854" s="29"/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  <c r="AG854" s="45"/>
      <c r="AH854" s="45"/>
      <c r="AI854" s="45"/>
      <c r="AJ854" s="45"/>
      <c r="AK854" s="45"/>
      <c r="AL854" s="45"/>
      <c r="AM854" s="45"/>
      <c r="AN854" s="45"/>
      <c r="AO854" s="90"/>
      <c r="AP854" s="46"/>
      <c r="AQ854" s="52"/>
      <c r="AR854" s="52"/>
      <c r="AS854" s="52"/>
    </row>
    <row r="855" spans="1:45" x14ac:dyDescent="0.2">
      <c r="A855" s="29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  <c r="AG855" s="45"/>
      <c r="AH855" s="45"/>
      <c r="AI855" s="45"/>
      <c r="AJ855" s="45"/>
      <c r="AK855" s="45"/>
      <c r="AL855" s="45"/>
      <c r="AM855" s="45"/>
      <c r="AN855" s="45"/>
      <c r="AO855" s="90"/>
      <c r="AP855" s="46"/>
      <c r="AQ855" s="52"/>
      <c r="AR855" s="52"/>
      <c r="AS855" s="52"/>
    </row>
    <row r="856" spans="1:45" x14ac:dyDescent="0.2">
      <c r="A856" s="29"/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  <c r="AG856" s="45"/>
      <c r="AH856" s="45"/>
      <c r="AI856" s="45"/>
      <c r="AJ856" s="45"/>
      <c r="AK856" s="45"/>
      <c r="AL856" s="45"/>
      <c r="AM856" s="45"/>
      <c r="AN856" s="45"/>
      <c r="AO856" s="90"/>
      <c r="AP856" s="46"/>
      <c r="AQ856" s="52"/>
      <c r="AR856" s="52"/>
      <c r="AS856" s="52"/>
    </row>
    <row r="857" spans="1:45" x14ac:dyDescent="0.2">
      <c r="A857" s="29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  <c r="AG857" s="45"/>
      <c r="AH857" s="45"/>
      <c r="AI857" s="45"/>
      <c r="AJ857" s="45"/>
      <c r="AK857" s="45"/>
      <c r="AL857" s="45"/>
      <c r="AM857" s="45"/>
      <c r="AN857" s="45"/>
      <c r="AO857" s="90"/>
      <c r="AP857" s="46"/>
      <c r="AQ857" s="52"/>
      <c r="AR857" s="52"/>
      <c r="AS857" s="52"/>
    </row>
    <row r="858" spans="1:45" x14ac:dyDescent="0.2">
      <c r="A858" s="29"/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  <c r="AG858" s="45"/>
      <c r="AH858" s="45"/>
      <c r="AI858" s="45"/>
      <c r="AJ858" s="45"/>
      <c r="AK858" s="45"/>
      <c r="AL858" s="45"/>
      <c r="AM858" s="45"/>
      <c r="AN858" s="45"/>
      <c r="AO858" s="90"/>
      <c r="AP858" s="46"/>
      <c r="AQ858" s="52"/>
      <c r="AR858" s="52"/>
      <c r="AS858" s="52"/>
    </row>
    <row r="859" spans="1:45" x14ac:dyDescent="0.2">
      <c r="A859" s="29"/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  <c r="AG859" s="45"/>
      <c r="AH859" s="45"/>
      <c r="AI859" s="45"/>
      <c r="AJ859" s="45"/>
      <c r="AK859" s="45"/>
      <c r="AL859" s="45"/>
      <c r="AM859" s="45"/>
      <c r="AN859" s="45"/>
      <c r="AO859" s="90"/>
      <c r="AP859" s="46"/>
      <c r="AQ859" s="52"/>
      <c r="AR859" s="52"/>
      <c r="AS859" s="52"/>
    </row>
    <row r="860" spans="1:45" x14ac:dyDescent="0.2">
      <c r="A860" s="29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  <c r="AG860" s="45"/>
      <c r="AH860" s="45"/>
      <c r="AI860" s="45"/>
      <c r="AJ860" s="45"/>
      <c r="AK860" s="45"/>
      <c r="AL860" s="45"/>
      <c r="AM860" s="45"/>
      <c r="AN860" s="45"/>
      <c r="AO860" s="90"/>
      <c r="AP860" s="46"/>
      <c r="AQ860" s="52"/>
      <c r="AR860" s="52"/>
      <c r="AS860" s="52"/>
    </row>
    <row r="861" spans="1:45" x14ac:dyDescent="0.2">
      <c r="A861" s="29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  <c r="AG861" s="45"/>
      <c r="AH861" s="45"/>
      <c r="AI861" s="45"/>
      <c r="AJ861" s="45"/>
      <c r="AK861" s="45"/>
      <c r="AL861" s="45"/>
      <c r="AM861" s="45"/>
      <c r="AN861" s="45"/>
      <c r="AO861" s="90"/>
      <c r="AP861" s="46"/>
      <c r="AQ861" s="52"/>
      <c r="AR861" s="52"/>
      <c r="AS861" s="52"/>
    </row>
    <row r="862" spans="1:45" x14ac:dyDescent="0.2">
      <c r="A862" s="29"/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  <c r="AG862" s="45"/>
      <c r="AH862" s="45"/>
      <c r="AI862" s="45"/>
      <c r="AJ862" s="45"/>
      <c r="AK862" s="45"/>
      <c r="AL862" s="45"/>
      <c r="AM862" s="45"/>
      <c r="AN862" s="45"/>
      <c r="AO862" s="90"/>
      <c r="AP862" s="46"/>
      <c r="AQ862" s="52"/>
      <c r="AR862" s="52"/>
      <c r="AS862" s="52"/>
    </row>
    <row r="863" spans="1:45" x14ac:dyDescent="0.2">
      <c r="A863" s="29"/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  <c r="AG863" s="45"/>
      <c r="AH863" s="45"/>
      <c r="AI863" s="45"/>
      <c r="AJ863" s="45"/>
      <c r="AK863" s="45"/>
      <c r="AL863" s="45"/>
      <c r="AM863" s="45"/>
      <c r="AN863" s="45"/>
      <c r="AO863" s="90"/>
      <c r="AP863" s="46"/>
      <c r="AQ863" s="52"/>
      <c r="AR863" s="52"/>
      <c r="AS863" s="52"/>
    </row>
    <row r="864" spans="1:45" x14ac:dyDescent="0.2">
      <c r="A864" s="29"/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  <c r="AG864" s="45"/>
      <c r="AH864" s="45"/>
      <c r="AI864" s="45"/>
      <c r="AJ864" s="45"/>
      <c r="AK864" s="45"/>
      <c r="AL864" s="45"/>
      <c r="AM864" s="45"/>
      <c r="AN864" s="45"/>
      <c r="AO864" s="90"/>
      <c r="AP864" s="46"/>
      <c r="AQ864" s="52"/>
      <c r="AR864" s="52"/>
      <c r="AS864" s="52"/>
    </row>
    <row r="865" spans="1:45" x14ac:dyDescent="0.2">
      <c r="A865" s="29"/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  <c r="AG865" s="45"/>
      <c r="AH865" s="45"/>
      <c r="AI865" s="45"/>
      <c r="AJ865" s="45"/>
      <c r="AK865" s="45"/>
      <c r="AL865" s="45"/>
      <c r="AM865" s="45"/>
      <c r="AN865" s="45"/>
      <c r="AO865" s="90"/>
      <c r="AP865" s="46"/>
      <c r="AQ865" s="52"/>
      <c r="AR865" s="52"/>
      <c r="AS865" s="52"/>
    </row>
    <row r="866" spans="1:45" x14ac:dyDescent="0.2">
      <c r="A866" s="29"/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  <c r="AG866" s="45"/>
      <c r="AH866" s="45"/>
      <c r="AI866" s="45"/>
      <c r="AJ866" s="45"/>
      <c r="AK866" s="45"/>
      <c r="AL866" s="45"/>
      <c r="AM866" s="45"/>
      <c r="AN866" s="45"/>
      <c r="AO866" s="90"/>
      <c r="AP866" s="46"/>
      <c r="AQ866" s="52"/>
      <c r="AR866" s="52"/>
      <c r="AS866" s="52"/>
    </row>
    <row r="867" spans="1:45" x14ac:dyDescent="0.2">
      <c r="A867" s="29"/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  <c r="AG867" s="45"/>
      <c r="AH867" s="45"/>
      <c r="AI867" s="45"/>
      <c r="AJ867" s="45"/>
      <c r="AK867" s="45"/>
      <c r="AL867" s="45"/>
      <c r="AM867" s="45"/>
      <c r="AN867" s="45"/>
      <c r="AO867" s="90"/>
      <c r="AP867" s="46"/>
      <c r="AQ867" s="52"/>
      <c r="AR867" s="52"/>
      <c r="AS867" s="52"/>
    </row>
    <row r="868" spans="1:45" x14ac:dyDescent="0.2">
      <c r="A868" s="29"/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  <c r="AG868" s="45"/>
      <c r="AH868" s="45"/>
      <c r="AI868" s="45"/>
      <c r="AJ868" s="45"/>
      <c r="AK868" s="45"/>
      <c r="AL868" s="45"/>
      <c r="AM868" s="45"/>
      <c r="AN868" s="45"/>
      <c r="AO868" s="90"/>
      <c r="AP868" s="46"/>
      <c r="AQ868" s="52"/>
      <c r="AR868" s="52"/>
      <c r="AS868" s="52"/>
    </row>
    <row r="869" spans="1:45" x14ac:dyDescent="0.2">
      <c r="A869" s="29"/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  <c r="AG869" s="45"/>
      <c r="AH869" s="45"/>
      <c r="AI869" s="45"/>
      <c r="AJ869" s="45"/>
      <c r="AK869" s="45"/>
      <c r="AL869" s="45"/>
      <c r="AM869" s="45"/>
      <c r="AN869" s="45"/>
      <c r="AO869" s="90"/>
      <c r="AP869" s="46"/>
      <c r="AQ869" s="52"/>
      <c r="AR869" s="52"/>
      <c r="AS869" s="52"/>
    </row>
    <row r="870" spans="1:45" x14ac:dyDescent="0.2">
      <c r="A870" s="29"/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  <c r="AG870" s="45"/>
      <c r="AH870" s="45"/>
      <c r="AI870" s="45"/>
      <c r="AJ870" s="45"/>
      <c r="AK870" s="45"/>
      <c r="AL870" s="45"/>
      <c r="AM870" s="45"/>
      <c r="AN870" s="45"/>
      <c r="AO870" s="90"/>
      <c r="AP870" s="46"/>
      <c r="AQ870" s="52"/>
      <c r="AR870" s="52"/>
      <c r="AS870" s="52"/>
    </row>
    <row r="871" spans="1:45" x14ac:dyDescent="0.2">
      <c r="A871" s="29"/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  <c r="AG871" s="45"/>
      <c r="AH871" s="45"/>
      <c r="AI871" s="45"/>
      <c r="AJ871" s="45"/>
      <c r="AK871" s="45"/>
      <c r="AL871" s="45"/>
      <c r="AM871" s="45"/>
      <c r="AN871" s="45"/>
      <c r="AO871" s="90"/>
      <c r="AP871" s="46"/>
      <c r="AQ871" s="52"/>
      <c r="AR871" s="52"/>
      <c r="AS871" s="52"/>
    </row>
    <row r="872" spans="1:45" x14ac:dyDescent="0.2">
      <c r="A872" s="29"/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  <c r="AG872" s="45"/>
      <c r="AH872" s="45"/>
      <c r="AI872" s="45"/>
      <c r="AJ872" s="45"/>
      <c r="AK872" s="45"/>
      <c r="AL872" s="45"/>
      <c r="AM872" s="45"/>
      <c r="AN872" s="45"/>
      <c r="AO872" s="90"/>
      <c r="AP872" s="46"/>
      <c r="AQ872" s="52"/>
      <c r="AR872" s="52"/>
      <c r="AS872" s="52"/>
    </row>
    <row r="873" spans="1:45" x14ac:dyDescent="0.2">
      <c r="A873" s="29"/>
      <c r="B873" s="45"/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  <c r="AG873" s="45"/>
      <c r="AH873" s="45"/>
      <c r="AI873" s="45"/>
      <c r="AJ873" s="45"/>
      <c r="AK873" s="45"/>
      <c r="AL873" s="45"/>
      <c r="AM873" s="45"/>
      <c r="AN873" s="45"/>
      <c r="AO873" s="90"/>
      <c r="AP873" s="46"/>
      <c r="AQ873" s="52"/>
      <c r="AR873" s="52"/>
      <c r="AS873" s="52"/>
    </row>
    <row r="874" spans="1:45" x14ac:dyDescent="0.2">
      <c r="A874" s="29"/>
      <c r="B874" s="45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  <c r="AG874" s="45"/>
      <c r="AH874" s="45"/>
      <c r="AI874" s="45"/>
      <c r="AJ874" s="45"/>
      <c r="AK874" s="45"/>
      <c r="AL874" s="45"/>
      <c r="AM874" s="45"/>
      <c r="AN874" s="45"/>
      <c r="AO874" s="90"/>
      <c r="AP874" s="46"/>
      <c r="AQ874" s="52"/>
      <c r="AR874" s="52"/>
      <c r="AS874" s="52"/>
    </row>
    <row r="875" spans="1:45" x14ac:dyDescent="0.2">
      <c r="A875" s="29"/>
      <c r="B875" s="45"/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  <c r="AG875" s="45"/>
      <c r="AH875" s="45"/>
      <c r="AI875" s="45"/>
      <c r="AJ875" s="45"/>
      <c r="AK875" s="45"/>
      <c r="AL875" s="45"/>
      <c r="AM875" s="45"/>
      <c r="AN875" s="45"/>
      <c r="AO875" s="90"/>
      <c r="AP875" s="46"/>
      <c r="AQ875" s="52"/>
      <c r="AR875" s="52"/>
      <c r="AS875" s="52"/>
    </row>
    <row r="876" spans="1:45" x14ac:dyDescent="0.2">
      <c r="A876" s="29"/>
      <c r="B876" s="45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  <c r="AG876" s="45"/>
      <c r="AH876" s="45"/>
      <c r="AI876" s="45"/>
      <c r="AJ876" s="45"/>
      <c r="AK876" s="45"/>
      <c r="AL876" s="45"/>
      <c r="AM876" s="45"/>
      <c r="AN876" s="45"/>
      <c r="AO876" s="90"/>
      <c r="AP876" s="46"/>
      <c r="AQ876" s="52"/>
      <c r="AR876" s="52"/>
      <c r="AS876" s="52"/>
    </row>
    <row r="877" spans="1:45" x14ac:dyDescent="0.2">
      <c r="A877" s="29"/>
      <c r="B877" s="45"/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  <c r="AG877" s="45"/>
      <c r="AH877" s="45"/>
      <c r="AI877" s="45"/>
      <c r="AJ877" s="45"/>
      <c r="AK877" s="45"/>
      <c r="AL877" s="45"/>
      <c r="AM877" s="45"/>
      <c r="AN877" s="45"/>
      <c r="AO877" s="90"/>
      <c r="AP877" s="46"/>
      <c r="AQ877" s="52"/>
      <c r="AR877" s="52"/>
      <c r="AS877" s="52"/>
    </row>
    <row r="878" spans="1:45" x14ac:dyDescent="0.2">
      <c r="A878" s="29"/>
      <c r="B878" s="45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  <c r="AG878" s="45"/>
      <c r="AH878" s="45"/>
      <c r="AI878" s="45"/>
      <c r="AJ878" s="45"/>
      <c r="AK878" s="45"/>
      <c r="AL878" s="45"/>
      <c r="AM878" s="45"/>
      <c r="AN878" s="45"/>
      <c r="AO878" s="90"/>
      <c r="AP878" s="46"/>
      <c r="AQ878" s="52"/>
      <c r="AR878" s="52"/>
      <c r="AS878" s="52"/>
    </row>
    <row r="879" spans="1:45" x14ac:dyDescent="0.2">
      <c r="A879" s="29"/>
      <c r="B879" s="45"/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  <c r="AG879" s="45"/>
      <c r="AH879" s="45"/>
      <c r="AI879" s="45"/>
      <c r="AJ879" s="45"/>
      <c r="AK879" s="45"/>
      <c r="AL879" s="45"/>
      <c r="AM879" s="45"/>
      <c r="AN879" s="45"/>
      <c r="AO879" s="90"/>
      <c r="AP879" s="46"/>
      <c r="AQ879" s="52"/>
      <c r="AR879" s="52"/>
      <c r="AS879" s="52"/>
    </row>
    <row r="880" spans="1:45" x14ac:dyDescent="0.2">
      <c r="A880" s="29"/>
      <c r="B880" s="45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  <c r="AG880" s="45"/>
      <c r="AH880" s="45"/>
      <c r="AI880" s="45"/>
      <c r="AJ880" s="45"/>
      <c r="AK880" s="45"/>
      <c r="AL880" s="45"/>
      <c r="AM880" s="45"/>
      <c r="AN880" s="45"/>
      <c r="AO880" s="90"/>
      <c r="AP880" s="46"/>
      <c r="AQ880" s="52"/>
      <c r="AR880" s="52"/>
      <c r="AS880" s="52"/>
    </row>
    <row r="881" spans="1:45" x14ac:dyDescent="0.2">
      <c r="A881" s="29"/>
      <c r="B881" s="45"/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  <c r="AG881" s="45"/>
      <c r="AH881" s="45"/>
      <c r="AI881" s="45"/>
      <c r="AJ881" s="45"/>
      <c r="AK881" s="45"/>
      <c r="AL881" s="45"/>
      <c r="AM881" s="45"/>
      <c r="AN881" s="45"/>
      <c r="AO881" s="90"/>
      <c r="AP881" s="46"/>
      <c r="AQ881" s="52"/>
      <c r="AR881" s="52"/>
      <c r="AS881" s="52"/>
    </row>
    <row r="882" spans="1:45" x14ac:dyDescent="0.2">
      <c r="A882" s="29"/>
      <c r="B882" s="45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  <c r="AG882" s="45"/>
      <c r="AH882" s="45"/>
      <c r="AI882" s="45"/>
      <c r="AJ882" s="45"/>
      <c r="AK882" s="45"/>
      <c r="AL882" s="45"/>
      <c r="AM882" s="45"/>
      <c r="AN882" s="45"/>
      <c r="AO882" s="90"/>
      <c r="AP882" s="46"/>
      <c r="AQ882" s="52"/>
      <c r="AR882" s="52"/>
      <c r="AS882" s="52"/>
    </row>
    <row r="883" spans="1:45" x14ac:dyDescent="0.2">
      <c r="A883" s="29"/>
      <c r="B883" s="45"/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  <c r="AG883" s="45"/>
      <c r="AH883" s="45"/>
      <c r="AI883" s="45"/>
      <c r="AJ883" s="45"/>
      <c r="AK883" s="45"/>
      <c r="AL883" s="45"/>
      <c r="AM883" s="45"/>
      <c r="AN883" s="45"/>
      <c r="AO883" s="90"/>
      <c r="AP883" s="46"/>
      <c r="AQ883" s="52"/>
      <c r="AR883" s="52"/>
      <c r="AS883" s="52"/>
    </row>
    <row r="884" spans="1:45" x14ac:dyDescent="0.2">
      <c r="A884" s="29"/>
      <c r="B884" s="45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  <c r="AG884" s="45"/>
      <c r="AH884" s="45"/>
      <c r="AI884" s="45"/>
      <c r="AJ884" s="45"/>
      <c r="AK884" s="45"/>
      <c r="AL884" s="45"/>
      <c r="AM884" s="45"/>
      <c r="AN884" s="45"/>
      <c r="AO884" s="90"/>
      <c r="AP884" s="46"/>
      <c r="AQ884" s="52"/>
      <c r="AR884" s="52"/>
      <c r="AS884" s="52"/>
    </row>
    <row r="885" spans="1:45" x14ac:dyDescent="0.2">
      <c r="A885" s="29"/>
      <c r="B885" s="45"/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  <c r="AG885" s="45"/>
      <c r="AH885" s="45"/>
      <c r="AI885" s="45"/>
      <c r="AJ885" s="45"/>
      <c r="AK885" s="45"/>
      <c r="AL885" s="45"/>
      <c r="AM885" s="45"/>
      <c r="AN885" s="45"/>
      <c r="AO885" s="90"/>
      <c r="AP885" s="46"/>
      <c r="AQ885" s="52"/>
      <c r="AR885" s="52"/>
      <c r="AS885" s="52"/>
    </row>
    <row r="886" spans="1:45" x14ac:dyDescent="0.2">
      <c r="A886" s="29"/>
      <c r="B886" s="45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  <c r="AG886" s="45"/>
      <c r="AH886" s="45"/>
      <c r="AI886" s="45"/>
      <c r="AJ886" s="45"/>
      <c r="AK886" s="45"/>
      <c r="AL886" s="45"/>
      <c r="AM886" s="45"/>
      <c r="AN886" s="45"/>
      <c r="AO886" s="90"/>
      <c r="AP886" s="46"/>
      <c r="AQ886" s="52"/>
      <c r="AR886" s="52"/>
      <c r="AS886" s="52"/>
    </row>
    <row r="887" spans="1:45" x14ac:dyDescent="0.2">
      <c r="A887" s="29"/>
      <c r="B887" s="45"/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  <c r="AG887" s="45"/>
      <c r="AH887" s="45"/>
      <c r="AI887" s="45"/>
      <c r="AJ887" s="45"/>
      <c r="AK887" s="45"/>
      <c r="AL887" s="45"/>
      <c r="AM887" s="45"/>
      <c r="AN887" s="45"/>
      <c r="AO887" s="90"/>
      <c r="AP887" s="46"/>
      <c r="AQ887" s="52"/>
      <c r="AR887" s="52"/>
      <c r="AS887" s="52"/>
    </row>
    <row r="888" spans="1:45" x14ac:dyDescent="0.2">
      <c r="A888" s="29"/>
      <c r="B888" s="45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  <c r="AG888" s="45"/>
      <c r="AH888" s="45"/>
      <c r="AI888" s="45"/>
      <c r="AJ888" s="45"/>
      <c r="AK888" s="45"/>
      <c r="AL888" s="45"/>
      <c r="AM888" s="45"/>
      <c r="AN888" s="45"/>
      <c r="AO888" s="90"/>
      <c r="AP888" s="46"/>
      <c r="AQ888" s="52"/>
      <c r="AR888" s="52"/>
      <c r="AS888" s="52"/>
    </row>
    <row r="889" spans="1:45" x14ac:dyDescent="0.2">
      <c r="A889" s="29"/>
      <c r="B889" s="45"/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  <c r="AG889" s="45"/>
      <c r="AH889" s="45"/>
      <c r="AI889" s="45"/>
      <c r="AJ889" s="45"/>
      <c r="AK889" s="45"/>
      <c r="AL889" s="45"/>
      <c r="AM889" s="45"/>
      <c r="AN889" s="45"/>
      <c r="AO889" s="90"/>
      <c r="AP889" s="46"/>
      <c r="AQ889" s="52"/>
      <c r="AR889" s="52"/>
      <c r="AS889" s="52"/>
    </row>
    <row r="890" spans="1:45" x14ac:dyDescent="0.2">
      <c r="A890" s="29"/>
      <c r="B890" s="45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  <c r="AG890" s="45"/>
      <c r="AH890" s="45"/>
      <c r="AI890" s="45"/>
      <c r="AJ890" s="45"/>
      <c r="AK890" s="45"/>
      <c r="AL890" s="45"/>
      <c r="AM890" s="45"/>
      <c r="AN890" s="45"/>
      <c r="AO890" s="90"/>
      <c r="AP890" s="46"/>
      <c r="AQ890" s="52"/>
      <c r="AR890" s="52"/>
      <c r="AS890" s="52"/>
    </row>
    <row r="891" spans="1:45" x14ac:dyDescent="0.2">
      <c r="A891" s="29"/>
      <c r="B891" s="45"/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  <c r="AG891" s="45"/>
      <c r="AH891" s="45"/>
      <c r="AI891" s="45"/>
      <c r="AJ891" s="45"/>
      <c r="AK891" s="45"/>
      <c r="AL891" s="45"/>
      <c r="AM891" s="45"/>
      <c r="AN891" s="45"/>
      <c r="AO891" s="90"/>
      <c r="AP891" s="46"/>
      <c r="AQ891" s="52"/>
      <c r="AR891" s="52"/>
      <c r="AS891" s="52"/>
    </row>
    <row r="892" spans="1:45" x14ac:dyDescent="0.2">
      <c r="A892" s="29"/>
      <c r="B892" s="45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  <c r="AG892" s="45"/>
      <c r="AH892" s="45"/>
      <c r="AI892" s="45"/>
      <c r="AJ892" s="45"/>
      <c r="AK892" s="45"/>
      <c r="AL892" s="45"/>
      <c r="AM892" s="45"/>
      <c r="AN892" s="45"/>
      <c r="AO892" s="90"/>
      <c r="AP892" s="46"/>
      <c r="AQ892" s="52"/>
      <c r="AR892" s="52"/>
      <c r="AS892" s="52"/>
    </row>
    <row r="893" spans="1:45" x14ac:dyDescent="0.2">
      <c r="A893" s="29"/>
      <c r="B893" s="45"/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  <c r="AG893" s="45"/>
      <c r="AH893" s="45"/>
      <c r="AI893" s="45"/>
      <c r="AJ893" s="45"/>
      <c r="AK893" s="45"/>
      <c r="AL893" s="45"/>
      <c r="AM893" s="45"/>
      <c r="AN893" s="45"/>
      <c r="AO893" s="90"/>
      <c r="AP893" s="46"/>
      <c r="AQ893" s="52"/>
      <c r="AR893" s="52"/>
      <c r="AS893" s="52"/>
    </row>
    <row r="894" spans="1:45" x14ac:dyDescent="0.2">
      <c r="A894" s="29"/>
      <c r="B894" s="45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  <c r="AG894" s="45"/>
      <c r="AH894" s="45"/>
      <c r="AI894" s="45"/>
      <c r="AJ894" s="45"/>
      <c r="AK894" s="45"/>
      <c r="AL894" s="45"/>
      <c r="AM894" s="45"/>
      <c r="AN894" s="45"/>
      <c r="AO894" s="90"/>
      <c r="AP894" s="46"/>
      <c r="AQ894" s="52"/>
      <c r="AR894" s="52"/>
      <c r="AS894" s="52"/>
    </row>
    <row r="895" spans="1:45" x14ac:dyDescent="0.2">
      <c r="A895" s="29"/>
      <c r="B895" s="45"/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  <c r="AG895" s="45"/>
      <c r="AH895" s="45"/>
      <c r="AI895" s="45"/>
      <c r="AJ895" s="45"/>
      <c r="AK895" s="45"/>
      <c r="AL895" s="45"/>
      <c r="AM895" s="45"/>
      <c r="AN895" s="45"/>
      <c r="AO895" s="90"/>
      <c r="AP895" s="46"/>
      <c r="AQ895" s="52"/>
      <c r="AR895" s="52"/>
      <c r="AS895" s="52"/>
    </row>
    <row r="896" spans="1:45" x14ac:dyDescent="0.2">
      <c r="A896" s="29"/>
      <c r="B896" s="45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  <c r="AG896" s="45"/>
      <c r="AH896" s="45"/>
      <c r="AI896" s="45"/>
      <c r="AJ896" s="45"/>
      <c r="AK896" s="45"/>
      <c r="AL896" s="45"/>
      <c r="AM896" s="45"/>
      <c r="AN896" s="45"/>
      <c r="AO896" s="90"/>
      <c r="AP896" s="46"/>
      <c r="AQ896" s="52"/>
      <c r="AR896" s="52"/>
      <c r="AS896" s="52"/>
    </row>
    <row r="897" spans="1:45" x14ac:dyDescent="0.2">
      <c r="A897" s="29"/>
      <c r="B897" s="45"/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  <c r="AG897" s="45"/>
      <c r="AH897" s="45"/>
      <c r="AI897" s="45"/>
      <c r="AJ897" s="45"/>
      <c r="AK897" s="45"/>
      <c r="AL897" s="45"/>
      <c r="AM897" s="45"/>
      <c r="AN897" s="45"/>
      <c r="AO897" s="90"/>
      <c r="AP897" s="46"/>
      <c r="AQ897" s="52"/>
      <c r="AR897" s="52"/>
      <c r="AS897" s="52"/>
    </row>
    <row r="898" spans="1:45" x14ac:dyDescent="0.2">
      <c r="A898" s="29"/>
      <c r="B898" s="45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  <c r="AG898" s="45"/>
      <c r="AH898" s="45"/>
      <c r="AI898" s="45"/>
      <c r="AJ898" s="45"/>
      <c r="AK898" s="45"/>
      <c r="AL898" s="45"/>
      <c r="AM898" s="45"/>
      <c r="AN898" s="45"/>
      <c r="AO898" s="90"/>
      <c r="AP898" s="46"/>
      <c r="AQ898" s="52"/>
      <c r="AR898" s="52"/>
      <c r="AS898" s="52"/>
    </row>
    <row r="899" spans="1:45" x14ac:dyDescent="0.2">
      <c r="A899" s="29"/>
      <c r="B899" s="45"/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  <c r="AG899" s="45"/>
      <c r="AH899" s="45"/>
      <c r="AI899" s="45"/>
      <c r="AJ899" s="45"/>
      <c r="AK899" s="45"/>
      <c r="AL899" s="45"/>
      <c r="AM899" s="45"/>
      <c r="AN899" s="45"/>
      <c r="AO899" s="90"/>
      <c r="AP899" s="46"/>
      <c r="AQ899" s="52"/>
      <c r="AR899" s="52"/>
      <c r="AS899" s="52"/>
    </row>
    <row r="900" spans="1:45" x14ac:dyDescent="0.2">
      <c r="A900" s="29"/>
      <c r="B900" s="45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  <c r="AG900" s="45"/>
      <c r="AH900" s="45"/>
      <c r="AI900" s="45"/>
      <c r="AJ900" s="45"/>
      <c r="AK900" s="45"/>
      <c r="AL900" s="45"/>
      <c r="AM900" s="45"/>
      <c r="AN900" s="45"/>
      <c r="AO900" s="90"/>
      <c r="AP900" s="46"/>
      <c r="AQ900" s="52"/>
      <c r="AR900" s="52"/>
      <c r="AS900" s="52"/>
    </row>
    <row r="901" spans="1:45" x14ac:dyDescent="0.2">
      <c r="A901" s="29"/>
      <c r="B901" s="45"/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  <c r="AG901" s="45"/>
      <c r="AH901" s="45"/>
      <c r="AI901" s="45"/>
      <c r="AJ901" s="45"/>
      <c r="AK901" s="45"/>
      <c r="AL901" s="45"/>
      <c r="AM901" s="45"/>
      <c r="AN901" s="45"/>
      <c r="AO901" s="90"/>
      <c r="AP901" s="46"/>
      <c r="AQ901" s="52"/>
      <c r="AR901" s="52"/>
      <c r="AS901" s="52"/>
    </row>
    <row r="902" spans="1:45" x14ac:dyDescent="0.2">
      <c r="A902" s="29"/>
      <c r="B902" s="45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  <c r="AG902" s="45"/>
      <c r="AH902" s="45"/>
      <c r="AI902" s="45"/>
      <c r="AJ902" s="45"/>
      <c r="AK902" s="45"/>
      <c r="AL902" s="45"/>
      <c r="AM902" s="45"/>
      <c r="AN902" s="45"/>
      <c r="AO902" s="90"/>
      <c r="AP902" s="46"/>
      <c r="AQ902" s="52"/>
      <c r="AR902" s="52"/>
      <c r="AS902" s="52"/>
    </row>
    <row r="903" spans="1:45" x14ac:dyDescent="0.2">
      <c r="A903" s="29"/>
      <c r="B903" s="45"/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  <c r="AG903" s="45"/>
      <c r="AH903" s="45"/>
      <c r="AI903" s="45"/>
      <c r="AJ903" s="45"/>
      <c r="AK903" s="45"/>
      <c r="AL903" s="45"/>
      <c r="AM903" s="45"/>
      <c r="AN903" s="45"/>
      <c r="AO903" s="90"/>
      <c r="AP903" s="46"/>
      <c r="AQ903" s="52"/>
      <c r="AR903" s="52"/>
      <c r="AS903" s="52"/>
    </row>
    <row r="904" spans="1:45" x14ac:dyDescent="0.2">
      <c r="A904" s="29"/>
      <c r="B904" s="45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  <c r="AG904" s="45"/>
      <c r="AH904" s="45"/>
      <c r="AI904" s="45"/>
      <c r="AJ904" s="45"/>
      <c r="AK904" s="45"/>
      <c r="AL904" s="45"/>
      <c r="AM904" s="45"/>
      <c r="AN904" s="45"/>
      <c r="AO904" s="90"/>
      <c r="AP904" s="46"/>
      <c r="AQ904" s="52"/>
      <c r="AR904" s="52"/>
      <c r="AS904" s="52"/>
    </row>
    <row r="905" spans="1:45" x14ac:dyDescent="0.2">
      <c r="A905" s="29"/>
      <c r="B905" s="45"/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  <c r="AG905" s="45"/>
      <c r="AH905" s="45"/>
      <c r="AI905" s="45"/>
      <c r="AJ905" s="45"/>
      <c r="AK905" s="45"/>
      <c r="AL905" s="45"/>
      <c r="AM905" s="45"/>
      <c r="AN905" s="45"/>
      <c r="AO905" s="90"/>
      <c r="AP905" s="46"/>
      <c r="AQ905" s="52"/>
      <c r="AR905" s="52"/>
      <c r="AS905" s="52"/>
    </row>
    <row r="906" spans="1:45" x14ac:dyDescent="0.2">
      <c r="A906" s="29"/>
      <c r="B906" s="45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  <c r="AG906" s="45"/>
      <c r="AH906" s="45"/>
      <c r="AI906" s="45"/>
      <c r="AJ906" s="45"/>
      <c r="AK906" s="45"/>
      <c r="AL906" s="45"/>
      <c r="AM906" s="45"/>
      <c r="AN906" s="45"/>
      <c r="AO906" s="90"/>
      <c r="AP906" s="46"/>
      <c r="AQ906" s="52"/>
      <c r="AR906" s="52"/>
      <c r="AS906" s="52"/>
    </row>
    <row r="907" spans="1:45" x14ac:dyDescent="0.2">
      <c r="A907" s="29"/>
      <c r="B907" s="45"/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  <c r="AG907" s="45"/>
      <c r="AH907" s="45"/>
      <c r="AI907" s="45"/>
      <c r="AJ907" s="45"/>
      <c r="AK907" s="45"/>
      <c r="AL907" s="45"/>
      <c r="AM907" s="45"/>
      <c r="AN907" s="45"/>
      <c r="AO907" s="90"/>
      <c r="AP907" s="46"/>
      <c r="AQ907" s="52"/>
      <c r="AR907" s="52"/>
      <c r="AS907" s="52"/>
    </row>
    <row r="908" spans="1:45" x14ac:dyDescent="0.2">
      <c r="A908" s="29"/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  <c r="AG908" s="45"/>
      <c r="AH908" s="45"/>
      <c r="AI908" s="45"/>
      <c r="AJ908" s="45"/>
      <c r="AK908" s="45"/>
      <c r="AL908" s="45"/>
      <c r="AM908" s="45"/>
      <c r="AN908" s="45"/>
      <c r="AO908" s="90"/>
      <c r="AP908" s="46"/>
      <c r="AQ908" s="52"/>
      <c r="AR908" s="52"/>
      <c r="AS908" s="52"/>
    </row>
    <row r="909" spans="1:45" x14ac:dyDescent="0.2">
      <c r="A909" s="29"/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  <c r="AG909" s="45"/>
      <c r="AH909" s="45"/>
      <c r="AI909" s="45"/>
      <c r="AJ909" s="45"/>
      <c r="AK909" s="45"/>
      <c r="AL909" s="45"/>
      <c r="AM909" s="45"/>
      <c r="AN909" s="45"/>
      <c r="AO909" s="90"/>
      <c r="AP909" s="46"/>
      <c r="AQ909" s="52"/>
      <c r="AR909" s="52"/>
      <c r="AS909" s="52"/>
    </row>
    <row r="910" spans="1:45" x14ac:dyDescent="0.2">
      <c r="A910" s="29"/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  <c r="AG910" s="45"/>
      <c r="AH910" s="45"/>
      <c r="AI910" s="45"/>
      <c r="AJ910" s="45"/>
      <c r="AK910" s="45"/>
      <c r="AL910" s="45"/>
      <c r="AM910" s="45"/>
      <c r="AN910" s="45"/>
      <c r="AO910" s="90"/>
      <c r="AP910" s="46"/>
      <c r="AQ910" s="52"/>
      <c r="AR910" s="52"/>
      <c r="AS910" s="52"/>
    </row>
    <row r="911" spans="1:45" x14ac:dyDescent="0.2">
      <c r="A911" s="29"/>
      <c r="B911" s="45"/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  <c r="AG911" s="45"/>
      <c r="AH911" s="45"/>
      <c r="AI911" s="45"/>
      <c r="AJ911" s="45"/>
      <c r="AK911" s="45"/>
      <c r="AL911" s="45"/>
      <c r="AM911" s="45"/>
      <c r="AN911" s="45"/>
      <c r="AO911" s="90"/>
      <c r="AP911" s="46"/>
      <c r="AQ911" s="52"/>
      <c r="AR911" s="52"/>
      <c r="AS911" s="52"/>
    </row>
    <row r="912" spans="1:45" x14ac:dyDescent="0.2">
      <c r="A912" s="29"/>
      <c r="B912" s="45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  <c r="AG912" s="45"/>
      <c r="AH912" s="45"/>
      <c r="AI912" s="45"/>
      <c r="AJ912" s="45"/>
      <c r="AK912" s="45"/>
      <c r="AL912" s="45"/>
      <c r="AM912" s="45"/>
      <c r="AN912" s="45"/>
      <c r="AO912" s="90"/>
      <c r="AP912" s="46"/>
      <c r="AQ912" s="52"/>
      <c r="AR912" s="52"/>
      <c r="AS912" s="52"/>
    </row>
    <row r="913" spans="1:45" x14ac:dyDescent="0.2">
      <c r="A913" s="29"/>
      <c r="B913" s="45"/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  <c r="AG913" s="45"/>
      <c r="AH913" s="45"/>
      <c r="AI913" s="45"/>
      <c r="AJ913" s="45"/>
      <c r="AK913" s="45"/>
      <c r="AL913" s="45"/>
      <c r="AM913" s="45"/>
      <c r="AN913" s="45"/>
      <c r="AO913" s="90"/>
      <c r="AP913" s="46"/>
      <c r="AQ913" s="52"/>
      <c r="AR913" s="52"/>
      <c r="AS913" s="52"/>
    </row>
    <row r="914" spans="1:45" x14ac:dyDescent="0.2">
      <c r="A914" s="29"/>
      <c r="B914" s="45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  <c r="AG914" s="45"/>
      <c r="AH914" s="45"/>
      <c r="AI914" s="45"/>
      <c r="AJ914" s="45"/>
      <c r="AK914" s="45"/>
      <c r="AL914" s="45"/>
      <c r="AM914" s="45"/>
      <c r="AN914" s="45"/>
      <c r="AO914" s="90"/>
      <c r="AP914" s="46"/>
      <c r="AQ914" s="52"/>
      <c r="AR914" s="52"/>
      <c r="AS914" s="52"/>
    </row>
    <row r="915" spans="1:45" x14ac:dyDescent="0.2">
      <c r="A915" s="29"/>
      <c r="B915" s="45"/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  <c r="AG915" s="45"/>
      <c r="AH915" s="45"/>
      <c r="AI915" s="45"/>
      <c r="AJ915" s="45"/>
      <c r="AK915" s="45"/>
      <c r="AL915" s="45"/>
      <c r="AM915" s="45"/>
      <c r="AN915" s="45"/>
      <c r="AO915" s="90"/>
      <c r="AP915" s="46"/>
      <c r="AQ915" s="52"/>
      <c r="AR915" s="52"/>
      <c r="AS915" s="52"/>
    </row>
    <row r="916" spans="1:45" x14ac:dyDescent="0.2">
      <c r="A916" s="29"/>
      <c r="B916" s="45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  <c r="AG916" s="45"/>
      <c r="AH916" s="45"/>
      <c r="AI916" s="45"/>
      <c r="AJ916" s="45"/>
      <c r="AK916" s="45"/>
      <c r="AL916" s="45"/>
      <c r="AM916" s="45"/>
      <c r="AN916" s="45"/>
      <c r="AO916" s="90"/>
      <c r="AP916" s="46"/>
      <c r="AQ916" s="52"/>
      <c r="AR916" s="52"/>
      <c r="AS916" s="52"/>
    </row>
    <row r="917" spans="1:45" x14ac:dyDescent="0.2">
      <c r="A917" s="29"/>
      <c r="B917" s="45"/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  <c r="AG917" s="45"/>
      <c r="AH917" s="45"/>
      <c r="AI917" s="45"/>
      <c r="AJ917" s="45"/>
      <c r="AK917" s="45"/>
      <c r="AL917" s="45"/>
      <c r="AM917" s="45"/>
      <c r="AN917" s="45"/>
      <c r="AO917" s="90"/>
      <c r="AP917" s="46"/>
      <c r="AQ917" s="52"/>
      <c r="AR917" s="52"/>
      <c r="AS917" s="52"/>
    </row>
    <row r="918" spans="1:45" x14ac:dyDescent="0.2">
      <c r="A918" s="29"/>
      <c r="B918" s="45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  <c r="AG918" s="45"/>
      <c r="AH918" s="45"/>
      <c r="AI918" s="45"/>
      <c r="AJ918" s="45"/>
      <c r="AK918" s="45"/>
      <c r="AL918" s="45"/>
      <c r="AM918" s="45"/>
      <c r="AN918" s="45"/>
      <c r="AO918" s="90"/>
      <c r="AP918" s="46"/>
      <c r="AQ918" s="52"/>
      <c r="AR918" s="52"/>
      <c r="AS918" s="52"/>
    </row>
    <row r="919" spans="1:45" x14ac:dyDescent="0.2">
      <c r="A919" s="29"/>
      <c r="B919" s="45"/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  <c r="AG919" s="45"/>
      <c r="AH919" s="45"/>
      <c r="AI919" s="45"/>
      <c r="AJ919" s="45"/>
      <c r="AK919" s="45"/>
      <c r="AL919" s="45"/>
      <c r="AM919" s="45"/>
      <c r="AN919" s="45"/>
      <c r="AO919" s="90"/>
      <c r="AP919" s="46"/>
      <c r="AQ919" s="52"/>
      <c r="AR919" s="52"/>
      <c r="AS919" s="52"/>
    </row>
    <row r="920" spans="1:45" x14ac:dyDescent="0.2">
      <c r="A920" s="29"/>
      <c r="B920" s="45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  <c r="AG920" s="45"/>
      <c r="AH920" s="45"/>
      <c r="AI920" s="45"/>
      <c r="AJ920" s="45"/>
      <c r="AK920" s="45"/>
      <c r="AL920" s="45"/>
      <c r="AM920" s="45"/>
      <c r="AN920" s="45"/>
      <c r="AO920" s="90"/>
      <c r="AP920" s="46"/>
      <c r="AQ920" s="52"/>
      <c r="AR920" s="52"/>
      <c r="AS920" s="52"/>
    </row>
    <row r="921" spans="1:45" x14ac:dyDescent="0.2">
      <c r="A921" s="29"/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  <c r="AG921" s="45"/>
      <c r="AH921" s="45"/>
      <c r="AI921" s="45"/>
      <c r="AJ921" s="45"/>
      <c r="AK921" s="45"/>
      <c r="AL921" s="45"/>
      <c r="AM921" s="45"/>
      <c r="AN921" s="45"/>
      <c r="AO921" s="90"/>
      <c r="AP921" s="46"/>
      <c r="AQ921" s="52"/>
      <c r="AR921" s="52"/>
      <c r="AS921" s="52"/>
    </row>
    <row r="922" spans="1:45" x14ac:dyDescent="0.2">
      <c r="A922" s="29"/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  <c r="AG922" s="45"/>
      <c r="AH922" s="45"/>
      <c r="AI922" s="45"/>
      <c r="AJ922" s="45"/>
      <c r="AK922" s="45"/>
      <c r="AL922" s="45"/>
      <c r="AM922" s="45"/>
      <c r="AN922" s="45"/>
      <c r="AO922" s="90"/>
      <c r="AP922" s="46"/>
      <c r="AQ922" s="52"/>
      <c r="AR922" s="52"/>
      <c r="AS922" s="52"/>
    </row>
    <row r="923" spans="1:45" x14ac:dyDescent="0.2">
      <c r="A923" s="29"/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  <c r="AG923" s="45"/>
      <c r="AH923" s="45"/>
      <c r="AI923" s="45"/>
      <c r="AJ923" s="45"/>
      <c r="AK923" s="45"/>
      <c r="AL923" s="45"/>
      <c r="AM923" s="45"/>
      <c r="AN923" s="45"/>
      <c r="AO923" s="90"/>
      <c r="AP923" s="46"/>
      <c r="AQ923" s="52"/>
      <c r="AR923" s="52"/>
      <c r="AS923" s="52"/>
    </row>
    <row r="924" spans="1:45" x14ac:dyDescent="0.2">
      <c r="A924" s="29"/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  <c r="AG924" s="45"/>
      <c r="AH924" s="45"/>
      <c r="AI924" s="45"/>
      <c r="AJ924" s="45"/>
      <c r="AK924" s="45"/>
      <c r="AL924" s="45"/>
      <c r="AM924" s="45"/>
      <c r="AN924" s="45"/>
      <c r="AO924" s="90"/>
      <c r="AP924" s="46"/>
      <c r="AQ924" s="52"/>
      <c r="AR924" s="52"/>
      <c r="AS924" s="52"/>
    </row>
    <row r="925" spans="1:45" x14ac:dyDescent="0.2">
      <c r="A925" s="29"/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  <c r="AG925" s="45"/>
      <c r="AH925" s="45"/>
      <c r="AI925" s="45"/>
      <c r="AJ925" s="45"/>
      <c r="AK925" s="45"/>
      <c r="AL925" s="45"/>
      <c r="AM925" s="45"/>
      <c r="AN925" s="45"/>
      <c r="AO925" s="90"/>
      <c r="AP925" s="46"/>
      <c r="AQ925" s="52"/>
      <c r="AR925" s="52"/>
      <c r="AS925" s="52"/>
    </row>
    <row r="926" spans="1:45" x14ac:dyDescent="0.2">
      <c r="A926" s="29"/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  <c r="AG926" s="45"/>
      <c r="AH926" s="45"/>
      <c r="AI926" s="45"/>
      <c r="AJ926" s="45"/>
      <c r="AK926" s="45"/>
      <c r="AL926" s="45"/>
      <c r="AM926" s="45"/>
      <c r="AN926" s="45"/>
      <c r="AO926" s="90"/>
      <c r="AP926" s="46"/>
      <c r="AQ926" s="52"/>
      <c r="AR926" s="52"/>
      <c r="AS926" s="52"/>
    </row>
    <row r="927" spans="1:45" x14ac:dyDescent="0.2">
      <c r="A927" s="29"/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  <c r="AG927" s="45"/>
      <c r="AH927" s="45"/>
      <c r="AI927" s="45"/>
      <c r="AJ927" s="45"/>
      <c r="AK927" s="45"/>
      <c r="AL927" s="45"/>
      <c r="AM927" s="45"/>
      <c r="AN927" s="45"/>
      <c r="AO927" s="90"/>
      <c r="AP927" s="46"/>
      <c r="AQ927" s="52"/>
      <c r="AR927" s="52"/>
      <c r="AS927" s="52"/>
    </row>
    <row r="928" spans="1:45" x14ac:dyDescent="0.2">
      <c r="A928" s="29"/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  <c r="AG928" s="45"/>
      <c r="AH928" s="45"/>
      <c r="AI928" s="45"/>
      <c r="AJ928" s="45"/>
      <c r="AK928" s="45"/>
      <c r="AL928" s="45"/>
      <c r="AM928" s="45"/>
      <c r="AN928" s="45"/>
      <c r="AO928" s="90"/>
      <c r="AP928" s="46"/>
      <c r="AQ928" s="52"/>
      <c r="AR928" s="52"/>
      <c r="AS928" s="52"/>
    </row>
    <row r="929" spans="1:45" x14ac:dyDescent="0.2">
      <c r="A929" s="29"/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  <c r="AG929" s="45"/>
      <c r="AH929" s="45"/>
      <c r="AI929" s="45"/>
      <c r="AJ929" s="45"/>
      <c r="AK929" s="45"/>
      <c r="AL929" s="45"/>
      <c r="AM929" s="45"/>
      <c r="AN929" s="45"/>
      <c r="AO929" s="90"/>
      <c r="AP929" s="46"/>
      <c r="AQ929" s="52"/>
      <c r="AR929" s="52"/>
      <c r="AS929" s="52"/>
    </row>
    <row r="930" spans="1:45" x14ac:dyDescent="0.2">
      <c r="A930" s="29"/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  <c r="AG930" s="45"/>
      <c r="AH930" s="45"/>
      <c r="AI930" s="45"/>
      <c r="AJ930" s="45"/>
      <c r="AK930" s="45"/>
      <c r="AL930" s="45"/>
      <c r="AM930" s="45"/>
      <c r="AN930" s="45"/>
      <c r="AO930" s="90"/>
      <c r="AP930" s="46"/>
      <c r="AQ930" s="52"/>
      <c r="AR930" s="52"/>
      <c r="AS930" s="52"/>
    </row>
    <row r="931" spans="1:45" x14ac:dyDescent="0.2">
      <c r="A931" s="29"/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  <c r="AG931" s="45"/>
      <c r="AH931" s="45"/>
      <c r="AI931" s="45"/>
      <c r="AJ931" s="45"/>
      <c r="AK931" s="45"/>
      <c r="AL931" s="45"/>
      <c r="AM931" s="45"/>
      <c r="AN931" s="45"/>
      <c r="AO931" s="90"/>
      <c r="AP931" s="46"/>
      <c r="AQ931" s="52"/>
      <c r="AR931" s="52"/>
      <c r="AS931" s="52"/>
    </row>
    <row r="932" spans="1:45" x14ac:dyDescent="0.2">
      <c r="A932" s="29"/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  <c r="AG932" s="45"/>
      <c r="AH932" s="45"/>
      <c r="AI932" s="45"/>
      <c r="AJ932" s="45"/>
      <c r="AK932" s="45"/>
      <c r="AL932" s="45"/>
      <c r="AM932" s="45"/>
      <c r="AN932" s="45"/>
      <c r="AO932" s="90"/>
      <c r="AP932" s="46"/>
      <c r="AQ932" s="52"/>
      <c r="AR932" s="52"/>
      <c r="AS932" s="52"/>
    </row>
    <row r="933" spans="1:45" x14ac:dyDescent="0.2">
      <c r="A933" s="29"/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  <c r="AG933" s="45"/>
      <c r="AH933" s="45"/>
      <c r="AI933" s="45"/>
      <c r="AJ933" s="45"/>
      <c r="AK933" s="45"/>
      <c r="AL933" s="45"/>
      <c r="AM933" s="45"/>
      <c r="AN933" s="45"/>
      <c r="AO933" s="90"/>
      <c r="AP933" s="46"/>
      <c r="AQ933" s="52"/>
      <c r="AR933" s="52"/>
      <c r="AS933" s="52"/>
    </row>
    <row r="934" spans="1:45" x14ac:dyDescent="0.2">
      <c r="A934" s="29"/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  <c r="AG934" s="45"/>
      <c r="AH934" s="45"/>
      <c r="AI934" s="45"/>
      <c r="AJ934" s="45"/>
      <c r="AK934" s="45"/>
      <c r="AL934" s="45"/>
      <c r="AM934" s="45"/>
      <c r="AN934" s="45"/>
      <c r="AO934" s="90"/>
      <c r="AP934" s="46"/>
      <c r="AQ934" s="52"/>
      <c r="AR934" s="52"/>
      <c r="AS934" s="52"/>
    </row>
    <row r="935" spans="1:45" x14ac:dyDescent="0.2">
      <c r="A935" s="29"/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  <c r="AG935" s="45"/>
      <c r="AH935" s="45"/>
      <c r="AI935" s="45"/>
      <c r="AJ935" s="45"/>
      <c r="AK935" s="45"/>
      <c r="AL935" s="45"/>
      <c r="AM935" s="45"/>
      <c r="AN935" s="45"/>
      <c r="AO935" s="90"/>
      <c r="AP935" s="46"/>
      <c r="AQ935" s="52"/>
      <c r="AR935" s="52"/>
      <c r="AS935" s="52"/>
    </row>
    <row r="936" spans="1:45" x14ac:dyDescent="0.2">
      <c r="A936" s="29"/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  <c r="AG936" s="45"/>
      <c r="AH936" s="45"/>
      <c r="AI936" s="45"/>
      <c r="AJ936" s="45"/>
      <c r="AK936" s="45"/>
      <c r="AL936" s="45"/>
      <c r="AM936" s="45"/>
      <c r="AN936" s="45"/>
      <c r="AO936" s="90"/>
      <c r="AP936" s="46"/>
      <c r="AQ936" s="52"/>
      <c r="AR936" s="52"/>
      <c r="AS936" s="52"/>
    </row>
    <row r="937" spans="1:45" x14ac:dyDescent="0.2">
      <c r="A937" s="29"/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  <c r="AG937" s="45"/>
      <c r="AH937" s="45"/>
      <c r="AI937" s="45"/>
      <c r="AJ937" s="45"/>
      <c r="AK937" s="45"/>
      <c r="AL937" s="45"/>
      <c r="AM937" s="45"/>
      <c r="AN937" s="45"/>
      <c r="AO937" s="90"/>
      <c r="AP937" s="46"/>
      <c r="AQ937" s="52"/>
      <c r="AR937" s="52"/>
      <c r="AS937" s="52"/>
    </row>
    <row r="938" spans="1:45" x14ac:dyDescent="0.2">
      <c r="A938" s="29"/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  <c r="AG938" s="45"/>
      <c r="AH938" s="45"/>
      <c r="AI938" s="45"/>
      <c r="AJ938" s="45"/>
      <c r="AK938" s="45"/>
      <c r="AL938" s="45"/>
      <c r="AM938" s="45"/>
      <c r="AN938" s="45"/>
      <c r="AO938" s="90"/>
      <c r="AP938" s="46"/>
      <c r="AQ938" s="52"/>
      <c r="AR938" s="52"/>
      <c r="AS938" s="52"/>
    </row>
    <row r="939" spans="1:45" x14ac:dyDescent="0.2">
      <c r="A939" s="29"/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  <c r="AG939" s="45"/>
      <c r="AH939" s="45"/>
      <c r="AI939" s="45"/>
      <c r="AJ939" s="45"/>
      <c r="AK939" s="45"/>
      <c r="AL939" s="45"/>
      <c r="AM939" s="45"/>
      <c r="AN939" s="45"/>
      <c r="AO939" s="90"/>
      <c r="AP939" s="46"/>
      <c r="AQ939" s="52"/>
      <c r="AR939" s="52"/>
      <c r="AS939" s="52"/>
    </row>
    <row r="940" spans="1:45" x14ac:dyDescent="0.2">
      <c r="A940" s="29"/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  <c r="AG940" s="45"/>
      <c r="AH940" s="45"/>
      <c r="AI940" s="45"/>
      <c r="AJ940" s="45"/>
      <c r="AK940" s="45"/>
      <c r="AL940" s="45"/>
      <c r="AM940" s="45"/>
      <c r="AN940" s="45"/>
      <c r="AO940" s="90"/>
      <c r="AP940" s="46"/>
      <c r="AQ940" s="52"/>
      <c r="AR940" s="52"/>
      <c r="AS940" s="52"/>
    </row>
    <row r="941" spans="1:45" x14ac:dyDescent="0.2">
      <c r="A941" s="29"/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  <c r="AG941" s="45"/>
      <c r="AH941" s="45"/>
      <c r="AI941" s="45"/>
      <c r="AJ941" s="45"/>
      <c r="AK941" s="45"/>
      <c r="AL941" s="45"/>
      <c r="AM941" s="45"/>
      <c r="AN941" s="45"/>
      <c r="AO941" s="90"/>
      <c r="AP941" s="46"/>
      <c r="AQ941" s="52"/>
      <c r="AR941" s="52"/>
      <c r="AS941" s="52"/>
    </row>
    <row r="942" spans="1:45" x14ac:dyDescent="0.2">
      <c r="A942" s="29"/>
      <c r="B942" s="45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  <c r="AG942" s="45"/>
      <c r="AH942" s="45"/>
      <c r="AI942" s="45"/>
      <c r="AJ942" s="45"/>
      <c r="AK942" s="45"/>
      <c r="AL942" s="45"/>
      <c r="AM942" s="45"/>
      <c r="AN942" s="45"/>
      <c r="AO942" s="90"/>
      <c r="AP942" s="46"/>
      <c r="AQ942" s="52"/>
      <c r="AR942" s="52"/>
      <c r="AS942" s="52"/>
    </row>
    <row r="943" spans="1:45" x14ac:dyDescent="0.2">
      <c r="A943" s="29"/>
      <c r="B943" s="45"/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  <c r="AG943" s="45"/>
      <c r="AH943" s="45"/>
      <c r="AI943" s="45"/>
      <c r="AJ943" s="45"/>
      <c r="AK943" s="45"/>
      <c r="AL943" s="45"/>
      <c r="AM943" s="45"/>
      <c r="AN943" s="45"/>
      <c r="AO943" s="90"/>
      <c r="AP943" s="46"/>
      <c r="AQ943" s="52"/>
      <c r="AR943" s="52"/>
      <c r="AS943" s="52"/>
    </row>
    <row r="944" spans="1:45" x14ac:dyDescent="0.2">
      <c r="A944" s="29"/>
      <c r="B944" s="45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  <c r="AG944" s="45"/>
      <c r="AH944" s="45"/>
      <c r="AI944" s="45"/>
      <c r="AJ944" s="45"/>
      <c r="AK944" s="45"/>
      <c r="AL944" s="45"/>
      <c r="AM944" s="45"/>
      <c r="AN944" s="45"/>
      <c r="AO944" s="90"/>
      <c r="AP944" s="46"/>
      <c r="AQ944" s="52"/>
      <c r="AR944" s="52"/>
      <c r="AS944" s="52"/>
    </row>
    <row r="945" spans="1:45" x14ac:dyDescent="0.2">
      <c r="A945" s="29"/>
      <c r="B945" s="45"/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  <c r="AG945" s="45"/>
      <c r="AH945" s="45"/>
      <c r="AI945" s="45"/>
      <c r="AJ945" s="45"/>
      <c r="AK945" s="45"/>
      <c r="AL945" s="45"/>
      <c r="AM945" s="45"/>
      <c r="AN945" s="45"/>
      <c r="AO945" s="90"/>
      <c r="AP945" s="46"/>
      <c r="AQ945" s="52"/>
      <c r="AR945" s="52"/>
      <c r="AS945" s="52"/>
    </row>
    <row r="946" spans="1:45" x14ac:dyDescent="0.2">
      <c r="A946" s="29"/>
      <c r="B946" s="45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  <c r="AG946" s="45"/>
      <c r="AH946" s="45"/>
      <c r="AI946" s="45"/>
      <c r="AJ946" s="45"/>
      <c r="AK946" s="45"/>
      <c r="AL946" s="45"/>
      <c r="AM946" s="45"/>
      <c r="AN946" s="45"/>
      <c r="AO946" s="90"/>
      <c r="AP946" s="46"/>
      <c r="AQ946" s="52"/>
      <c r="AR946" s="52"/>
      <c r="AS946" s="52"/>
    </row>
    <row r="947" spans="1:45" x14ac:dyDescent="0.2">
      <c r="A947" s="29"/>
      <c r="B947" s="45"/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  <c r="AG947" s="45"/>
      <c r="AH947" s="45"/>
      <c r="AI947" s="45"/>
      <c r="AJ947" s="45"/>
      <c r="AK947" s="45"/>
      <c r="AL947" s="45"/>
      <c r="AM947" s="45"/>
      <c r="AN947" s="45"/>
      <c r="AO947" s="90"/>
      <c r="AP947" s="46"/>
      <c r="AQ947" s="52"/>
      <c r="AR947" s="52"/>
      <c r="AS947" s="52"/>
    </row>
    <row r="948" spans="1:45" x14ac:dyDescent="0.2">
      <c r="A948" s="29"/>
      <c r="B948" s="45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  <c r="AG948" s="45"/>
      <c r="AH948" s="45"/>
      <c r="AI948" s="45"/>
      <c r="AJ948" s="45"/>
      <c r="AK948" s="45"/>
      <c r="AL948" s="45"/>
      <c r="AM948" s="45"/>
      <c r="AN948" s="45"/>
      <c r="AO948" s="90"/>
      <c r="AP948" s="46"/>
      <c r="AQ948" s="52"/>
      <c r="AR948" s="52"/>
      <c r="AS948" s="52"/>
    </row>
    <row r="949" spans="1:45" x14ac:dyDescent="0.2">
      <c r="A949" s="29"/>
      <c r="B949" s="45"/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  <c r="AG949" s="45"/>
      <c r="AH949" s="45"/>
      <c r="AI949" s="45"/>
      <c r="AJ949" s="45"/>
      <c r="AK949" s="45"/>
      <c r="AL949" s="45"/>
      <c r="AM949" s="45"/>
      <c r="AN949" s="45"/>
      <c r="AO949" s="90"/>
      <c r="AP949" s="46"/>
      <c r="AQ949" s="52"/>
      <c r="AR949" s="52"/>
      <c r="AS949" s="52"/>
    </row>
    <row r="950" spans="1:45" x14ac:dyDescent="0.2">
      <c r="A950" s="29"/>
      <c r="B950" s="45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  <c r="AG950" s="45"/>
      <c r="AH950" s="45"/>
      <c r="AI950" s="45"/>
      <c r="AJ950" s="45"/>
      <c r="AK950" s="45"/>
      <c r="AL950" s="45"/>
      <c r="AM950" s="45"/>
      <c r="AN950" s="45"/>
      <c r="AO950" s="90"/>
      <c r="AP950" s="46"/>
      <c r="AQ950" s="52"/>
      <c r="AR950" s="52"/>
      <c r="AS950" s="52"/>
    </row>
    <row r="951" spans="1:45" x14ac:dyDescent="0.2">
      <c r="A951" s="29"/>
      <c r="B951" s="45"/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  <c r="AG951" s="45"/>
      <c r="AH951" s="45"/>
      <c r="AI951" s="45"/>
      <c r="AJ951" s="45"/>
      <c r="AK951" s="45"/>
      <c r="AL951" s="45"/>
      <c r="AM951" s="45"/>
      <c r="AN951" s="45"/>
      <c r="AO951" s="90"/>
      <c r="AP951" s="46"/>
      <c r="AQ951" s="52"/>
      <c r="AR951" s="52"/>
      <c r="AS951" s="52"/>
    </row>
    <row r="952" spans="1:45" x14ac:dyDescent="0.2">
      <c r="A952" s="29"/>
      <c r="B952" s="45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  <c r="AG952" s="45"/>
      <c r="AH952" s="45"/>
      <c r="AI952" s="45"/>
      <c r="AJ952" s="45"/>
      <c r="AK952" s="45"/>
      <c r="AL952" s="45"/>
      <c r="AM952" s="45"/>
      <c r="AN952" s="45"/>
      <c r="AO952" s="90"/>
      <c r="AP952" s="46"/>
      <c r="AQ952" s="52"/>
      <c r="AR952" s="52"/>
      <c r="AS952" s="52"/>
    </row>
    <row r="953" spans="1:45" x14ac:dyDescent="0.2">
      <c r="A953" s="29"/>
      <c r="B953" s="45"/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  <c r="AG953" s="45"/>
      <c r="AH953" s="45"/>
      <c r="AI953" s="45"/>
      <c r="AJ953" s="45"/>
      <c r="AK953" s="45"/>
      <c r="AL953" s="45"/>
      <c r="AM953" s="45"/>
      <c r="AN953" s="45"/>
      <c r="AO953" s="90"/>
      <c r="AP953" s="46"/>
      <c r="AQ953" s="52"/>
      <c r="AR953" s="52"/>
      <c r="AS953" s="52"/>
    </row>
    <row r="954" spans="1:45" x14ac:dyDescent="0.2">
      <c r="A954" s="29"/>
      <c r="B954" s="45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  <c r="AG954" s="45"/>
      <c r="AH954" s="45"/>
      <c r="AI954" s="45"/>
      <c r="AJ954" s="45"/>
      <c r="AK954" s="45"/>
      <c r="AL954" s="45"/>
      <c r="AM954" s="45"/>
      <c r="AN954" s="45"/>
      <c r="AO954" s="90"/>
      <c r="AP954" s="46"/>
      <c r="AQ954" s="52"/>
      <c r="AR954" s="52"/>
      <c r="AS954" s="52"/>
    </row>
    <row r="955" spans="1:45" x14ac:dyDescent="0.2">
      <c r="A955" s="29"/>
      <c r="B955" s="45"/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  <c r="AG955" s="45"/>
      <c r="AH955" s="45"/>
      <c r="AI955" s="45"/>
      <c r="AJ955" s="45"/>
      <c r="AK955" s="45"/>
      <c r="AL955" s="45"/>
      <c r="AM955" s="45"/>
      <c r="AN955" s="45"/>
      <c r="AO955" s="90"/>
      <c r="AP955" s="46"/>
      <c r="AQ955" s="52"/>
      <c r="AR955" s="52"/>
      <c r="AS955" s="52"/>
    </row>
    <row r="956" spans="1:45" x14ac:dyDescent="0.2">
      <c r="A956" s="29"/>
      <c r="B956" s="45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  <c r="AG956" s="45"/>
      <c r="AH956" s="45"/>
      <c r="AI956" s="45"/>
      <c r="AJ956" s="45"/>
      <c r="AK956" s="45"/>
      <c r="AL956" s="45"/>
      <c r="AM956" s="45"/>
      <c r="AN956" s="45"/>
      <c r="AO956" s="90"/>
      <c r="AP956" s="46"/>
      <c r="AQ956" s="52"/>
      <c r="AR956" s="52"/>
      <c r="AS956" s="52"/>
    </row>
    <row r="957" spans="1:45" x14ac:dyDescent="0.2">
      <c r="A957" s="29"/>
      <c r="B957" s="45"/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  <c r="AG957" s="45"/>
      <c r="AH957" s="45"/>
      <c r="AI957" s="45"/>
      <c r="AJ957" s="45"/>
      <c r="AK957" s="45"/>
      <c r="AL957" s="45"/>
      <c r="AM957" s="45"/>
      <c r="AN957" s="45"/>
      <c r="AO957" s="90"/>
      <c r="AP957" s="46"/>
      <c r="AQ957" s="52"/>
      <c r="AR957" s="52"/>
      <c r="AS957" s="52"/>
    </row>
    <row r="958" spans="1:45" x14ac:dyDescent="0.2">
      <c r="A958" s="29"/>
      <c r="B958" s="45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  <c r="AG958" s="45"/>
      <c r="AH958" s="45"/>
      <c r="AI958" s="45"/>
      <c r="AJ958" s="45"/>
      <c r="AK958" s="45"/>
      <c r="AL958" s="45"/>
      <c r="AM958" s="45"/>
      <c r="AN958" s="45"/>
      <c r="AO958" s="90"/>
      <c r="AP958" s="46"/>
      <c r="AQ958" s="52"/>
      <c r="AR958" s="52"/>
      <c r="AS958" s="52"/>
    </row>
    <row r="959" spans="1:45" x14ac:dyDescent="0.2">
      <c r="A959" s="29"/>
      <c r="B959" s="45"/>
      <c r="C959" s="45"/>
      <c r="D959" s="45"/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  <c r="AG959" s="45"/>
      <c r="AH959" s="45"/>
      <c r="AI959" s="45"/>
      <c r="AJ959" s="45"/>
      <c r="AK959" s="45"/>
      <c r="AL959" s="45"/>
      <c r="AM959" s="45"/>
      <c r="AN959" s="45"/>
      <c r="AO959" s="90"/>
      <c r="AP959" s="46"/>
      <c r="AQ959" s="52"/>
      <c r="AR959" s="52"/>
      <c r="AS959" s="52"/>
    </row>
    <row r="960" spans="1:45" x14ac:dyDescent="0.2">
      <c r="A960" s="29"/>
      <c r="B960" s="45"/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  <c r="AG960" s="45"/>
      <c r="AH960" s="45"/>
      <c r="AI960" s="45"/>
      <c r="AJ960" s="45"/>
      <c r="AK960" s="45"/>
      <c r="AL960" s="45"/>
      <c r="AM960" s="45"/>
      <c r="AN960" s="45"/>
      <c r="AO960" s="90"/>
      <c r="AP960" s="46"/>
      <c r="AQ960" s="52"/>
      <c r="AR960" s="52"/>
      <c r="AS960" s="52"/>
    </row>
    <row r="961" spans="1:45" x14ac:dyDescent="0.2">
      <c r="A961" s="29"/>
      <c r="B961" s="45"/>
      <c r="C961" s="45"/>
      <c r="D961" s="45"/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  <c r="AG961" s="45"/>
      <c r="AH961" s="45"/>
      <c r="AI961" s="45"/>
      <c r="AJ961" s="45"/>
      <c r="AK961" s="45"/>
      <c r="AL961" s="45"/>
      <c r="AM961" s="45"/>
      <c r="AN961" s="45"/>
      <c r="AO961" s="90"/>
      <c r="AP961" s="46"/>
      <c r="AQ961" s="52"/>
      <c r="AR961" s="52"/>
      <c r="AS961" s="52"/>
    </row>
    <row r="962" spans="1:45" x14ac:dyDescent="0.2">
      <c r="A962" s="29"/>
      <c r="B962" s="45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  <c r="AG962" s="45"/>
      <c r="AH962" s="45"/>
      <c r="AI962" s="45"/>
      <c r="AJ962" s="45"/>
      <c r="AK962" s="45"/>
      <c r="AL962" s="45"/>
      <c r="AM962" s="45"/>
      <c r="AN962" s="45"/>
      <c r="AO962" s="90"/>
      <c r="AP962" s="46"/>
      <c r="AQ962" s="52"/>
      <c r="AR962" s="52"/>
      <c r="AS962" s="52"/>
    </row>
    <row r="963" spans="1:45" x14ac:dyDescent="0.2">
      <c r="A963" s="29"/>
      <c r="B963" s="45"/>
      <c r="C963" s="45"/>
      <c r="D963" s="45"/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  <c r="AG963" s="45"/>
      <c r="AH963" s="45"/>
      <c r="AI963" s="45"/>
      <c r="AJ963" s="45"/>
      <c r="AK963" s="45"/>
      <c r="AL963" s="45"/>
      <c r="AM963" s="45"/>
      <c r="AN963" s="45"/>
      <c r="AO963" s="90"/>
      <c r="AP963" s="46"/>
      <c r="AQ963" s="52"/>
      <c r="AR963" s="52"/>
      <c r="AS963" s="52"/>
    </row>
    <row r="964" spans="1:45" x14ac:dyDescent="0.2">
      <c r="A964" s="29"/>
      <c r="B964" s="45"/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  <c r="AG964" s="45"/>
      <c r="AH964" s="45"/>
      <c r="AI964" s="45"/>
      <c r="AJ964" s="45"/>
      <c r="AK964" s="45"/>
      <c r="AL964" s="45"/>
      <c r="AM964" s="45"/>
      <c r="AN964" s="45"/>
      <c r="AO964" s="90"/>
      <c r="AP964" s="46"/>
      <c r="AQ964" s="52"/>
      <c r="AR964" s="52"/>
      <c r="AS964" s="52"/>
    </row>
    <row r="965" spans="1:45" x14ac:dyDescent="0.2">
      <c r="A965" s="29"/>
      <c r="B965" s="45"/>
      <c r="C965" s="45"/>
      <c r="D965" s="45"/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  <c r="AG965" s="45"/>
      <c r="AH965" s="45"/>
      <c r="AI965" s="45"/>
      <c r="AJ965" s="45"/>
      <c r="AK965" s="45"/>
      <c r="AL965" s="45"/>
      <c r="AM965" s="45"/>
      <c r="AN965" s="45"/>
      <c r="AO965" s="90"/>
      <c r="AP965" s="46"/>
      <c r="AQ965" s="52"/>
      <c r="AR965" s="52"/>
      <c r="AS965" s="52"/>
    </row>
    <row r="966" spans="1:45" x14ac:dyDescent="0.2">
      <c r="A966" s="29"/>
      <c r="B966" s="45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  <c r="AG966" s="45"/>
      <c r="AH966" s="45"/>
      <c r="AI966" s="45"/>
      <c r="AJ966" s="45"/>
      <c r="AK966" s="45"/>
      <c r="AL966" s="45"/>
      <c r="AM966" s="45"/>
      <c r="AN966" s="45"/>
      <c r="AO966" s="90"/>
      <c r="AP966" s="46"/>
      <c r="AQ966" s="52"/>
      <c r="AR966" s="52"/>
      <c r="AS966" s="52"/>
    </row>
    <row r="967" spans="1:45" x14ac:dyDescent="0.2">
      <c r="A967" s="29"/>
      <c r="B967" s="45"/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  <c r="AG967" s="45"/>
      <c r="AH967" s="45"/>
      <c r="AI967" s="45"/>
      <c r="AJ967" s="45"/>
      <c r="AK967" s="45"/>
      <c r="AL967" s="45"/>
      <c r="AM967" s="45"/>
      <c r="AN967" s="45"/>
      <c r="AO967" s="90"/>
      <c r="AP967" s="46"/>
      <c r="AQ967" s="52"/>
      <c r="AR967" s="52"/>
      <c r="AS967" s="52"/>
    </row>
    <row r="968" spans="1:45" x14ac:dyDescent="0.2">
      <c r="A968" s="29"/>
      <c r="B968" s="45"/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  <c r="AG968" s="45"/>
      <c r="AH968" s="45"/>
      <c r="AI968" s="45"/>
      <c r="AJ968" s="45"/>
      <c r="AK968" s="45"/>
      <c r="AL968" s="45"/>
      <c r="AM968" s="45"/>
      <c r="AN968" s="45"/>
      <c r="AO968" s="90"/>
      <c r="AP968" s="46"/>
      <c r="AQ968" s="52"/>
      <c r="AR968" s="52"/>
      <c r="AS968" s="52"/>
    </row>
    <row r="969" spans="1:45" x14ac:dyDescent="0.2">
      <c r="A969" s="29"/>
      <c r="B969" s="45"/>
      <c r="C969" s="45"/>
      <c r="D969" s="45"/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  <c r="AG969" s="45"/>
      <c r="AH969" s="45"/>
      <c r="AI969" s="45"/>
      <c r="AJ969" s="45"/>
      <c r="AK969" s="45"/>
      <c r="AL969" s="45"/>
      <c r="AM969" s="45"/>
      <c r="AN969" s="45"/>
      <c r="AO969" s="90"/>
      <c r="AP969" s="46"/>
      <c r="AQ969" s="52"/>
      <c r="AR969" s="52"/>
      <c r="AS969" s="52"/>
    </row>
    <row r="970" spans="1:45" x14ac:dyDescent="0.2">
      <c r="A970" s="29"/>
      <c r="B970" s="45"/>
      <c r="C970" s="45"/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  <c r="AG970" s="45"/>
      <c r="AH970" s="45"/>
      <c r="AI970" s="45"/>
      <c r="AJ970" s="45"/>
      <c r="AK970" s="45"/>
      <c r="AL970" s="45"/>
      <c r="AM970" s="45"/>
      <c r="AN970" s="45"/>
      <c r="AO970" s="90"/>
      <c r="AP970" s="46"/>
      <c r="AQ970" s="52"/>
      <c r="AR970" s="52"/>
      <c r="AS970" s="52"/>
    </row>
    <row r="971" spans="1:45" x14ac:dyDescent="0.2">
      <c r="A971" s="29"/>
      <c r="B971" s="45"/>
      <c r="C971" s="45"/>
      <c r="D971" s="45"/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  <c r="AG971" s="45"/>
      <c r="AH971" s="45"/>
      <c r="AI971" s="45"/>
      <c r="AJ971" s="45"/>
      <c r="AK971" s="45"/>
      <c r="AL971" s="45"/>
      <c r="AM971" s="45"/>
      <c r="AN971" s="45"/>
      <c r="AO971" s="90"/>
      <c r="AP971" s="46"/>
      <c r="AQ971" s="52"/>
      <c r="AR971" s="52"/>
      <c r="AS971" s="52"/>
    </row>
    <row r="972" spans="1:45" x14ac:dyDescent="0.2">
      <c r="A972" s="29"/>
      <c r="B972" s="45"/>
      <c r="C972" s="45"/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  <c r="AG972" s="45"/>
      <c r="AH972" s="45"/>
      <c r="AI972" s="45"/>
      <c r="AJ972" s="45"/>
      <c r="AK972" s="45"/>
      <c r="AL972" s="45"/>
      <c r="AM972" s="45"/>
      <c r="AN972" s="45"/>
      <c r="AO972" s="90"/>
      <c r="AP972" s="46"/>
      <c r="AQ972" s="52"/>
      <c r="AR972" s="52"/>
      <c r="AS972" s="52"/>
    </row>
    <row r="973" spans="1:45" x14ac:dyDescent="0.2">
      <c r="A973" s="29"/>
      <c r="B973" s="45"/>
      <c r="C973" s="45"/>
      <c r="D973" s="45"/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  <c r="AG973" s="45"/>
      <c r="AH973" s="45"/>
      <c r="AI973" s="45"/>
      <c r="AJ973" s="45"/>
      <c r="AK973" s="45"/>
      <c r="AL973" s="45"/>
      <c r="AM973" s="45"/>
      <c r="AN973" s="45"/>
      <c r="AO973" s="90"/>
      <c r="AP973" s="46"/>
      <c r="AQ973" s="52"/>
      <c r="AR973" s="52"/>
      <c r="AS973" s="52"/>
    </row>
    <row r="974" spans="1:45" x14ac:dyDescent="0.2">
      <c r="A974" s="29"/>
      <c r="B974" s="45"/>
      <c r="C974" s="45"/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  <c r="AG974" s="45"/>
      <c r="AH974" s="45"/>
      <c r="AI974" s="45"/>
      <c r="AJ974" s="45"/>
      <c r="AK974" s="45"/>
      <c r="AL974" s="45"/>
      <c r="AM974" s="45"/>
      <c r="AN974" s="45"/>
      <c r="AO974" s="90"/>
      <c r="AP974" s="46"/>
      <c r="AQ974" s="52"/>
      <c r="AR974" s="52"/>
      <c r="AS974" s="52"/>
    </row>
    <row r="975" spans="1:45" x14ac:dyDescent="0.2">
      <c r="A975" s="29"/>
      <c r="B975" s="45"/>
      <c r="C975" s="45"/>
      <c r="D975" s="45"/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  <c r="AG975" s="45"/>
      <c r="AH975" s="45"/>
      <c r="AI975" s="45"/>
      <c r="AJ975" s="45"/>
      <c r="AK975" s="45"/>
      <c r="AL975" s="45"/>
      <c r="AM975" s="45"/>
      <c r="AN975" s="45"/>
      <c r="AO975" s="90"/>
      <c r="AP975" s="46"/>
      <c r="AQ975" s="52"/>
      <c r="AR975" s="52"/>
      <c r="AS975" s="52"/>
    </row>
    <row r="976" spans="1:45" x14ac:dyDescent="0.2">
      <c r="A976" s="29"/>
      <c r="B976" s="45"/>
      <c r="C976" s="45"/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  <c r="AG976" s="45"/>
      <c r="AH976" s="45"/>
      <c r="AI976" s="45"/>
      <c r="AJ976" s="45"/>
      <c r="AK976" s="45"/>
      <c r="AL976" s="45"/>
      <c r="AM976" s="45"/>
      <c r="AN976" s="45"/>
      <c r="AO976" s="90"/>
      <c r="AP976" s="46"/>
      <c r="AQ976" s="52"/>
      <c r="AR976" s="52"/>
      <c r="AS976" s="52"/>
    </row>
    <row r="977" spans="1:45" x14ac:dyDescent="0.2">
      <c r="A977" s="29"/>
      <c r="B977" s="45"/>
      <c r="C977" s="45"/>
      <c r="D977" s="45"/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  <c r="AG977" s="45"/>
      <c r="AH977" s="45"/>
      <c r="AI977" s="45"/>
      <c r="AJ977" s="45"/>
      <c r="AK977" s="45"/>
      <c r="AL977" s="45"/>
      <c r="AM977" s="45"/>
      <c r="AN977" s="45"/>
      <c r="AO977" s="90"/>
      <c r="AP977" s="46"/>
      <c r="AQ977" s="52"/>
      <c r="AR977" s="52"/>
      <c r="AS977" s="52"/>
    </row>
    <row r="978" spans="1:45" x14ac:dyDescent="0.2">
      <c r="A978" s="29"/>
      <c r="B978" s="45"/>
      <c r="C978" s="45"/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  <c r="AG978" s="45"/>
      <c r="AH978" s="45"/>
      <c r="AI978" s="45"/>
      <c r="AJ978" s="45"/>
      <c r="AK978" s="45"/>
      <c r="AL978" s="45"/>
      <c r="AM978" s="45"/>
      <c r="AN978" s="45"/>
      <c r="AO978" s="90"/>
      <c r="AP978" s="46"/>
      <c r="AQ978" s="52"/>
      <c r="AR978" s="52"/>
      <c r="AS978" s="52"/>
    </row>
    <row r="979" spans="1:45" x14ac:dyDescent="0.2">
      <c r="A979" s="29"/>
      <c r="B979" s="45"/>
      <c r="C979" s="45"/>
      <c r="D979" s="45"/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  <c r="AG979" s="45"/>
      <c r="AH979" s="45"/>
      <c r="AI979" s="45"/>
      <c r="AJ979" s="45"/>
      <c r="AK979" s="45"/>
      <c r="AL979" s="45"/>
      <c r="AM979" s="45"/>
      <c r="AN979" s="45"/>
      <c r="AO979" s="90"/>
      <c r="AP979" s="46"/>
      <c r="AQ979" s="52"/>
      <c r="AR979" s="52"/>
      <c r="AS979" s="52"/>
    </row>
    <row r="980" spans="1:45" x14ac:dyDescent="0.2">
      <c r="A980" s="29"/>
      <c r="B980" s="45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  <c r="AG980" s="45"/>
      <c r="AH980" s="45"/>
      <c r="AI980" s="45"/>
      <c r="AJ980" s="45"/>
      <c r="AK980" s="45"/>
      <c r="AL980" s="45"/>
      <c r="AM980" s="45"/>
      <c r="AN980" s="45"/>
      <c r="AO980" s="90"/>
      <c r="AP980" s="46"/>
      <c r="AQ980" s="52"/>
      <c r="AR980" s="52"/>
      <c r="AS980" s="52"/>
    </row>
    <row r="981" spans="1:45" x14ac:dyDescent="0.2">
      <c r="A981" s="29"/>
      <c r="B981" s="45"/>
      <c r="C981" s="45"/>
      <c r="D981" s="45"/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  <c r="AG981" s="45"/>
      <c r="AH981" s="45"/>
      <c r="AI981" s="45"/>
      <c r="AJ981" s="45"/>
      <c r="AK981" s="45"/>
      <c r="AL981" s="45"/>
      <c r="AM981" s="45"/>
      <c r="AN981" s="45"/>
      <c r="AO981" s="90"/>
      <c r="AP981" s="46"/>
      <c r="AQ981" s="52"/>
      <c r="AR981" s="52"/>
      <c r="AS981" s="52"/>
    </row>
    <row r="982" spans="1:45" x14ac:dyDescent="0.2">
      <c r="A982" s="29"/>
      <c r="B982" s="45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  <c r="AG982" s="45"/>
      <c r="AH982" s="45"/>
      <c r="AI982" s="45"/>
      <c r="AJ982" s="45"/>
      <c r="AK982" s="45"/>
      <c r="AL982" s="45"/>
      <c r="AM982" s="45"/>
      <c r="AN982" s="45"/>
      <c r="AO982" s="90"/>
      <c r="AP982" s="46"/>
      <c r="AQ982" s="52"/>
      <c r="AR982" s="52"/>
      <c r="AS982" s="52"/>
    </row>
    <row r="983" spans="1:45" x14ac:dyDescent="0.2">
      <c r="A983" s="29"/>
      <c r="B983" s="45"/>
      <c r="C983" s="45"/>
      <c r="D983" s="45"/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  <c r="AG983" s="45"/>
      <c r="AH983" s="45"/>
      <c r="AI983" s="45"/>
      <c r="AJ983" s="45"/>
      <c r="AK983" s="45"/>
      <c r="AL983" s="45"/>
      <c r="AM983" s="45"/>
      <c r="AN983" s="45"/>
      <c r="AO983" s="90"/>
      <c r="AP983" s="46"/>
      <c r="AQ983" s="52"/>
      <c r="AR983" s="52"/>
      <c r="AS983" s="52"/>
    </row>
    <row r="984" spans="1:45" x14ac:dyDescent="0.2">
      <c r="A984" s="29"/>
      <c r="B984" s="45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  <c r="AG984" s="45"/>
      <c r="AH984" s="45"/>
      <c r="AI984" s="45"/>
      <c r="AJ984" s="45"/>
      <c r="AK984" s="45"/>
      <c r="AL984" s="45"/>
      <c r="AM984" s="45"/>
      <c r="AN984" s="45"/>
      <c r="AO984" s="90"/>
      <c r="AP984" s="46"/>
      <c r="AQ984" s="52"/>
      <c r="AR984" s="52"/>
      <c r="AS984" s="52"/>
    </row>
    <row r="985" spans="1:45" x14ac:dyDescent="0.2">
      <c r="A985" s="29"/>
      <c r="B985" s="45"/>
      <c r="C985" s="45"/>
      <c r="D985" s="45"/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  <c r="AG985" s="45"/>
      <c r="AH985" s="45"/>
      <c r="AI985" s="45"/>
      <c r="AJ985" s="45"/>
      <c r="AK985" s="45"/>
      <c r="AL985" s="45"/>
      <c r="AM985" s="45"/>
      <c r="AN985" s="45"/>
      <c r="AO985" s="90"/>
      <c r="AP985" s="46"/>
      <c r="AQ985" s="52"/>
      <c r="AR985" s="52"/>
      <c r="AS985" s="52"/>
    </row>
    <row r="986" spans="1:45" x14ac:dyDescent="0.2">
      <c r="A986" s="29"/>
      <c r="B986" s="45"/>
      <c r="C986" s="45"/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  <c r="AG986" s="45"/>
      <c r="AH986" s="45"/>
      <c r="AI986" s="45"/>
      <c r="AJ986" s="45"/>
      <c r="AK986" s="45"/>
      <c r="AL986" s="45"/>
      <c r="AM986" s="45"/>
      <c r="AN986" s="45"/>
      <c r="AO986" s="90"/>
      <c r="AP986" s="46"/>
      <c r="AQ986" s="52"/>
      <c r="AR986" s="52"/>
      <c r="AS986" s="52"/>
    </row>
    <row r="987" spans="1:45" x14ac:dyDescent="0.2">
      <c r="A987" s="29"/>
      <c r="B987" s="45"/>
      <c r="C987" s="45"/>
      <c r="D987" s="45"/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  <c r="AG987" s="45"/>
      <c r="AH987" s="45"/>
      <c r="AI987" s="45"/>
      <c r="AJ987" s="45"/>
      <c r="AK987" s="45"/>
      <c r="AL987" s="45"/>
      <c r="AM987" s="45"/>
      <c r="AN987" s="45"/>
      <c r="AO987" s="90"/>
      <c r="AP987" s="46"/>
      <c r="AQ987" s="52"/>
      <c r="AR987" s="52"/>
      <c r="AS987" s="52"/>
    </row>
    <row r="988" spans="1:45" x14ac:dyDescent="0.2">
      <c r="A988" s="29"/>
      <c r="B988" s="45"/>
      <c r="C988" s="45"/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  <c r="AG988" s="45"/>
      <c r="AH988" s="45"/>
      <c r="AI988" s="45"/>
      <c r="AJ988" s="45"/>
      <c r="AK988" s="45"/>
      <c r="AL988" s="45"/>
      <c r="AM988" s="45"/>
      <c r="AN988" s="45"/>
      <c r="AO988" s="90"/>
      <c r="AP988" s="46"/>
      <c r="AQ988" s="52"/>
      <c r="AR988" s="52"/>
      <c r="AS988" s="52"/>
    </row>
    <row r="989" spans="1:45" x14ac:dyDescent="0.2">
      <c r="A989" s="29"/>
      <c r="B989" s="45"/>
      <c r="C989" s="45"/>
      <c r="D989" s="45"/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  <c r="AG989" s="45"/>
      <c r="AH989" s="45"/>
      <c r="AI989" s="45"/>
      <c r="AJ989" s="45"/>
      <c r="AK989" s="45"/>
      <c r="AL989" s="45"/>
      <c r="AM989" s="45"/>
      <c r="AN989" s="45"/>
      <c r="AO989" s="90"/>
      <c r="AP989" s="46"/>
      <c r="AQ989" s="52"/>
      <c r="AR989" s="52"/>
      <c r="AS989" s="52"/>
    </row>
    <row r="990" spans="1:45" x14ac:dyDescent="0.2">
      <c r="A990" s="29"/>
      <c r="B990" s="45"/>
      <c r="C990" s="45"/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  <c r="AG990" s="45"/>
      <c r="AH990" s="45"/>
      <c r="AI990" s="45"/>
      <c r="AJ990" s="45"/>
      <c r="AK990" s="45"/>
      <c r="AL990" s="45"/>
      <c r="AM990" s="45"/>
      <c r="AN990" s="45"/>
      <c r="AO990" s="90"/>
      <c r="AP990" s="46"/>
      <c r="AQ990" s="52"/>
      <c r="AR990" s="52"/>
      <c r="AS990" s="52"/>
    </row>
    <row r="991" spans="1:45" x14ac:dyDescent="0.2">
      <c r="A991" s="29"/>
      <c r="B991" s="45"/>
      <c r="C991" s="45"/>
      <c r="D991" s="45"/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  <c r="AG991" s="45"/>
      <c r="AH991" s="45"/>
      <c r="AI991" s="45"/>
      <c r="AJ991" s="45"/>
      <c r="AK991" s="45"/>
      <c r="AL991" s="45"/>
      <c r="AM991" s="45"/>
      <c r="AN991" s="45"/>
      <c r="AO991" s="90"/>
      <c r="AP991" s="46"/>
      <c r="AQ991" s="52"/>
      <c r="AR991" s="52"/>
      <c r="AS991" s="52"/>
    </row>
    <row r="992" spans="1:45" x14ac:dyDescent="0.2">
      <c r="A992" s="29"/>
      <c r="B992" s="45"/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  <c r="AG992" s="45"/>
      <c r="AH992" s="45"/>
      <c r="AI992" s="45"/>
      <c r="AJ992" s="45"/>
      <c r="AK992" s="45"/>
      <c r="AL992" s="45"/>
      <c r="AM992" s="45"/>
      <c r="AN992" s="45"/>
      <c r="AO992" s="90"/>
      <c r="AP992" s="46"/>
      <c r="AQ992" s="52"/>
      <c r="AR992" s="52"/>
      <c r="AS992" s="52"/>
    </row>
    <row r="993" spans="1:45" x14ac:dyDescent="0.2">
      <c r="A993" s="29"/>
      <c r="B993" s="45"/>
      <c r="C993" s="45"/>
      <c r="D993" s="45"/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  <c r="AG993" s="45"/>
      <c r="AH993" s="45"/>
      <c r="AI993" s="45"/>
      <c r="AJ993" s="45"/>
      <c r="AK993" s="45"/>
      <c r="AL993" s="45"/>
      <c r="AM993" s="45"/>
      <c r="AN993" s="45"/>
      <c r="AO993" s="90"/>
      <c r="AP993" s="46"/>
      <c r="AQ993" s="52"/>
      <c r="AR993" s="52"/>
      <c r="AS993" s="52"/>
    </row>
    <row r="994" spans="1:45" x14ac:dyDescent="0.2">
      <c r="A994" s="29"/>
      <c r="B994" s="45"/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  <c r="AG994" s="45"/>
      <c r="AH994" s="45"/>
      <c r="AI994" s="45"/>
      <c r="AJ994" s="45"/>
      <c r="AK994" s="45"/>
      <c r="AL994" s="45"/>
      <c r="AM994" s="45"/>
      <c r="AN994" s="45"/>
      <c r="AO994" s="90"/>
      <c r="AP994" s="46"/>
      <c r="AQ994" s="52"/>
      <c r="AR994" s="52"/>
      <c r="AS994" s="52"/>
    </row>
    <row r="995" spans="1:45" x14ac:dyDescent="0.2">
      <c r="A995" s="29"/>
      <c r="B995" s="45"/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  <c r="AG995" s="45"/>
      <c r="AH995" s="45"/>
      <c r="AI995" s="45"/>
      <c r="AJ995" s="45"/>
      <c r="AK995" s="45"/>
      <c r="AL995" s="45"/>
      <c r="AM995" s="45"/>
      <c r="AN995" s="45"/>
      <c r="AO995" s="90"/>
      <c r="AP995" s="46"/>
      <c r="AQ995" s="52"/>
      <c r="AR995" s="52"/>
      <c r="AS995" s="52"/>
    </row>
    <row r="996" spans="1:45" x14ac:dyDescent="0.2">
      <c r="A996" s="29"/>
      <c r="B996" s="45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  <c r="AG996" s="45"/>
      <c r="AH996" s="45"/>
      <c r="AI996" s="45"/>
      <c r="AJ996" s="45"/>
      <c r="AK996" s="45"/>
      <c r="AL996" s="45"/>
      <c r="AM996" s="45"/>
      <c r="AN996" s="45"/>
      <c r="AO996" s="90"/>
      <c r="AP996" s="46"/>
      <c r="AQ996" s="52"/>
      <c r="AR996" s="52"/>
      <c r="AS996" s="52"/>
    </row>
    <row r="997" spans="1:45" x14ac:dyDescent="0.2">
      <c r="A997" s="29"/>
      <c r="B997" s="45"/>
      <c r="C997" s="45"/>
      <c r="D997" s="45"/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  <c r="AG997" s="45"/>
      <c r="AH997" s="45"/>
      <c r="AI997" s="45"/>
      <c r="AJ997" s="45"/>
      <c r="AK997" s="45"/>
      <c r="AL997" s="45"/>
      <c r="AM997" s="45"/>
      <c r="AN997" s="45"/>
      <c r="AO997" s="90"/>
      <c r="AP997" s="46"/>
      <c r="AQ997" s="52"/>
      <c r="AR997" s="52"/>
      <c r="AS997" s="52"/>
    </row>
    <row r="998" spans="1:45" x14ac:dyDescent="0.2">
      <c r="A998" s="29"/>
      <c r="B998" s="45"/>
      <c r="C998" s="45"/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  <c r="AG998" s="45"/>
      <c r="AH998" s="45"/>
      <c r="AI998" s="45"/>
      <c r="AJ998" s="45"/>
      <c r="AK998" s="45"/>
      <c r="AL998" s="45"/>
      <c r="AM998" s="45"/>
      <c r="AN998" s="45"/>
      <c r="AO998" s="90"/>
      <c r="AP998" s="46"/>
      <c r="AQ998" s="52"/>
      <c r="AR998" s="52"/>
      <c r="AS998" s="52"/>
    </row>
    <row r="999" spans="1:45" x14ac:dyDescent="0.2">
      <c r="A999" s="29"/>
      <c r="B999" s="45"/>
      <c r="C999" s="45"/>
      <c r="D999" s="45"/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  <c r="AG999" s="45"/>
      <c r="AH999" s="45"/>
      <c r="AI999" s="45"/>
      <c r="AJ999" s="45"/>
      <c r="AK999" s="45"/>
      <c r="AL999" s="45"/>
      <c r="AM999" s="45"/>
      <c r="AN999" s="45"/>
      <c r="AO999" s="90"/>
      <c r="AP999" s="46"/>
      <c r="AQ999" s="52"/>
      <c r="AR999" s="52"/>
      <c r="AS999" s="52"/>
    </row>
    <row r="1000" spans="1:45" x14ac:dyDescent="0.2">
      <c r="A1000" s="29"/>
      <c r="B1000" s="45"/>
      <c r="C1000" s="45"/>
      <c r="D1000" s="45"/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  <c r="AG1000" s="45"/>
      <c r="AH1000" s="45"/>
      <c r="AI1000" s="45"/>
      <c r="AJ1000" s="45"/>
      <c r="AK1000" s="45"/>
      <c r="AL1000" s="45"/>
      <c r="AM1000" s="45"/>
      <c r="AN1000" s="45"/>
      <c r="AO1000" s="90"/>
      <c r="AP1000" s="46"/>
      <c r="AQ1000" s="52"/>
      <c r="AR1000" s="52"/>
      <c r="AS1000" s="52"/>
    </row>
    <row r="1001" spans="1:45" x14ac:dyDescent="0.2">
      <c r="A1001" s="29"/>
      <c r="B1001" s="45"/>
      <c r="C1001" s="45"/>
      <c r="D1001" s="45"/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  <c r="AG1001" s="45"/>
      <c r="AH1001" s="45"/>
      <c r="AI1001" s="45"/>
      <c r="AJ1001" s="45"/>
      <c r="AK1001" s="45"/>
      <c r="AL1001" s="45"/>
      <c r="AM1001" s="45"/>
      <c r="AN1001" s="45"/>
      <c r="AO1001" s="90"/>
      <c r="AP1001" s="46"/>
      <c r="AQ1001" s="52"/>
      <c r="AR1001" s="52"/>
      <c r="AS1001" s="52"/>
    </row>
    <row r="1002" spans="1:45" x14ac:dyDescent="0.2">
      <c r="A1002" s="29"/>
      <c r="B1002" s="45"/>
      <c r="C1002" s="45"/>
      <c r="D1002" s="45"/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  <c r="AG1002" s="45"/>
      <c r="AH1002" s="45"/>
      <c r="AI1002" s="45"/>
      <c r="AJ1002" s="45"/>
      <c r="AK1002" s="45"/>
      <c r="AL1002" s="45"/>
      <c r="AM1002" s="45"/>
      <c r="AN1002" s="45"/>
      <c r="AO1002" s="90"/>
      <c r="AP1002" s="46"/>
      <c r="AQ1002" s="52"/>
      <c r="AR1002" s="52"/>
      <c r="AS1002" s="52"/>
    </row>
    <row r="1003" spans="1:45" x14ac:dyDescent="0.2">
      <c r="A1003" s="29"/>
      <c r="B1003" s="45"/>
      <c r="C1003" s="45"/>
      <c r="D1003" s="45"/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  <c r="AG1003" s="45"/>
      <c r="AH1003" s="45"/>
      <c r="AI1003" s="45"/>
      <c r="AJ1003" s="45"/>
      <c r="AK1003" s="45"/>
      <c r="AL1003" s="45"/>
      <c r="AM1003" s="45"/>
      <c r="AN1003" s="45"/>
      <c r="AO1003" s="90"/>
      <c r="AP1003" s="46"/>
      <c r="AQ1003" s="52"/>
      <c r="AR1003" s="52"/>
      <c r="AS1003" s="52"/>
    </row>
    <row r="1004" spans="1:45" x14ac:dyDescent="0.2">
      <c r="A1004" s="29"/>
      <c r="B1004" s="45"/>
      <c r="C1004" s="45"/>
      <c r="D1004" s="45"/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  <c r="AG1004" s="45"/>
      <c r="AH1004" s="45"/>
      <c r="AI1004" s="45"/>
      <c r="AJ1004" s="45"/>
      <c r="AK1004" s="45"/>
      <c r="AL1004" s="45"/>
      <c r="AM1004" s="45"/>
      <c r="AN1004" s="45"/>
      <c r="AO1004" s="90"/>
      <c r="AP1004" s="46"/>
      <c r="AQ1004" s="52"/>
      <c r="AR1004" s="52"/>
      <c r="AS1004" s="52"/>
    </row>
    <row r="1005" spans="1:45" x14ac:dyDescent="0.2">
      <c r="A1005" s="29"/>
      <c r="B1005" s="45"/>
      <c r="C1005" s="45"/>
      <c r="D1005" s="45"/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  <c r="AG1005" s="45"/>
      <c r="AH1005" s="45"/>
      <c r="AI1005" s="45"/>
      <c r="AJ1005" s="45"/>
      <c r="AK1005" s="45"/>
      <c r="AL1005" s="45"/>
      <c r="AM1005" s="45"/>
      <c r="AN1005" s="45"/>
      <c r="AO1005" s="90"/>
      <c r="AP1005" s="46"/>
      <c r="AQ1005" s="52"/>
      <c r="AR1005" s="52"/>
      <c r="AS1005" s="52"/>
    </row>
    <row r="1006" spans="1:45" x14ac:dyDescent="0.2">
      <c r="A1006" s="29"/>
      <c r="B1006" s="45"/>
      <c r="C1006" s="45"/>
      <c r="D1006" s="45"/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  <c r="AG1006" s="45"/>
      <c r="AH1006" s="45"/>
      <c r="AI1006" s="45"/>
      <c r="AJ1006" s="45"/>
      <c r="AK1006" s="45"/>
      <c r="AL1006" s="45"/>
      <c r="AM1006" s="45"/>
      <c r="AN1006" s="45"/>
      <c r="AO1006" s="90"/>
      <c r="AP1006" s="46"/>
      <c r="AQ1006" s="52"/>
      <c r="AR1006" s="52"/>
      <c r="AS1006" s="52"/>
    </row>
    <row r="1007" spans="1:45" x14ac:dyDescent="0.2">
      <c r="A1007" s="29"/>
      <c r="B1007" s="45"/>
      <c r="C1007" s="45"/>
      <c r="D1007" s="45"/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  <c r="AA1007" s="45"/>
      <c r="AB1007" s="45"/>
      <c r="AC1007" s="45"/>
      <c r="AD1007" s="45"/>
      <c r="AE1007" s="45"/>
      <c r="AF1007" s="45"/>
      <c r="AG1007" s="45"/>
      <c r="AH1007" s="45"/>
      <c r="AI1007" s="45"/>
      <c r="AJ1007" s="45"/>
      <c r="AK1007" s="45"/>
      <c r="AL1007" s="45"/>
      <c r="AM1007" s="45"/>
      <c r="AN1007" s="45"/>
      <c r="AO1007" s="90"/>
      <c r="AP1007" s="46"/>
      <c r="AQ1007" s="52"/>
      <c r="AR1007" s="52"/>
      <c r="AS1007" s="52"/>
    </row>
    <row r="1008" spans="1:45" x14ac:dyDescent="0.2">
      <c r="A1008" s="29"/>
      <c r="B1008" s="45"/>
      <c r="C1008" s="45"/>
      <c r="D1008" s="45"/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  <c r="AA1008" s="45"/>
      <c r="AB1008" s="45"/>
      <c r="AC1008" s="45"/>
      <c r="AD1008" s="45"/>
      <c r="AE1008" s="45"/>
      <c r="AF1008" s="45"/>
      <c r="AG1008" s="45"/>
      <c r="AH1008" s="45"/>
      <c r="AI1008" s="45"/>
      <c r="AJ1008" s="45"/>
      <c r="AK1008" s="45"/>
      <c r="AL1008" s="45"/>
      <c r="AM1008" s="45"/>
      <c r="AN1008" s="45"/>
      <c r="AO1008" s="90"/>
      <c r="AP1008" s="46"/>
      <c r="AQ1008" s="52"/>
      <c r="AR1008" s="52"/>
      <c r="AS1008" s="52"/>
    </row>
    <row r="1009" spans="1:45" x14ac:dyDescent="0.2">
      <c r="A1009" s="29"/>
      <c r="B1009" s="45"/>
      <c r="C1009" s="45"/>
      <c r="D1009" s="45"/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  <c r="AE1009" s="45"/>
      <c r="AF1009" s="45"/>
      <c r="AG1009" s="45"/>
      <c r="AH1009" s="45"/>
      <c r="AI1009" s="45"/>
      <c r="AJ1009" s="45"/>
      <c r="AK1009" s="45"/>
      <c r="AL1009" s="45"/>
      <c r="AM1009" s="45"/>
      <c r="AN1009" s="45"/>
      <c r="AO1009" s="90"/>
      <c r="AP1009" s="46"/>
      <c r="AQ1009" s="52"/>
      <c r="AR1009" s="52"/>
      <c r="AS1009" s="52"/>
    </row>
    <row r="1010" spans="1:45" x14ac:dyDescent="0.2">
      <c r="A1010" s="29"/>
      <c r="B1010" s="45"/>
      <c r="C1010" s="45"/>
      <c r="D1010" s="45"/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  <c r="AE1010" s="45"/>
      <c r="AF1010" s="45"/>
      <c r="AG1010" s="45"/>
      <c r="AH1010" s="45"/>
      <c r="AI1010" s="45"/>
      <c r="AJ1010" s="45"/>
      <c r="AK1010" s="45"/>
      <c r="AL1010" s="45"/>
      <c r="AM1010" s="45"/>
      <c r="AN1010" s="45"/>
      <c r="AO1010" s="90"/>
      <c r="AP1010" s="46"/>
      <c r="AQ1010" s="52"/>
      <c r="AR1010" s="52"/>
      <c r="AS1010" s="52"/>
    </row>
    <row r="1011" spans="1:45" x14ac:dyDescent="0.2">
      <c r="A1011" s="29"/>
      <c r="B1011" s="45"/>
      <c r="C1011" s="45"/>
      <c r="D1011" s="45"/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  <c r="AE1011" s="45"/>
      <c r="AF1011" s="45"/>
      <c r="AG1011" s="45"/>
      <c r="AH1011" s="45"/>
      <c r="AI1011" s="45"/>
      <c r="AJ1011" s="45"/>
      <c r="AK1011" s="45"/>
      <c r="AL1011" s="45"/>
      <c r="AM1011" s="45"/>
      <c r="AN1011" s="45"/>
      <c r="AO1011" s="90"/>
      <c r="AP1011" s="46"/>
      <c r="AQ1011" s="52"/>
      <c r="AR1011" s="52"/>
      <c r="AS1011" s="52"/>
    </row>
    <row r="1012" spans="1:45" x14ac:dyDescent="0.2">
      <c r="A1012" s="47"/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  <c r="AA1012" s="48"/>
      <c r="AB1012" s="48"/>
      <c r="AC1012" s="48"/>
      <c r="AD1012" s="48"/>
      <c r="AE1012" s="48"/>
      <c r="AF1012" s="48"/>
      <c r="AG1012" s="48"/>
      <c r="AH1012" s="48"/>
      <c r="AI1012" s="48"/>
      <c r="AJ1012" s="48"/>
      <c r="AK1012" s="48"/>
      <c r="AL1012" s="48"/>
      <c r="AM1012" s="48"/>
      <c r="AN1012" s="48"/>
      <c r="AO1012" s="92"/>
      <c r="AP1012" s="49"/>
      <c r="AQ1012" s="52"/>
      <c r="AR1012" s="52"/>
      <c r="AS1012" s="52"/>
    </row>
  </sheetData>
  <mergeCells count="2">
    <mergeCell ref="B11:C11"/>
    <mergeCell ref="D75:D77"/>
  </mergeCells>
  <conditionalFormatting sqref="J61:J73 J14:J59 L61:L73 L14:L59 N61:N73 N14:N59 P61:P73 P14:P59 R61:R73 R14:R59 T61:T73 T14:T59 V61:V73 V14:V59 X61:X73 X14:X59 Z61:Z73 Z14:Z59 AB61:AB73 AB14:AB59 AD61:AD73 AD14:AD59 AF61:AF73 AF14:AF59 AH61:AH73 AH14:AH59 AJ61:AJ73 AJ14:AJ59 AL61:AL73 AL14:AL59 AN61:AN73 AN14:AN59 AP61:AP73 AP14:AP59 AR61:AR73 AR14:AR59 F61:F73 F14:F59 H61:H73 H14:H59">
    <cfRule type="cellIs" dxfId="117" priority="86" operator="equal">
      <formula>$D$4</formula>
    </cfRule>
  </conditionalFormatting>
  <conditionalFormatting sqref="J61:J73 J14:J59 L61:L73 L14:L59 N61:N73 N14:N59 P61:P73 P14:P59 R61:R73 R14:R59 T61:T73 T14:T59 V61:V73 V14:V59 X61:X73 X14:X59 Z61:Z73 Z14:Z59 AB61:AB73 AB14:AB59 AD61:AD73 AD14:AD59 AF61:AF73 AF14:AF59 AH61:AH73 AH14:AH59 AJ61:AJ73 AJ14:AJ59 AL61:AL73 AL14:AL59 AN61:AN73 AN14:AN59 AP61:AP73 AP14:AP59 AR61:AR73 AR14:AR59 F61:F73 F14:F59 H61:H73 H14:H59">
    <cfRule type="cellIs" dxfId="116" priority="85" operator="equal">
      <formula>$D$5</formula>
    </cfRule>
  </conditionalFormatting>
  <conditionalFormatting sqref="J61:J73 J14:J59 L61:L73 L14:L59 N61:N73 N14:N59 P61:P73 P14:P59 R61:R73 R14:R59 T61:T73 T14:T59 V61:V73 V14:V59 X61:X73 X14:X59 Z61:Z73 Z14:Z59 AB61:AB73 AB14:AB59 AD61:AD73 AD14:AD59 AF61:AF73 AF14:AF59 AH61:AH73 AH14:AH59 AJ61:AJ73 AJ14:AJ59 AL61:AL73 AL14:AL59 AN61:AN73 AN14:AN59 AP61:AP73 AP14:AP59 AR61:AR73 AR14:AR59 F61:F73 F14:F59 H61:H73 H14:H59">
    <cfRule type="cellIs" dxfId="115" priority="84" operator="equal">
      <formula>$D$6</formula>
    </cfRule>
  </conditionalFormatting>
  <conditionalFormatting sqref="J61:J73 J14:J59 L61:L73 L14:L59 N61:N73 N14:N59 P61:P73 P14:P59 R61:R73 R14:R59 T61:T73 T14:T59 V61:V73 V14:V59 X61:X73 X14:X59 Z61:Z73 Z14:Z59 AB61:AB73 AB14:AB59 AD61:AD73 AD14:AD59 AF61:AF73 AF14:AF59 AH61:AH73 AH14:AH59 AJ61:AJ73 AJ14:AJ59 AL61:AL73 AL14:AL59 AN61:AN73 AN14:AN59 AP61:AP73 AP14:AP59 AR61:AR73 AR14:AR59 F61:F73 F14:F59 H61:H73 H14:H59">
    <cfRule type="cellIs" priority="83" operator="equal">
      <formula>$D$7</formula>
    </cfRule>
  </conditionalFormatting>
  <conditionalFormatting sqref="J60 L60 N60 P60 R60 T60 V60 X60 Z60 AB60 AD60 AF60 AH60 AJ60 AL60 AN60 AP60 AR60">
    <cfRule type="cellIs" dxfId="114" priority="82" operator="equal">
      <formula>$D$4</formula>
    </cfRule>
  </conditionalFormatting>
  <conditionalFormatting sqref="J60 L60 N60 P60 R60 T60 V60 X60 Z60 AB60 AD60 AF60 AH60 AJ60 AL60 AN60 AP60 AR60">
    <cfRule type="cellIs" dxfId="113" priority="81" operator="equal">
      <formula>$D$5</formula>
    </cfRule>
  </conditionalFormatting>
  <conditionalFormatting sqref="J60 L60 N60 P60 R60 T60 V60 X60 Z60 AB60 AD60 AF60 AH60 AJ60 AL60 AN60 AP60 AR60">
    <cfRule type="cellIs" dxfId="112" priority="80" operator="equal">
      <formula>$D$6</formula>
    </cfRule>
  </conditionalFormatting>
  <conditionalFormatting sqref="J60 L60 N60 P60 R60 T60 V60 X60 Z60 AB60 AD60 AF60 AH60 AJ60 AL60 AN60 AP60 AR60">
    <cfRule type="cellIs" priority="79" operator="equal">
      <formula>$D$7</formula>
    </cfRule>
  </conditionalFormatting>
  <conditionalFormatting sqref="G14:G73">
    <cfRule type="cellIs" dxfId="111" priority="68" operator="equal">
      <formula>$D$6</formula>
    </cfRule>
  </conditionalFormatting>
  <conditionalFormatting sqref="G14:G73">
    <cfRule type="cellIs" dxfId="110" priority="67" operator="equal">
      <formula>$D$5</formula>
    </cfRule>
  </conditionalFormatting>
  <conditionalFormatting sqref="G14:G73">
    <cfRule type="cellIs" dxfId="109" priority="66" operator="equal">
      <formula>$D$4</formula>
    </cfRule>
  </conditionalFormatting>
  <conditionalFormatting sqref="I14:I73">
    <cfRule type="cellIs" dxfId="108" priority="65" operator="equal">
      <formula>$D$6</formula>
    </cfRule>
  </conditionalFormatting>
  <conditionalFormatting sqref="I14:I73">
    <cfRule type="cellIs" dxfId="107" priority="64" operator="equal">
      <formula>$D$5</formula>
    </cfRule>
  </conditionalFormatting>
  <conditionalFormatting sqref="I14:I73">
    <cfRule type="cellIs" dxfId="106" priority="63" operator="equal">
      <formula>$D$4</formula>
    </cfRule>
  </conditionalFormatting>
  <conditionalFormatting sqref="K14:K73">
    <cfRule type="cellIs" dxfId="105" priority="62" operator="equal">
      <formula>$D$6</formula>
    </cfRule>
  </conditionalFormatting>
  <conditionalFormatting sqref="K14:K73">
    <cfRule type="cellIs" dxfId="104" priority="61" operator="equal">
      <formula>$D$5</formula>
    </cfRule>
  </conditionalFormatting>
  <conditionalFormatting sqref="K14:K73">
    <cfRule type="cellIs" dxfId="103" priority="60" operator="equal">
      <formula>$D$4</formula>
    </cfRule>
  </conditionalFormatting>
  <conditionalFormatting sqref="M14:M73">
    <cfRule type="cellIs" dxfId="102" priority="59" operator="equal">
      <formula>$D$6</formula>
    </cfRule>
  </conditionalFormatting>
  <conditionalFormatting sqref="M14:M73">
    <cfRule type="cellIs" dxfId="101" priority="58" operator="equal">
      <formula>$D$5</formula>
    </cfRule>
  </conditionalFormatting>
  <conditionalFormatting sqref="M14:M73">
    <cfRule type="cellIs" dxfId="100" priority="57" operator="equal">
      <formula>$D$4</formula>
    </cfRule>
  </conditionalFormatting>
  <conditionalFormatting sqref="O14:O73">
    <cfRule type="cellIs" dxfId="99" priority="56" operator="equal">
      <formula>$D$6</formula>
    </cfRule>
  </conditionalFormatting>
  <conditionalFormatting sqref="O14:O73">
    <cfRule type="cellIs" dxfId="98" priority="55" operator="equal">
      <formula>$D$5</formula>
    </cfRule>
  </conditionalFormatting>
  <conditionalFormatting sqref="O14:O73">
    <cfRule type="cellIs" dxfId="97" priority="54" operator="equal">
      <formula>$D$4</formula>
    </cfRule>
  </conditionalFormatting>
  <conditionalFormatting sqref="Q14:Q73">
    <cfRule type="cellIs" dxfId="96" priority="53" operator="equal">
      <formula>$D$6</formula>
    </cfRule>
  </conditionalFormatting>
  <conditionalFormatting sqref="Q14:Q73">
    <cfRule type="cellIs" dxfId="95" priority="52" operator="equal">
      <formula>$D$5</formula>
    </cfRule>
  </conditionalFormatting>
  <conditionalFormatting sqref="Q14:Q73">
    <cfRule type="cellIs" dxfId="94" priority="51" operator="equal">
      <formula>$D$4</formula>
    </cfRule>
  </conditionalFormatting>
  <conditionalFormatting sqref="S14:S73">
    <cfRule type="cellIs" dxfId="93" priority="50" operator="equal">
      <formula>$D$6</formula>
    </cfRule>
  </conditionalFormatting>
  <conditionalFormatting sqref="S14:S73">
    <cfRule type="cellIs" dxfId="92" priority="49" operator="equal">
      <formula>$D$5</formula>
    </cfRule>
  </conditionalFormatting>
  <conditionalFormatting sqref="S14:S73">
    <cfRule type="cellIs" dxfId="91" priority="48" operator="equal">
      <formula>$D$4</formula>
    </cfRule>
  </conditionalFormatting>
  <conditionalFormatting sqref="U14:U73">
    <cfRule type="cellIs" dxfId="90" priority="47" operator="equal">
      <formula>$D$6</formula>
    </cfRule>
  </conditionalFormatting>
  <conditionalFormatting sqref="U14:U73">
    <cfRule type="cellIs" dxfId="89" priority="46" operator="equal">
      <formula>$D$5</formula>
    </cfRule>
  </conditionalFormatting>
  <conditionalFormatting sqref="U14:U73">
    <cfRule type="cellIs" dxfId="88" priority="45" operator="equal">
      <formula>$D$4</formula>
    </cfRule>
  </conditionalFormatting>
  <conditionalFormatting sqref="W14:W73">
    <cfRule type="cellIs" dxfId="87" priority="44" operator="equal">
      <formula>$D$6</formula>
    </cfRule>
  </conditionalFormatting>
  <conditionalFormatting sqref="W14:W73">
    <cfRule type="cellIs" dxfId="86" priority="43" operator="equal">
      <formula>$D$5</formula>
    </cfRule>
  </conditionalFormatting>
  <conditionalFormatting sqref="W14:W73">
    <cfRule type="cellIs" dxfId="85" priority="42" operator="equal">
      <formula>$D$4</formula>
    </cfRule>
  </conditionalFormatting>
  <conditionalFormatting sqref="Y14:Y73">
    <cfRule type="cellIs" dxfId="84" priority="41" operator="equal">
      <formula>$D$6</formula>
    </cfRule>
  </conditionalFormatting>
  <conditionalFormatting sqref="Y14:Y73">
    <cfRule type="cellIs" dxfId="83" priority="40" operator="equal">
      <formula>$D$5</formula>
    </cfRule>
  </conditionalFormatting>
  <conditionalFormatting sqref="Y14:Y73">
    <cfRule type="cellIs" dxfId="82" priority="39" operator="equal">
      <formula>$D$4</formula>
    </cfRule>
  </conditionalFormatting>
  <conditionalFormatting sqref="AA14:AA73">
    <cfRule type="cellIs" dxfId="81" priority="38" operator="equal">
      <formula>$D$6</formula>
    </cfRule>
  </conditionalFormatting>
  <conditionalFormatting sqref="AA14:AA73">
    <cfRule type="cellIs" dxfId="80" priority="37" operator="equal">
      <formula>$D$5</formula>
    </cfRule>
  </conditionalFormatting>
  <conditionalFormatting sqref="AA14:AA73">
    <cfRule type="cellIs" dxfId="79" priority="36" operator="equal">
      <formula>$D$4</formula>
    </cfRule>
  </conditionalFormatting>
  <conditionalFormatting sqref="AC14:AC73">
    <cfRule type="cellIs" dxfId="78" priority="35" operator="equal">
      <formula>$D$6</formula>
    </cfRule>
  </conditionalFormatting>
  <conditionalFormatting sqref="AC14:AC73">
    <cfRule type="cellIs" dxfId="77" priority="34" operator="equal">
      <formula>$D$5</formula>
    </cfRule>
  </conditionalFormatting>
  <conditionalFormatting sqref="AC14:AC73">
    <cfRule type="cellIs" dxfId="76" priority="33" operator="equal">
      <formula>$D$4</formula>
    </cfRule>
  </conditionalFormatting>
  <conditionalFormatting sqref="AE14:AE73">
    <cfRule type="cellIs" dxfId="75" priority="32" operator="equal">
      <formula>$D$6</formula>
    </cfRule>
  </conditionalFormatting>
  <conditionalFormatting sqref="AE14:AE73">
    <cfRule type="cellIs" dxfId="74" priority="31" operator="equal">
      <formula>$D$5</formula>
    </cfRule>
  </conditionalFormatting>
  <conditionalFormatting sqref="AE14:AE73">
    <cfRule type="cellIs" dxfId="73" priority="30" operator="equal">
      <formula>$D$4</formula>
    </cfRule>
  </conditionalFormatting>
  <conditionalFormatting sqref="AG14:AG73">
    <cfRule type="cellIs" dxfId="72" priority="29" operator="equal">
      <formula>$D$6</formula>
    </cfRule>
  </conditionalFormatting>
  <conditionalFormatting sqref="AG14:AG73">
    <cfRule type="cellIs" dxfId="71" priority="28" operator="equal">
      <formula>$D$5</formula>
    </cfRule>
  </conditionalFormatting>
  <conditionalFormatting sqref="AG14:AG73">
    <cfRule type="cellIs" dxfId="70" priority="27" operator="equal">
      <formula>$D$4</formula>
    </cfRule>
  </conditionalFormatting>
  <conditionalFormatting sqref="AI14:AI73">
    <cfRule type="cellIs" dxfId="69" priority="26" operator="equal">
      <formula>$D$6</formula>
    </cfRule>
  </conditionalFormatting>
  <conditionalFormatting sqref="AI14:AI73">
    <cfRule type="cellIs" dxfId="68" priority="25" operator="equal">
      <formula>$D$5</formula>
    </cfRule>
  </conditionalFormatting>
  <conditionalFormatting sqref="AI14:AI73">
    <cfRule type="cellIs" dxfId="67" priority="24" operator="equal">
      <formula>$D$4</formula>
    </cfRule>
  </conditionalFormatting>
  <conditionalFormatting sqref="AK14:AK73">
    <cfRule type="cellIs" dxfId="66" priority="23" operator="equal">
      <formula>$D$6</formula>
    </cfRule>
  </conditionalFormatting>
  <conditionalFormatting sqref="AK14:AK73">
    <cfRule type="cellIs" dxfId="65" priority="22" operator="equal">
      <formula>$D$5</formula>
    </cfRule>
  </conditionalFormatting>
  <conditionalFormatting sqref="AK14:AK73">
    <cfRule type="cellIs" dxfId="64" priority="21" operator="equal">
      <formula>$D$4</formula>
    </cfRule>
  </conditionalFormatting>
  <conditionalFormatting sqref="AM14:AM73">
    <cfRule type="cellIs" dxfId="63" priority="20" operator="equal">
      <formula>$D$6</formula>
    </cfRule>
  </conditionalFormatting>
  <conditionalFormatting sqref="AM14:AM73">
    <cfRule type="cellIs" dxfId="62" priority="19" operator="equal">
      <formula>$D$5</formula>
    </cfRule>
  </conditionalFormatting>
  <conditionalFormatting sqref="AM14:AM73">
    <cfRule type="cellIs" dxfId="61" priority="18" operator="equal">
      <formula>$D$4</formula>
    </cfRule>
  </conditionalFormatting>
  <conditionalFormatting sqref="AO14:AO73">
    <cfRule type="cellIs" dxfId="60" priority="17" operator="equal">
      <formula>$D$6</formula>
    </cfRule>
  </conditionalFormatting>
  <conditionalFormatting sqref="AO14:AO73">
    <cfRule type="cellIs" dxfId="59" priority="16" operator="equal">
      <formula>$D$5</formula>
    </cfRule>
  </conditionalFormatting>
  <conditionalFormatting sqref="AO14:AO73">
    <cfRule type="cellIs" dxfId="58" priority="15" operator="equal">
      <formula>$D$4</formula>
    </cfRule>
  </conditionalFormatting>
  <conditionalFormatting sqref="AQ14:AQ73">
    <cfRule type="cellIs" dxfId="57" priority="14" operator="equal">
      <formula>$D$6</formula>
    </cfRule>
  </conditionalFormatting>
  <conditionalFormatting sqref="AQ14:AQ73">
    <cfRule type="cellIs" dxfId="56" priority="13" operator="equal">
      <formula>$D$5</formula>
    </cfRule>
  </conditionalFormatting>
  <conditionalFormatting sqref="AQ14:AQ73">
    <cfRule type="cellIs" dxfId="55" priority="12" operator="equal">
      <formula>$D$4</formula>
    </cfRule>
  </conditionalFormatting>
  <conditionalFormatting sqref="AS14:AS73">
    <cfRule type="cellIs" dxfId="54" priority="11" operator="equal">
      <formula>$D$6</formula>
    </cfRule>
  </conditionalFormatting>
  <conditionalFormatting sqref="AS14:AS73">
    <cfRule type="cellIs" dxfId="53" priority="10" operator="equal">
      <formula>$D$5</formula>
    </cfRule>
  </conditionalFormatting>
  <conditionalFormatting sqref="AS14:AS73">
    <cfRule type="cellIs" dxfId="52" priority="9" operator="equal">
      <formula>$D$4</formula>
    </cfRule>
  </conditionalFormatting>
  <conditionalFormatting sqref="F60">
    <cfRule type="cellIs" dxfId="51" priority="8" operator="equal">
      <formula>$D$4</formula>
    </cfRule>
  </conditionalFormatting>
  <conditionalFormatting sqref="F60">
    <cfRule type="cellIs" dxfId="50" priority="7" operator="equal">
      <formula>$D$5</formula>
    </cfRule>
  </conditionalFormatting>
  <conditionalFormatting sqref="F60">
    <cfRule type="cellIs" dxfId="49" priority="6" operator="equal">
      <formula>$D$6</formula>
    </cfRule>
  </conditionalFormatting>
  <conditionalFormatting sqref="F60">
    <cfRule type="cellIs" priority="5" operator="equal">
      <formula>$D$7</formula>
    </cfRule>
  </conditionalFormatting>
  <conditionalFormatting sqref="H60">
    <cfRule type="cellIs" dxfId="48" priority="4" operator="equal">
      <formula>$D$4</formula>
    </cfRule>
  </conditionalFormatting>
  <conditionalFormatting sqref="H60">
    <cfRule type="cellIs" dxfId="47" priority="3" operator="equal">
      <formula>$D$5</formula>
    </cfRule>
  </conditionalFormatting>
  <conditionalFormatting sqref="H60">
    <cfRule type="cellIs" dxfId="46" priority="2" operator="equal">
      <formula>$D$6</formula>
    </cfRule>
  </conditionalFormatting>
  <conditionalFormatting sqref="H60">
    <cfRule type="cellIs" priority="1" operator="equal">
      <formula>$D$7</formula>
    </cfRule>
  </conditionalFormatting>
  <dataValidations count="2">
    <dataValidation type="list" allowBlank="1" showInputMessage="1" showErrorMessage="1" sqref="AR14:AR73 F14:F73 J14:J73 L14:L73 N14:N73 P14:P73 R14:R73 T14:T73 V14:V73 X14:X73 Z14:Z73 AB14:AB73 AD14:AD73 AF14:AF73 AH14:AH73 AJ14:AJ73 AL14:AL73 AN14:AN73 AP14:AP73 H14:H73" xr:uid="{65C2E23C-DE5D-48AB-9779-69ED0E5EC7FC}">
      <formula1>$D$4:$D$7</formula1>
    </dataValidation>
    <dataValidation allowBlank="1" showInputMessage="1" showErrorMessage="1" sqref="I14:I73 G14:G73 K14:K73 M14:M73 O14:O73 Q14:Q73 S14:S73 U14:U73 W14:W73 Y14:Y73 AA14:AA73 AC14:AC73 AE14:AE73 AG14:AG73 AI14:AI73 AK14:AK73 AM14:AM73 AO14:AO73 AQ14:AQ73 AS14:AS73" xr:uid="{74A66820-B4C8-447F-8C96-D1716474EC8F}"/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787E1-29EF-4EEA-B801-2298307D6F4C}">
  <dimension ref="B2:M45"/>
  <sheetViews>
    <sheetView workbookViewId="0">
      <selection activeCell="E1" sqref="E1:E1048576"/>
    </sheetView>
  </sheetViews>
  <sheetFormatPr baseColWidth="10" defaultColWidth="9.1640625" defaultRowHeight="15" x14ac:dyDescent="0.2"/>
  <cols>
    <col min="1" max="1" width="3.1640625" customWidth="1"/>
    <col min="2" max="2" width="3.5" bestFit="1" customWidth="1"/>
    <col min="3" max="3" width="4.33203125" bestFit="1" customWidth="1"/>
    <col min="4" max="4" width="5" bestFit="1" customWidth="1"/>
    <col min="5" max="5" width="16" bestFit="1" customWidth="1"/>
    <col min="6" max="6" width="26.83203125" bestFit="1" customWidth="1"/>
    <col min="7" max="7" width="8" bestFit="1" customWidth="1"/>
    <col min="9" max="9" width="62.5" customWidth="1"/>
    <col min="10" max="10" width="32.5" bestFit="1" customWidth="1"/>
    <col min="11" max="11" width="7.5" bestFit="1" customWidth="1"/>
    <col min="12" max="12" width="17" bestFit="1" customWidth="1"/>
    <col min="13" max="13" width="11.6640625" bestFit="1" customWidth="1"/>
  </cols>
  <sheetData>
    <row r="2" spans="2:13" x14ac:dyDescent="0.2">
      <c r="B2" s="59" t="s">
        <v>337</v>
      </c>
      <c r="C2" s="27"/>
      <c r="D2" s="60">
        <v>45</v>
      </c>
      <c r="E2" s="27"/>
      <c r="F2" s="27"/>
      <c r="G2" s="28"/>
    </row>
    <row r="3" spans="2:13" x14ac:dyDescent="0.2">
      <c r="B3" s="61" t="s">
        <v>338</v>
      </c>
      <c r="C3" s="50" t="s">
        <v>339</v>
      </c>
      <c r="D3" s="50" t="s">
        <v>340</v>
      </c>
      <c r="E3" s="50" t="s">
        <v>341</v>
      </c>
      <c r="F3" s="50" t="s">
        <v>342</v>
      </c>
      <c r="G3" s="62" t="s">
        <v>343</v>
      </c>
    </row>
    <row r="4" spans="2:13" x14ac:dyDescent="0.2">
      <c r="B4" s="29">
        <v>1</v>
      </c>
      <c r="C4" s="45">
        <v>2</v>
      </c>
      <c r="D4" s="45">
        <v>90</v>
      </c>
      <c r="E4" s="45" t="s">
        <v>344</v>
      </c>
      <c r="F4" s="45" t="s">
        <v>345</v>
      </c>
      <c r="G4" s="46"/>
    </row>
    <row r="5" spans="2:13" x14ac:dyDescent="0.2">
      <c r="B5" s="29">
        <v>2</v>
      </c>
      <c r="C5" s="45">
        <v>2</v>
      </c>
      <c r="D5" s="45">
        <v>90</v>
      </c>
      <c r="E5" s="45" t="s">
        <v>344</v>
      </c>
      <c r="F5" s="45" t="s">
        <v>346</v>
      </c>
      <c r="G5" s="46"/>
    </row>
    <row r="6" spans="2:13" x14ac:dyDescent="0.2">
      <c r="B6" s="29">
        <v>3</v>
      </c>
      <c r="C6" s="45">
        <v>2</v>
      </c>
      <c r="D6" s="45">
        <v>90</v>
      </c>
      <c r="E6" s="45" t="s">
        <v>344</v>
      </c>
      <c r="F6" t="s">
        <v>346</v>
      </c>
      <c r="G6" s="46"/>
      <c r="J6" t="s">
        <v>347</v>
      </c>
      <c r="K6">
        <v>45</v>
      </c>
    </row>
    <row r="7" spans="2:13" x14ac:dyDescent="0.2">
      <c r="B7" s="29">
        <v>4</v>
      </c>
      <c r="C7" s="45">
        <v>2</v>
      </c>
      <c r="D7" s="45">
        <v>90</v>
      </c>
      <c r="E7" s="45" t="s">
        <v>344</v>
      </c>
      <c r="F7" s="45" t="s">
        <v>348</v>
      </c>
      <c r="G7" s="46"/>
      <c r="J7" t="s">
        <v>349</v>
      </c>
      <c r="K7">
        <v>6</v>
      </c>
    </row>
    <row r="8" spans="2:13" x14ac:dyDescent="0.2">
      <c r="B8" s="29">
        <v>5</v>
      </c>
      <c r="C8" s="45">
        <v>2</v>
      </c>
      <c r="D8" s="45">
        <v>90</v>
      </c>
      <c r="E8" s="45" t="s">
        <v>344</v>
      </c>
      <c r="F8" s="45" t="s">
        <v>350</v>
      </c>
      <c r="G8" s="46"/>
      <c r="J8" t="s">
        <v>351</v>
      </c>
      <c r="K8">
        <v>15</v>
      </c>
    </row>
    <row r="9" spans="2:13" x14ac:dyDescent="0.2">
      <c r="B9" s="29">
        <v>6</v>
      </c>
      <c r="C9" s="45">
        <v>2</v>
      </c>
      <c r="D9" s="45">
        <v>90</v>
      </c>
      <c r="E9" s="45" t="s">
        <v>344</v>
      </c>
      <c r="F9" s="45" t="s">
        <v>352</v>
      </c>
      <c r="G9" s="46"/>
      <c r="J9" t="s">
        <v>353</v>
      </c>
      <c r="K9" t="s">
        <v>354</v>
      </c>
      <c r="L9" t="s">
        <v>355</v>
      </c>
      <c r="M9" t="s">
        <v>356</v>
      </c>
    </row>
    <row r="10" spans="2:13" x14ac:dyDescent="0.2">
      <c r="B10" s="29">
        <v>7</v>
      </c>
      <c r="C10" s="45">
        <v>2</v>
      </c>
      <c r="D10" s="45">
        <v>90</v>
      </c>
      <c r="E10" s="45" t="s">
        <v>344</v>
      </c>
      <c r="F10" s="45" t="s">
        <v>357</v>
      </c>
      <c r="G10" s="46"/>
      <c r="J10" t="s">
        <v>358</v>
      </c>
    </row>
    <row r="11" spans="2:13" x14ac:dyDescent="0.2">
      <c r="B11" s="29">
        <v>8</v>
      </c>
      <c r="C11" s="45">
        <v>2</v>
      </c>
      <c r="D11" s="45">
        <v>90</v>
      </c>
      <c r="E11" s="45" t="s">
        <v>344</v>
      </c>
      <c r="F11" s="45" t="s">
        <v>359</v>
      </c>
      <c r="G11" s="46"/>
      <c r="J11" t="s">
        <v>360</v>
      </c>
      <c r="K11">
        <f>180/K8</f>
        <v>12</v>
      </c>
      <c r="L11">
        <f>K11*2</f>
        <v>24</v>
      </c>
    </row>
    <row r="12" spans="2:13" x14ac:dyDescent="0.2">
      <c r="B12" s="29">
        <v>9</v>
      </c>
      <c r="C12" s="45">
        <v>2</v>
      </c>
      <c r="D12" s="45">
        <v>90</v>
      </c>
      <c r="E12" s="45" t="s">
        <v>344</v>
      </c>
      <c r="F12" s="45" t="s">
        <v>361</v>
      </c>
      <c r="G12" s="46"/>
    </row>
    <row r="13" spans="2:13" x14ac:dyDescent="0.2">
      <c r="B13" s="29">
        <v>10</v>
      </c>
      <c r="C13" s="45">
        <v>2</v>
      </c>
      <c r="D13" s="45">
        <v>90</v>
      </c>
      <c r="E13" s="45" t="s">
        <v>344</v>
      </c>
      <c r="F13" s="45" t="s">
        <v>362</v>
      </c>
      <c r="G13" s="46"/>
    </row>
    <row r="14" spans="2:13" x14ac:dyDescent="0.2">
      <c r="B14" s="29">
        <v>11</v>
      </c>
      <c r="C14" s="45">
        <v>2</v>
      </c>
      <c r="D14" s="45">
        <v>90</v>
      </c>
      <c r="E14" s="45" t="s">
        <v>344</v>
      </c>
      <c r="F14" s="45" t="s">
        <v>363</v>
      </c>
      <c r="G14" s="46"/>
    </row>
    <row r="15" spans="2:13" x14ac:dyDescent="0.2">
      <c r="B15" s="29">
        <v>12</v>
      </c>
      <c r="C15" s="45">
        <v>2</v>
      </c>
      <c r="D15" s="45">
        <v>90</v>
      </c>
      <c r="E15" s="45" t="s">
        <v>344</v>
      </c>
      <c r="F15" s="45" t="s">
        <v>364</v>
      </c>
      <c r="G15" s="46"/>
    </row>
    <row r="16" spans="2:13" x14ac:dyDescent="0.2">
      <c r="B16" s="29">
        <v>13</v>
      </c>
      <c r="C16" s="45">
        <v>4</v>
      </c>
      <c r="D16" s="45">
        <v>180</v>
      </c>
      <c r="E16" s="45" t="s">
        <v>365</v>
      </c>
      <c r="F16" s="45" t="s">
        <v>366</v>
      </c>
      <c r="G16" s="46"/>
      <c r="I16" t="s">
        <v>367</v>
      </c>
    </row>
    <row r="17" spans="2:9" x14ac:dyDescent="0.2">
      <c r="B17" s="29"/>
      <c r="C17" s="50">
        <v>28</v>
      </c>
      <c r="D17" s="50">
        <v>1260</v>
      </c>
      <c r="E17" s="45"/>
      <c r="F17" s="45"/>
      <c r="G17" s="46"/>
      <c r="I17" t="s">
        <v>368</v>
      </c>
    </row>
    <row r="18" spans="2:9" x14ac:dyDescent="0.2">
      <c r="B18" s="29"/>
      <c r="C18" s="45"/>
      <c r="D18" s="45"/>
      <c r="E18" s="45"/>
      <c r="F18" s="45"/>
      <c r="G18" s="46"/>
      <c r="I18" t="s">
        <v>369</v>
      </c>
    </row>
    <row r="19" spans="2:9" x14ac:dyDescent="0.2">
      <c r="B19" s="61" t="s">
        <v>370</v>
      </c>
      <c r="C19" s="45"/>
      <c r="D19" s="45"/>
      <c r="E19" s="45"/>
      <c r="F19" s="45"/>
      <c r="G19" s="46"/>
    </row>
    <row r="20" spans="2:9" x14ac:dyDescent="0.2">
      <c r="B20" s="61" t="s">
        <v>338</v>
      </c>
      <c r="C20" s="50" t="s">
        <v>339</v>
      </c>
      <c r="D20" s="50" t="s">
        <v>340</v>
      </c>
      <c r="E20" s="45"/>
      <c r="F20" s="50" t="s">
        <v>342</v>
      </c>
      <c r="G20" s="62" t="s">
        <v>343</v>
      </c>
    </row>
    <row r="21" spans="2:9" x14ac:dyDescent="0.2">
      <c r="B21" s="29">
        <v>1</v>
      </c>
      <c r="C21" s="45">
        <v>2</v>
      </c>
      <c r="D21" s="45">
        <v>90</v>
      </c>
      <c r="E21" s="45" t="s">
        <v>371</v>
      </c>
      <c r="F21" s="45" t="s">
        <v>345</v>
      </c>
      <c r="G21" s="46"/>
      <c r="I21" t="s">
        <v>372</v>
      </c>
    </row>
    <row r="22" spans="2:9" x14ac:dyDescent="0.2">
      <c r="B22" s="29">
        <v>2</v>
      </c>
      <c r="C22" s="45">
        <v>2</v>
      </c>
      <c r="D22" s="45">
        <v>90</v>
      </c>
      <c r="E22" s="45" t="s">
        <v>373</v>
      </c>
      <c r="F22" s="45" t="s">
        <v>345</v>
      </c>
      <c r="G22" s="46"/>
      <c r="I22" t="s">
        <v>374</v>
      </c>
    </row>
    <row r="23" spans="2:9" x14ac:dyDescent="0.2">
      <c r="B23" s="29">
        <v>3</v>
      </c>
      <c r="C23" s="45">
        <v>2</v>
      </c>
      <c r="D23" s="45">
        <v>90</v>
      </c>
      <c r="E23" s="45" t="s">
        <v>371</v>
      </c>
      <c r="F23" s="45" t="s">
        <v>346</v>
      </c>
      <c r="G23" s="46"/>
      <c r="I23" t="s">
        <v>375</v>
      </c>
    </row>
    <row r="24" spans="2:9" x14ac:dyDescent="0.2">
      <c r="B24" s="29">
        <v>4</v>
      </c>
      <c r="C24" s="45">
        <v>2</v>
      </c>
      <c r="D24" s="45">
        <v>90</v>
      </c>
      <c r="E24" s="45" t="s">
        <v>373</v>
      </c>
      <c r="F24" s="45" t="s">
        <v>346</v>
      </c>
      <c r="G24" s="46"/>
    </row>
    <row r="25" spans="2:9" x14ac:dyDescent="0.2">
      <c r="B25" s="29">
        <v>5</v>
      </c>
      <c r="C25" s="45">
        <v>2</v>
      </c>
      <c r="D25" s="45">
        <v>90</v>
      </c>
      <c r="E25" s="45" t="s">
        <v>371</v>
      </c>
      <c r="F25" s="45" t="s">
        <v>346</v>
      </c>
      <c r="G25" s="46"/>
    </row>
    <row r="26" spans="2:9" x14ac:dyDescent="0.2">
      <c r="B26" s="29">
        <v>6</v>
      </c>
      <c r="C26" s="45">
        <v>2</v>
      </c>
      <c r="D26" s="45">
        <v>90</v>
      </c>
      <c r="E26" s="45" t="s">
        <v>373</v>
      </c>
      <c r="F26" s="45" t="s">
        <v>346</v>
      </c>
      <c r="G26" s="46"/>
    </row>
    <row r="27" spans="2:9" x14ac:dyDescent="0.2">
      <c r="B27" s="29">
        <v>7</v>
      </c>
      <c r="C27" s="45">
        <v>2</v>
      </c>
      <c r="D27" s="45">
        <v>90</v>
      </c>
      <c r="E27" s="45" t="s">
        <v>371</v>
      </c>
      <c r="F27" s="45" t="s">
        <v>348</v>
      </c>
      <c r="G27" s="46"/>
    </row>
    <row r="28" spans="2:9" x14ac:dyDescent="0.2">
      <c r="B28" s="29">
        <v>8</v>
      </c>
      <c r="C28" s="45">
        <v>2</v>
      </c>
      <c r="D28" s="45">
        <v>90</v>
      </c>
      <c r="E28" s="45" t="s">
        <v>373</v>
      </c>
      <c r="F28" s="45" t="s">
        <v>348</v>
      </c>
      <c r="G28" s="46"/>
    </row>
    <row r="29" spans="2:9" x14ac:dyDescent="0.2">
      <c r="B29" s="29">
        <v>9</v>
      </c>
      <c r="C29" s="45">
        <v>2</v>
      </c>
      <c r="D29" s="45">
        <v>90</v>
      </c>
      <c r="E29" s="45"/>
      <c r="F29" s="45" t="s">
        <v>350</v>
      </c>
      <c r="G29" s="46"/>
    </row>
    <row r="30" spans="2:9" x14ac:dyDescent="0.2">
      <c r="B30" s="29">
        <v>10</v>
      </c>
      <c r="C30" s="45">
        <v>2</v>
      </c>
      <c r="D30" s="45">
        <v>90</v>
      </c>
      <c r="E30" s="45"/>
      <c r="F30" s="45" t="s">
        <v>350</v>
      </c>
      <c r="G30" s="46"/>
    </row>
    <row r="31" spans="2:9" x14ac:dyDescent="0.2">
      <c r="B31" s="29">
        <v>11</v>
      </c>
      <c r="C31" s="45">
        <v>2</v>
      </c>
      <c r="D31" s="45">
        <v>90</v>
      </c>
      <c r="E31" s="45"/>
      <c r="F31" s="45" t="s">
        <v>352</v>
      </c>
      <c r="G31" s="46"/>
    </row>
    <row r="32" spans="2:9" x14ac:dyDescent="0.2">
      <c r="B32" s="29">
        <v>12</v>
      </c>
      <c r="C32" s="45">
        <v>2</v>
      </c>
      <c r="D32" s="45">
        <v>90</v>
      </c>
      <c r="E32" s="45"/>
      <c r="F32" s="45" t="s">
        <v>352</v>
      </c>
      <c r="G32" s="46"/>
    </row>
    <row r="33" spans="2:7" x14ac:dyDescent="0.2">
      <c r="B33" s="29">
        <v>13</v>
      </c>
      <c r="C33" s="45">
        <v>2</v>
      </c>
      <c r="D33" s="45">
        <v>90</v>
      </c>
      <c r="E33" s="45"/>
      <c r="F33" s="45" t="s">
        <v>357</v>
      </c>
      <c r="G33" s="46"/>
    </row>
    <row r="34" spans="2:7" x14ac:dyDescent="0.2">
      <c r="B34" s="29">
        <v>14</v>
      </c>
      <c r="C34" s="45">
        <v>2</v>
      </c>
      <c r="D34" s="45">
        <v>90</v>
      </c>
      <c r="E34" s="45"/>
      <c r="F34" s="45" t="s">
        <v>357</v>
      </c>
      <c r="G34" s="46"/>
    </row>
    <row r="35" spans="2:7" x14ac:dyDescent="0.2">
      <c r="B35" s="29">
        <v>15</v>
      </c>
      <c r="C35" s="45">
        <v>2</v>
      </c>
      <c r="D35" s="45">
        <v>90</v>
      </c>
      <c r="E35" s="45"/>
      <c r="F35" s="45" t="s">
        <v>359</v>
      </c>
      <c r="G35" s="46"/>
    </row>
    <row r="36" spans="2:7" x14ac:dyDescent="0.2">
      <c r="B36" s="29">
        <v>16</v>
      </c>
      <c r="C36" s="45">
        <v>2</v>
      </c>
      <c r="D36" s="45">
        <v>90</v>
      </c>
      <c r="E36" s="45"/>
      <c r="F36" s="45" t="s">
        <v>359</v>
      </c>
      <c r="G36" s="46"/>
    </row>
    <row r="37" spans="2:7" x14ac:dyDescent="0.2">
      <c r="B37" s="29">
        <v>17</v>
      </c>
      <c r="C37" s="45">
        <v>2</v>
      </c>
      <c r="D37" s="45">
        <v>90</v>
      </c>
      <c r="E37" s="45"/>
      <c r="F37" s="45" t="s">
        <v>361</v>
      </c>
      <c r="G37" s="46"/>
    </row>
    <row r="38" spans="2:7" x14ac:dyDescent="0.2">
      <c r="B38" s="29">
        <v>18</v>
      </c>
      <c r="C38" s="45">
        <v>2</v>
      </c>
      <c r="D38" s="45">
        <v>90</v>
      </c>
      <c r="E38" s="45"/>
      <c r="F38" s="45" t="s">
        <v>361</v>
      </c>
      <c r="G38" s="46"/>
    </row>
    <row r="39" spans="2:7" x14ac:dyDescent="0.2">
      <c r="B39" s="29">
        <v>19</v>
      </c>
      <c r="C39" s="45">
        <v>2</v>
      </c>
      <c r="D39" s="45">
        <v>90</v>
      </c>
      <c r="E39" s="45"/>
      <c r="F39" s="45" t="s">
        <v>362</v>
      </c>
      <c r="G39" s="46"/>
    </row>
    <row r="40" spans="2:7" x14ac:dyDescent="0.2">
      <c r="B40" s="29">
        <v>20</v>
      </c>
      <c r="C40" s="45">
        <v>2</v>
      </c>
      <c r="D40" s="45">
        <v>90</v>
      </c>
      <c r="E40" s="45"/>
      <c r="F40" s="45" t="s">
        <v>362</v>
      </c>
      <c r="G40" s="46"/>
    </row>
    <row r="41" spans="2:7" x14ac:dyDescent="0.2">
      <c r="B41" s="29">
        <v>21</v>
      </c>
      <c r="C41" s="45">
        <v>2</v>
      </c>
      <c r="D41" s="45">
        <v>90</v>
      </c>
      <c r="E41" s="45"/>
      <c r="F41" s="45" t="s">
        <v>363</v>
      </c>
      <c r="G41" s="46"/>
    </row>
    <row r="42" spans="2:7" x14ac:dyDescent="0.2">
      <c r="B42" s="29">
        <v>22</v>
      </c>
      <c r="C42" s="45">
        <v>2</v>
      </c>
      <c r="D42" s="45">
        <v>90</v>
      </c>
      <c r="E42" s="45"/>
      <c r="F42" s="45" t="s">
        <v>363</v>
      </c>
      <c r="G42" s="46"/>
    </row>
    <row r="43" spans="2:7" x14ac:dyDescent="0.2">
      <c r="B43" s="29">
        <v>23</v>
      </c>
      <c r="C43" s="45">
        <v>2</v>
      </c>
      <c r="D43" s="45">
        <v>90</v>
      </c>
      <c r="E43" s="45"/>
      <c r="F43" s="45" t="s">
        <v>364</v>
      </c>
      <c r="G43" s="46"/>
    </row>
    <row r="44" spans="2:7" x14ac:dyDescent="0.2">
      <c r="B44" s="29">
        <v>24</v>
      </c>
      <c r="C44" s="45">
        <v>4</v>
      </c>
      <c r="D44" s="45">
        <v>180</v>
      </c>
      <c r="E44" s="45"/>
      <c r="F44" s="45"/>
      <c r="G44" s="46"/>
    </row>
    <row r="45" spans="2:7" x14ac:dyDescent="0.2">
      <c r="B45" s="47"/>
      <c r="C45" s="63">
        <v>50</v>
      </c>
      <c r="D45" s="63">
        <v>2250</v>
      </c>
      <c r="E45" s="48"/>
      <c r="F45" s="48"/>
      <c r="G45" s="4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377F-40AB-43FC-A46B-F5CA3484CB1C}">
  <dimension ref="B2:K16"/>
  <sheetViews>
    <sheetView workbookViewId="0">
      <selection activeCell="N24" sqref="N24"/>
    </sheetView>
  </sheetViews>
  <sheetFormatPr baseColWidth="10" defaultColWidth="9.1640625" defaultRowHeight="15" x14ac:dyDescent="0.2"/>
  <cols>
    <col min="1" max="1" width="2.5" customWidth="1"/>
    <col min="2" max="2" width="10.1640625" bestFit="1" customWidth="1"/>
    <col min="4" max="4" width="13.1640625" customWidth="1"/>
    <col min="5" max="5" width="36.5" bestFit="1" customWidth="1"/>
    <col min="6" max="6" width="12.6640625" bestFit="1" customWidth="1"/>
    <col min="7" max="7" width="36.5" bestFit="1" customWidth="1"/>
    <col min="9" max="9" width="20.83203125" bestFit="1" customWidth="1"/>
    <col min="10" max="10" width="3" customWidth="1"/>
    <col min="11" max="11" width="22.5" bestFit="1" customWidth="1"/>
  </cols>
  <sheetData>
    <row r="2" spans="2:11" x14ac:dyDescent="0.2">
      <c r="B2" s="80"/>
      <c r="C2" s="80"/>
      <c r="D2" s="121" t="s">
        <v>376</v>
      </c>
      <c r="E2" s="122"/>
      <c r="F2" s="121" t="s">
        <v>377</v>
      </c>
      <c r="G2" s="123"/>
      <c r="H2" s="121" t="s">
        <v>378</v>
      </c>
      <c r="I2" s="123"/>
      <c r="J2" s="81"/>
      <c r="K2" s="81"/>
    </row>
    <row r="3" spans="2:11" x14ac:dyDescent="0.2">
      <c r="B3" s="80"/>
      <c r="C3" s="80"/>
      <c r="D3" s="81" t="s">
        <v>379</v>
      </c>
      <c r="E3" s="81" t="s">
        <v>346</v>
      </c>
      <c r="F3" s="81" t="s">
        <v>379</v>
      </c>
      <c r="G3" s="82" t="s">
        <v>346</v>
      </c>
      <c r="H3" s="81" t="s">
        <v>379</v>
      </c>
      <c r="I3" s="81" t="s">
        <v>346</v>
      </c>
      <c r="J3" s="82"/>
      <c r="K3" s="81" t="s">
        <v>380</v>
      </c>
    </row>
    <row r="4" spans="2:11" x14ac:dyDescent="0.2">
      <c r="B4" s="118" t="s">
        <v>381</v>
      </c>
      <c r="C4" s="83" t="s">
        <v>382</v>
      </c>
      <c r="D4" s="83" t="s">
        <v>383</v>
      </c>
      <c r="E4" s="83" t="s">
        <v>384</v>
      </c>
      <c r="F4" s="83" t="s">
        <v>385</v>
      </c>
      <c r="G4" s="83" t="s">
        <v>386</v>
      </c>
      <c r="H4" s="83" t="s">
        <v>387</v>
      </c>
      <c r="I4" s="83" t="s">
        <v>388</v>
      </c>
      <c r="J4" s="83"/>
      <c r="K4" s="83" t="s">
        <v>345</v>
      </c>
    </row>
    <row r="5" spans="2:11" x14ac:dyDescent="0.2">
      <c r="B5" s="119"/>
      <c r="C5" s="79" t="s">
        <v>389</v>
      </c>
      <c r="D5" s="79" t="s">
        <v>383</v>
      </c>
      <c r="E5" s="79" t="s">
        <v>384</v>
      </c>
      <c r="F5" s="79" t="s">
        <v>387</v>
      </c>
      <c r="G5" s="79" t="s">
        <v>390</v>
      </c>
      <c r="H5" s="79" t="s">
        <v>391</v>
      </c>
      <c r="I5" s="79" t="s">
        <v>392</v>
      </c>
      <c r="J5" s="79"/>
      <c r="K5" s="84" t="s">
        <v>346</v>
      </c>
    </row>
    <row r="6" spans="2:11" x14ac:dyDescent="0.2">
      <c r="B6" s="119"/>
      <c r="C6" s="83" t="s">
        <v>393</v>
      </c>
      <c r="D6" s="83" t="s">
        <v>383</v>
      </c>
      <c r="E6" s="83" t="s">
        <v>394</v>
      </c>
      <c r="F6" s="83" t="s">
        <v>387</v>
      </c>
      <c r="G6" s="83" t="s">
        <v>388</v>
      </c>
      <c r="H6" s="83" t="s">
        <v>391</v>
      </c>
      <c r="I6" s="83" t="s">
        <v>392</v>
      </c>
      <c r="J6" s="83"/>
      <c r="K6" s="83" t="s">
        <v>346</v>
      </c>
    </row>
    <row r="7" spans="2:11" x14ac:dyDescent="0.2">
      <c r="B7" s="120"/>
      <c r="C7" s="79" t="s">
        <v>395</v>
      </c>
      <c r="D7" s="79" t="s">
        <v>396</v>
      </c>
      <c r="E7" s="79" t="s">
        <v>397</v>
      </c>
      <c r="F7" s="79" t="s">
        <v>387</v>
      </c>
      <c r="G7" s="79" t="s">
        <v>388</v>
      </c>
      <c r="H7" s="79" t="s">
        <v>391</v>
      </c>
      <c r="I7" s="79" t="s">
        <v>392</v>
      </c>
      <c r="J7" s="79"/>
      <c r="K7" s="84" t="s">
        <v>348</v>
      </c>
    </row>
    <row r="8" spans="2:11" x14ac:dyDescent="0.2">
      <c r="B8" s="80"/>
      <c r="C8" s="80"/>
      <c r="D8" s="121" t="s">
        <v>376</v>
      </c>
      <c r="E8" s="122"/>
      <c r="F8" s="121" t="s">
        <v>377</v>
      </c>
      <c r="G8" s="123"/>
      <c r="H8" s="124"/>
      <c r="I8" s="124"/>
      <c r="J8" s="85"/>
      <c r="K8" s="85"/>
    </row>
    <row r="9" spans="2:11" x14ac:dyDescent="0.2">
      <c r="B9" s="80"/>
      <c r="C9" s="80"/>
      <c r="D9" s="81" t="s">
        <v>379</v>
      </c>
      <c r="E9" s="81" t="s">
        <v>346</v>
      </c>
      <c r="F9" s="81" t="s">
        <v>379</v>
      </c>
      <c r="G9" s="81" t="s">
        <v>346</v>
      </c>
      <c r="H9" s="85"/>
      <c r="I9" s="85"/>
      <c r="J9" s="85"/>
      <c r="K9" s="85"/>
    </row>
    <row r="10" spans="2:11" x14ac:dyDescent="0.2">
      <c r="B10" s="118" t="s">
        <v>398</v>
      </c>
      <c r="C10" s="83" t="s">
        <v>382</v>
      </c>
      <c r="D10" s="83" t="s">
        <v>383</v>
      </c>
      <c r="E10" s="83" t="s">
        <v>399</v>
      </c>
      <c r="F10" s="83" t="s">
        <v>387</v>
      </c>
      <c r="G10" s="83" t="s">
        <v>400</v>
      </c>
      <c r="H10" s="86"/>
      <c r="I10" s="86"/>
      <c r="J10" s="86"/>
      <c r="K10" s="86" t="s">
        <v>350</v>
      </c>
    </row>
    <row r="11" spans="2:11" ht="48" x14ac:dyDescent="0.2">
      <c r="B11" s="119"/>
      <c r="C11" s="79" t="s">
        <v>389</v>
      </c>
      <c r="D11" s="78" t="s">
        <v>401</v>
      </c>
      <c r="E11" s="87" t="s">
        <v>402</v>
      </c>
      <c r="F11" s="79" t="s">
        <v>387</v>
      </c>
      <c r="G11" s="87" t="s">
        <v>403</v>
      </c>
      <c r="H11" s="79"/>
      <c r="I11" s="79"/>
      <c r="J11" s="79"/>
      <c r="K11" s="84" t="s">
        <v>352</v>
      </c>
    </row>
    <row r="12" spans="2:11" ht="32" x14ac:dyDescent="0.2">
      <c r="B12" s="119"/>
      <c r="C12" s="83" t="s">
        <v>393</v>
      </c>
      <c r="D12" s="83" t="s">
        <v>383</v>
      </c>
      <c r="E12" s="88" t="s">
        <v>404</v>
      </c>
      <c r="F12" s="83" t="s">
        <v>387</v>
      </c>
      <c r="G12" s="88" t="s">
        <v>405</v>
      </c>
      <c r="H12" s="83"/>
      <c r="I12" s="83"/>
      <c r="J12" s="83"/>
      <c r="K12" s="83" t="s">
        <v>357</v>
      </c>
    </row>
    <row r="13" spans="2:11" ht="64" x14ac:dyDescent="0.2">
      <c r="B13" s="119"/>
      <c r="C13" s="79" t="s">
        <v>395</v>
      </c>
      <c r="D13" s="79" t="s">
        <v>387</v>
      </c>
      <c r="E13" s="79" t="s">
        <v>406</v>
      </c>
      <c r="F13" s="79" t="s">
        <v>387</v>
      </c>
      <c r="G13" s="87" t="s">
        <v>407</v>
      </c>
      <c r="H13" s="79"/>
      <c r="I13" s="79"/>
      <c r="J13" s="79"/>
      <c r="K13" s="84" t="s">
        <v>359</v>
      </c>
    </row>
    <row r="14" spans="2:11" ht="32" x14ac:dyDescent="0.2">
      <c r="B14" s="119"/>
      <c r="C14" s="83" t="s">
        <v>408</v>
      </c>
      <c r="D14" s="83" t="s">
        <v>387</v>
      </c>
      <c r="E14" s="88" t="s">
        <v>409</v>
      </c>
      <c r="F14" s="83" t="s">
        <v>387</v>
      </c>
      <c r="G14" s="88" t="s">
        <v>410</v>
      </c>
      <c r="H14" s="83"/>
      <c r="I14" s="83"/>
      <c r="J14" s="83"/>
      <c r="K14" s="83" t="s">
        <v>361</v>
      </c>
    </row>
    <row r="15" spans="2:11" x14ac:dyDescent="0.2">
      <c r="B15" s="120"/>
      <c r="C15" s="79" t="s">
        <v>411</v>
      </c>
      <c r="D15" s="79" t="s">
        <v>387</v>
      </c>
      <c r="E15" s="79" t="s">
        <v>412</v>
      </c>
      <c r="F15" s="79" t="s">
        <v>387</v>
      </c>
      <c r="G15" s="79" t="s">
        <v>413</v>
      </c>
      <c r="H15" s="79"/>
      <c r="I15" s="79"/>
      <c r="J15" s="79"/>
      <c r="K15" s="84" t="s">
        <v>362</v>
      </c>
    </row>
    <row r="16" spans="2:11" x14ac:dyDescent="0.2">
      <c r="B16" s="80"/>
      <c r="C16" s="83" t="s">
        <v>414</v>
      </c>
      <c r="D16" s="83" t="s">
        <v>11</v>
      </c>
      <c r="E16" s="83" t="s">
        <v>415</v>
      </c>
      <c r="F16" s="83"/>
      <c r="G16" s="83"/>
      <c r="H16" s="83"/>
      <c r="I16" s="83"/>
      <c r="J16" s="83"/>
      <c r="K16" s="83" t="s">
        <v>363</v>
      </c>
    </row>
  </sheetData>
  <mergeCells count="8">
    <mergeCell ref="B10:B15"/>
    <mergeCell ref="B4:B7"/>
    <mergeCell ref="D2:E2"/>
    <mergeCell ref="F2:G2"/>
    <mergeCell ref="H2:I2"/>
    <mergeCell ref="D8:E8"/>
    <mergeCell ref="F8:G8"/>
    <mergeCell ref="H8:I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D40D9C3EDB8943872FF524C6B3FD0A" ma:contentTypeVersion="14" ma:contentTypeDescription="Create a new document." ma:contentTypeScope="" ma:versionID="e2b82656ffd5d1d6efbe27877a50a5d5">
  <xsd:schema xmlns:xsd="http://www.w3.org/2001/XMLSchema" xmlns:xs="http://www.w3.org/2001/XMLSchema" xmlns:p="http://schemas.microsoft.com/office/2006/metadata/properties" xmlns:ns2="0dd4ebbd-e603-4963-8782-ab9329a1459d" xmlns:ns3="cc0298e1-237c-46dd-ac65-dfb90c95187e" targetNamespace="http://schemas.microsoft.com/office/2006/metadata/properties" ma:root="true" ma:fieldsID="89657a6d652537456c66ecd120ec1547" ns2:_="" ns3:_="">
    <xsd:import namespace="0dd4ebbd-e603-4963-8782-ab9329a1459d"/>
    <xsd:import namespace="cc0298e1-237c-46dd-ac65-dfb90c9518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d4ebbd-e603-4963-8782-ab9329a145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e635386d-4e9f-4f60-8e77-bf8228f41c1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0298e1-237c-46dd-ac65-dfb90c95187e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a261399f-aba8-4539-9ca3-7f94ee838a0e}" ma:internalName="TaxCatchAll" ma:showField="CatchAllData" ma:web="cc0298e1-237c-46dd-ac65-dfb90c95187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dd4ebbd-e603-4963-8782-ab9329a1459d">
      <Terms xmlns="http://schemas.microsoft.com/office/infopath/2007/PartnerControls"/>
    </lcf76f155ced4ddcb4097134ff3c332f>
    <TaxCatchAll xmlns="cc0298e1-237c-46dd-ac65-dfb90c95187e" xsi:nil="true"/>
  </documentManagement>
</p:properties>
</file>

<file path=customXml/itemProps1.xml><?xml version="1.0" encoding="utf-8"?>
<ds:datastoreItem xmlns:ds="http://schemas.openxmlformats.org/officeDocument/2006/customXml" ds:itemID="{643B11C9-85F8-4A1F-9B5B-B94CA7A2E2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D53ED67-91A2-49F0-83CD-A74FCE819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d4ebbd-e603-4963-8782-ab9329a1459d"/>
    <ds:schemaRef ds:uri="cc0298e1-237c-46dd-ac65-dfb90c9518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43457F-03F2-4A8B-8D7D-DCBF616E58F7}">
  <ds:schemaRefs>
    <ds:schemaRef ds:uri="http://schemas.microsoft.com/office/2006/metadata/properties"/>
    <ds:schemaRef ds:uri="http://schemas.microsoft.com/office/infopath/2007/PartnerControls"/>
    <ds:schemaRef ds:uri="0dd4ebbd-e603-4963-8782-ab9329a1459d"/>
    <ds:schemaRef ds:uri="cc0298e1-237c-46dd-ac65-dfb90c95187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18</vt:i4>
      </vt:variant>
    </vt:vector>
  </HeadingPairs>
  <TitlesOfParts>
    <vt:vector size="18" baseType="lpstr">
      <vt:lpstr>general</vt:lpstr>
      <vt:lpstr>KnowledgeLevels</vt:lpstr>
      <vt:lpstr>EVERYTHING</vt:lpstr>
      <vt:lpstr>OVERVIEW</vt:lpstr>
      <vt:lpstr>STATISTICS</vt:lpstr>
      <vt:lpstr>PRE_CONDITIONS</vt:lpstr>
      <vt:lpstr>LEOs</vt:lpstr>
      <vt:lpstr>LEOs_dependencies</vt:lpstr>
      <vt:lpstr>MLEOs</vt:lpstr>
      <vt:lpstr>MLEOs_dependencies</vt:lpstr>
      <vt:lpstr>MicroExercise</vt:lpstr>
      <vt:lpstr>MicroExercise_dependencies</vt:lpstr>
      <vt:lpstr>Exercises</vt:lpstr>
      <vt:lpstr>MLEOsv2</vt:lpstr>
      <vt:lpstr>Dependencies</vt:lpstr>
      <vt:lpstr>Grading</vt:lpstr>
      <vt:lpstr>Units</vt:lpstr>
      <vt:lpstr>Phases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Mandl</dc:creator>
  <cp:keywords/>
  <dc:description/>
  <cp:lastModifiedBy>Saidfiasal Khawarin</cp:lastModifiedBy>
  <cp:revision/>
  <dcterms:created xsi:type="dcterms:W3CDTF">2015-06-05T18:19:34Z</dcterms:created>
  <dcterms:modified xsi:type="dcterms:W3CDTF">2026-06-13T12:13:09Z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0x01010075D40D9C3EDB8943872FF524C6B3FD0A</vt:lpwstr>
  </property>
  <property fmtid="{D5CDD505-2E9C-101B-9397-08002B2CF9AE}" pid="3" name="MediaServiceImageTags">
    <vt:lpwstr/>
  </property>
</Properties>
</file>